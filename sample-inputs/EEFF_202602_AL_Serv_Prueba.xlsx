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lma\Dropbox\AC NEGOCIOS\AL Servicios Multiples Empresariales SA de CV\2 0 2 6\Reportes 2026 AL\"/>
    </mc:Choice>
  </mc:AlternateContent>
  <xr:revisionPtr revIDLastSave="0" documentId="13_ncr:1_{C5317D13-A725-432E-8FA8-6AABD0207E71}" xr6:coauthVersionLast="47" xr6:coauthVersionMax="47" xr10:uidLastSave="{00000000-0000-0000-0000-000000000000}"/>
  <bookViews>
    <workbookView xWindow="-28920" yWindow="-120" windowWidth="29040" windowHeight="15720" firstSheet="3" activeTab="3" xr2:uid="{00000000-000D-0000-FFFF-FFFF00000000}"/>
  </bookViews>
  <sheets>
    <sheet name="CUCA" sheetId="5" state="hidden" r:id="rId1"/>
    <sheet name="CUFIN" sheetId="6" state="hidden" r:id="rId2"/>
    <sheet name="CCF" sheetId="2" state="hidden" r:id="rId3"/>
    <sheet name="BG" sheetId="7" r:id="rId4"/>
    <sheet name="ER" sheetId="3" r:id="rId5"/>
    <sheet name="BAL" sheetId="1" r:id="rId6"/>
    <sheet name="Res" sheetId="4" state="hidden" r:id="rId7"/>
    <sheet name="Ret ISR Hon" sheetId="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xlnm._FilterDatabase" localSheetId="5" hidden="1">BAL!$A$5:$N$190</definedName>
    <definedName name="_Parse_In" hidden="1">#REF!</definedName>
    <definedName name="A_ESPEC">#REF!</definedName>
    <definedName name="A_impresión_IM">#REF!</definedName>
    <definedName name="ABRIL">[1]AB!$A$6:$H$58</definedName>
    <definedName name="AGOSTO">[1]AGO!$A$6:$H$84</definedName>
    <definedName name="ALIANZA">#REF!</definedName>
    <definedName name="ALIMENTOS">#REF!</definedName>
    <definedName name="ALIMENTOS_1">#REF!</definedName>
    <definedName name="ALIMENTOS_2">#REF!</definedName>
    <definedName name="AMBI98" localSheetId="7" hidden="1">{#N/A,#N/A,FALSE,"Aging Summary";#N/A,#N/A,FALSE,"Ratio Analysis";#N/A,#N/A,FALSE,"Test 120 Day Accts";#N/A,#N/A,FALSE,"Tickmarks"}</definedName>
    <definedName name="AMBI98" hidden="1">{#N/A,#N/A,FALSE,"Aging Summary";#N/A,#N/A,FALSE,"Ratio Analysis";#N/A,#N/A,FALSE,"Test 120 Day Accts";#N/A,#N/A,FALSE,"Tickmarks"}</definedName>
    <definedName name="AMBI99">#REF!</definedName>
    <definedName name="AMBIT009">[2]CONCIL!$D$15</definedName>
    <definedName name="AMBIT08">#REF!</definedName>
    <definedName name="AMBIT09">#REF!</definedName>
    <definedName name="ANEXO">[3]ANEXO5!$A$2:$V$21</definedName>
    <definedName name="ANEXO1">#REF!</definedName>
    <definedName name="ANEXO10">#REF!</definedName>
    <definedName name="ANEXO2">#REF!</definedName>
    <definedName name="ANEXO3">#REF!</definedName>
    <definedName name="ANEXO4">#REF!</definedName>
    <definedName name="ANEXO5">#REF!</definedName>
    <definedName name="ANEXO6">#REF!</definedName>
    <definedName name="ANEXO7">#REF!</definedName>
    <definedName name="ANEXO8">#REF!</definedName>
    <definedName name="ANEXO9">#REF!</definedName>
    <definedName name="año">'[4]1441'!$B$4</definedName>
    <definedName name="ARA_Threshold">#REF!</definedName>
    <definedName name="_xlnm.Print_Area" localSheetId="5">BAL!$C$1:$G$185</definedName>
    <definedName name="_xlnm.Print_Area" localSheetId="6">Res!$B$1:$P$87</definedName>
    <definedName name="AS2DocOpenMode" hidden="1">"AS2DocumentEdit"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_DESCR">#REF!</definedName>
    <definedName name="BALANZA">'[5]Bal Dic M3 (Vaciado)'!$A$1:$G$313</definedName>
    <definedName name="BALANZA_ABRIL">'[6]04'!$A$1:$IV$65536</definedName>
    <definedName name="BALANZA_AGOSTO">'[6]08'!$A$1:$IV$65536</definedName>
    <definedName name="BALANZA_DICIEMBRE">'[6]12'!$A$1:$IV$65536</definedName>
    <definedName name="BALANZA_ENERO">'[6]01'!$A$1:$IV$65536</definedName>
    <definedName name="BALANZA_FEBRERO">'[6]02'!$A$1:$IV$65536</definedName>
    <definedName name="BALANZA_JULIO">'[6]07'!$A$1:$IV$65536</definedName>
    <definedName name="BALANZA_JUNIO">'[6]06'!$A$1:$IV$65536</definedName>
    <definedName name="BALANZA_MARZO">'[6]03'!$A$1:$IV$65536</definedName>
    <definedName name="BALANZA_MAYO">'[6]05'!$A$1:$IV$65536</definedName>
    <definedName name="BALANZA_NOVIEMBRE">'[6]11'!$A$1:$IV$65536</definedName>
    <definedName name="BALANZA_OCTUBRE">'[6]10'!$A$1:$IV$65536</definedName>
    <definedName name="BALANZA_SEPTIEMBRE">'[6]9'!$A$1:$IV$65536</definedName>
    <definedName name="_xlnm.Database">#REF!</definedName>
    <definedName name="BELLAVISTA">#REF!</definedName>
    <definedName name="BG_Del" hidden="1">15</definedName>
    <definedName name="BG_Ins" hidden="1">4</definedName>
    <definedName name="BG_Mod" hidden="1">6</definedName>
    <definedName name="C_ULNAT">#REF!</definedName>
    <definedName name="CAASS">#REF!</definedName>
    <definedName name="CAPITAL">#REF!</definedName>
    <definedName name="CAT">#REF!</definedName>
    <definedName name="CEDULA_1">#REF!</definedName>
    <definedName name="CEDULA_2">#REF!</definedName>
    <definedName name="CEDULA_2.1">#REF!</definedName>
    <definedName name="CEDULA_2.2">#REF!</definedName>
    <definedName name="CEDULA_2.3">#REF!</definedName>
    <definedName name="CEDULA_2.4">#REF!</definedName>
    <definedName name="CEDULA_2.5">#REF!</definedName>
    <definedName name="CEDULA_2.6">#REF!</definedName>
    <definedName name="CEDULA_2.7">#REF!</definedName>
    <definedName name="CEDULA_3">#REF!</definedName>
    <definedName name="CIASA">#REF!</definedName>
    <definedName name="COMPRAS">[7]COSTO!$H$15,[7]COSTO!$H$16,[7]COSTO!$H$26,[7]COSTO!$H$27,[7]COSTO!$H$34,[7]COSTO!$H$35</definedName>
    <definedName name="CONSOLIDADDO">#REF!</definedName>
    <definedName name="CONTABLE">#REF!</definedName>
    <definedName name="CUENTAS">#REF!</definedName>
    <definedName name="D_ULSAB">#REF!</definedName>
    <definedName name="DEST_PDN">#REF!</definedName>
    <definedName name="DET_ABR">#REF!</definedName>
    <definedName name="DET_AGO">#REF!</definedName>
    <definedName name="DET_DIC">#REF!</definedName>
    <definedName name="DET_ENE">#REF!</definedName>
    <definedName name="DET_FEB">#REF!</definedName>
    <definedName name="DET_JUL">#REF!</definedName>
    <definedName name="DET_JUN">#REF!</definedName>
    <definedName name="DET_MAR">#REF!</definedName>
    <definedName name="DET_MAY">#REF!</definedName>
    <definedName name="DET_NOV">#REF!</definedName>
    <definedName name="DET_OCT">#REF!</definedName>
    <definedName name="DET_SEP">#REF!</definedName>
    <definedName name="DETERM_BASE">#REF!</definedName>
    <definedName name="DICIEMBRE">'[1]Dic 09'!$A$6:$H$462</definedName>
    <definedName name="E_YOBAT">#REF!</definedName>
    <definedName name="ENERO">[1]ENE!$A$6:$H$66</definedName>
    <definedName name="F_YOLIQ">#REF!</definedName>
    <definedName name="FEBRERO">[1]FEB!$A$6:$H$71</definedName>
    <definedName name="fecha">[8]Ductos!#REF!</definedName>
    <definedName name="G_CREMA">#REF!</definedName>
    <definedName name="GPO">#N/A</definedName>
    <definedName name="H_QUESO">#REF!</definedName>
    <definedName name="I_JUGO">#REF!</definedName>
    <definedName name="IETU">'[9]Ajuste Anual'!#REF!</definedName>
    <definedName name="INPC">[7]INPC!$C$69:$D$749</definedName>
    <definedName name="INTERESES">#REF!</definedName>
    <definedName name="INTRODUCCION">#REF!</definedName>
    <definedName name="J_FRESQ">#REF!</definedName>
    <definedName name="JULIO">[1]JUL!$A$6:$H$78</definedName>
    <definedName name="JUNIO">[1]JUN!$A$6:$H$63</definedName>
    <definedName name="K_RESUM1">#REF!</definedName>
    <definedName name="KAPP">#REF!</definedName>
    <definedName name="L_RESUM2">#REF!</definedName>
    <definedName name="LAURA">'[10]Ajuste Anual'!#REF!</definedName>
    <definedName name="M_CONC">#REF!</definedName>
    <definedName name="MARZO">[1]MAR!$A$6:$H$59</definedName>
    <definedName name="MAYO">[1]MAYO!$A$6:$H$67</definedName>
    <definedName name="mes">'[4]1441'!$B$3</definedName>
    <definedName name="MIRA">'[9]Ajuste Anual'!#REF!</definedName>
    <definedName name="N_RESUM3">#REF!</definedName>
    <definedName name="NADA1">'[9]Ajuste Anual'!#REF!</definedName>
    <definedName name="NADA2">[11]Inventarios!#REF!</definedName>
    <definedName name="NIDIA">'[9]Ajuste Anual'!#REF!</definedName>
    <definedName name="NombreCía" hidden="1">#REF!</definedName>
    <definedName name="NOVIEMBRE">[1]NOV!$A$6:$H$98</definedName>
    <definedName name="O_SEMI">#REF!</definedName>
    <definedName name="OCTUBRE">[1]OCT!$A$6:$H$95</definedName>
    <definedName name="PAGOS">#REF!</definedName>
    <definedName name="PARCIAL">#REF!</definedName>
    <definedName name="PARCIAL1">#REF!</definedName>
    <definedName name="PARCIAL2">#REF!</definedName>
    <definedName name="PARCIAL4">#REF!</definedName>
    <definedName name="PARCIAL5">#REF!</definedName>
    <definedName name="PARCIAL6">#REF!</definedName>
    <definedName name="PDEAYALA">#REF!</definedName>
    <definedName name="PEDERNALES">#REF!</definedName>
    <definedName name="PERDIDAS">#REF!</definedName>
    <definedName name="PERSONAL">#REF!</definedName>
    <definedName name="POLIZA">#REF!</definedName>
    <definedName name="PRCIAL3">#REF!</definedName>
    <definedName name="PRINT1">#REF!</definedName>
    <definedName name="PRINT2">#REF!</definedName>
    <definedName name="procesos">[12]Procesos!$A$4:$B$44</definedName>
    <definedName name="PROMEDIO">#REF!</definedName>
    <definedName name="PROMEDIO_ACTIVOS">'[7]ACTIVOS FIJOS IMPAC'!$AB$13,'[7]ACTIVOS FIJOS IMPAC'!$AB$17,'[7]ACTIVOS FIJOS IMPAC'!$AB$20,'[7]ACTIVOS FIJOS IMPAC'!$AB$23,'[7]ACTIVOS FIJOS IMPAC'!$AB$26,'[7]ACTIVOS FIJOS IMPAC'!$AB$31</definedName>
    <definedName name="PRUEBA">#REF!</definedName>
    <definedName name="q">#REF!</definedName>
    <definedName name="RANGO">#REF!</definedName>
    <definedName name="Rango1">#REF!</definedName>
    <definedName name="Ref_1">[13]inventarios!#REF!</definedName>
    <definedName name="REL">#REF!</definedName>
    <definedName name="RESUMEN">[14]Procesos!$A$4:$B$29</definedName>
    <definedName name="rngCF3">'[15]Sch 2.2 - Other Carryovers'!$G$1179</definedName>
    <definedName name="rngCF3Type">'[15]Sch 2.2 - Other Carryovers'!$G$1180</definedName>
    <definedName name="rngCRN">'[15]Template Data'!$A$59</definedName>
    <definedName name="rngHide22_3">'[15]Sch 2.2 - Other Carryovers'!$A$1182</definedName>
    <definedName name="SAGABRIEL">#REF!</definedName>
    <definedName name="SANTOSEIMP">#REF!</definedName>
    <definedName name="sd" hidden="1">#REF!</definedName>
    <definedName name="SEPTIEMBRE">[1]SEP!$A$6:$H$90</definedName>
    <definedName name="SJJ">#REF!</definedName>
    <definedName name="SMGDF3">[16]VARIABLES!$B$16</definedName>
    <definedName name="SMGZ">[16]VARIABLES!$B$8</definedName>
    <definedName name="Subsidio">#REF!</definedName>
    <definedName name="SUMA1">#REF!</definedName>
    <definedName name="SUMA2">#REF!</definedName>
    <definedName name="SUMA3">#REF!</definedName>
    <definedName name="SUMA4">#REF!</definedName>
    <definedName name="SUMA5">#REF!</definedName>
    <definedName name="SUMA6">#REF!</definedName>
    <definedName name="TABLA">#REF!</definedName>
    <definedName name="TABLA1">[6]TABLA1!$A$6:$M$71</definedName>
    <definedName name="TABLA2">[6]TABLA1!$A$5:$M$72</definedName>
    <definedName name="TABLAS">#REF!</definedName>
    <definedName name="TABLON">'[17]INPC (2)'!$A$5:$M$68</definedName>
    <definedName name="Tarifa">#REF!</definedName>
    <definedName name="tasa">[18]DEPRECIACION!$E$2</definedName>
    <definedName name="TEM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[19]Conciliacion!$D$9</definedName>
    <definedName name="TextRefCopy35">#REF!</definedName>
    <definedName name="TextRefCopy36">[19]Resultados!$B$7</definedName>
    <definedName name="TextRefCopy37">[19]Resultados!$B$10</definedName>
    <definedName name="TextRefCopy38">[19]Resultados!$B$18</definedName>
    <definedName name="TextRefCopy39">#REF!</definedName>
    <definedName name="TextRefCopy4">#REF!</definedName>
    <definedName name="TextRefCopy40">[19]Conciliacion!$D$10</definedName>
    <definedName name="TextRefCopy45">'[9]Ajuste Anual'!#REF!</definedName>
    <definedName name="TextRefCopy46">'[9]Ajuste Anual'!#REF!</definedName>
    <definedName name="TextRefCopy47">'[9]Ajuste Anual'!#REF!</definedName>
    <definedName name="TextRefCopy48">'[9]Ajuste Anual'!#REF!</definedName>
    <definedName name="TextRefCopy49">#REF!</definedName>
    <definedName name="TextRefCopy5">[11]Inventarios!#REF!</definedName>
    <definedName name="TextRefCopy50">#REF!</definedName>
    <definedName name="TextRefCopy51">#REF!</definedName>
    <definedName name="TextRefCopy52">'[9]Ajuste Anual'!#REF!</definedName>
    <definedName name="TextRefCopy53">#REF!</definedName>
    <definedName name="TextRefCopy54">#REF!</definedName>
    <definedName name="TextRefCopy55">#REF!</definedName>
    <definedName name="TextRefCopy56">'[9]Ajuste Anual'!#REF!</definedName>
    <definedName name="TextRefCopy6">[2]no!$G$63</definedName>
    <definedName name="TextRefCopy7">[2]no!$G$65</definedName>
    <definedName name="TextRefCopy8">#REF!</definedName>
    <definedName name="TextRefCopy9">#REF!</definedName>
    <definedName name="TextRefCopyRangeCount" hidden="1">53</definedName>
    <definedName name="_xlnm.Print_Titles" localSheetId="5">BAL!$1:$6</definedName>
    <definedName name="TOMM1">#REF!</definedName>
    <definedName name="VACIADO_D3">[5]DIM3_R2!$R$4:$X$264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X" hidden="1">#REF!</definedName>
    <definedName name="Y">[20]Conciliacion!$D$9</definedName>
    <definedName name="Z">[20]Conciliacion!$D$10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" i="1" l="1"/>
  <c r="G148" i="1" s="1"/>
  <c r="D148" i="1"/>
  <c r="D150" i="1"/>
  <c r="J148" i="1"/>
  <c r="M148" i="1" s="1"/>
  <c r="M150" i="1"/>
  <c r="J150" i="1"/>
  <c r="M110" i="1"/>
  <c r="J110" i="1"/>
  <c r="M114" i="1"/>
  <c r="J114" i="1"/>
  <c r="K33" i="7"/>
  <c r="E185" i="1"/>
  <c r="H177" i="1"/>
  <c r="H178" i="1"/>
  <c r="H179" i="1"/>
  <c r="H180" i="1"/>
  <c r="H181" i="1"/>
  <c r="H182" i="1"/>
  <c r="H183" i="1"/>
  <c r="H172" i="1"/>
  <c r="H173" i="1"/>
  <c r="H174" i="1"/>
  <c r="H175" i="1"/>
  <c r="H176" i="1"/>
  <c r="H169" i="1"/>
  <c r="H170" i="1"/>
  <c r="H171" i="1"/>
  <c r="H167" i="1"/>
  <c r="H168" i="1"/>
  <c r="H162" i="1"/>
  <c r="H163" i="1"/>
  <c r="H164" i="1"/>
  <c r="H165" i="1"/>
  <c r="H166" i="1"/>
  <c r="H155" i="1"/>
  <c r="H156" i="1"/>
  <c r="H157" i="1"/>
  <c r="H158" i="1"/>
  <c r="H159" i="1"/>
  <c r="H160" i="1"/>
  <c r="H16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38" i="1"/>
  <c r="H139" i="1"/>
  <c r="H140" i="1"/>
  <c r="H141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86" i="1"/>
  <c r="H87" i="1"/>
  <c r="H88" i="1"/>
  <c r="H89" i="1"/>
  <c r="H90" i="1"/>
  <c r="H91" i="1"/>
  <c r="H77" i="1"/>
  <c r="H78" i="1"/>
  <c r="H79" i="1"/>
  <c r="H80" i="1"/>
  <c r="H81" i="1"/>
  <c r="H82" i="1"/>
  <c r="H83" i="1"/>
  <c r="H84" i="1"/>
  <c r="H85" i="1"/>
  <c r="H69" i="1"/>
  <c r="H70" i="1"/>
  <c r="H71" i="1"/>
  <c r="H72" i="1"/>
  <c r="H73" i="1"/>
  <c r="H74" i="1"/>
  <c r="H75" i="1"/>
  <c r="H76" i="1"/>
  <c r="H62" i="1"/>
  <c r="H63" i="1"/>
  <c r="H64" i="1"/>
  <c r="H65" i="1"/>
  <c r="H66" i="1"/>
  <c r="H67" i="1"/>
  <c r="H68" i="1"/>
  <c r="H56" i="1"/>
  <c r="H57" i="1"/>
  <c r="H58" i="1"/>
  <c r="H59" i="1"/>
  <c r="H60" i="1"/>
  <c r="H6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32" i="1"/>
  <c r="H33" i="1"/>
  <c r="H34" i="1"/>
  <c r="H35" i="1"/>
  <c r="H36" i="1"/>
  <c r="H37" i="1"/>
  <c r="H38" i="1"/>
  <c r="H39" i="1"/>
  <c r="H40" i="1"/>
  <c r="H41" i="1"/>
  <c r="H22" i="1"/>
  <c r="H23" i="1"/>
  <c r="H24" i="1"/>
  <c r="H25" i="1"/>
  <c r="H26" i="1"/>
  <c r="H27" i="1"/>
  <c r="H28" i="1"/>
  <c r="H29" i="1"/>
  <c r="H30" i="1"/>
  <c r="H31" i="1"/>
  <c r="H15" i="1"/>
  <c r="H16" i="1"/>
  <c r="H17" i="1"/>
  <c r="H18" i="1"/>
  <c r="H19" i="1"/>
  <c r="H20" i="1"/>
  <c r="H21" i="1"/>
  <c r="K32" i="7" l="1"/>
  <c r="E20" i="7"/>
  <c r="H46" i="3"/>
  <c r="H56" i="3"/>
  <c r="L5" i="1"/>
  <c r="K5" i="1"/>
  <c r="K17" i="7"/>
  <c r="K24" i="7" s="1"/>
  <c r="M4" i="1" l="1"/>
  <c r="E19" i="7"/>
  <c r="D17" i="8"/>
  <c r="D20" i="8" s="1"/>
  <c r="C17" i="8"/>
  <c r="C20" i="8" s="1"/>
  <c r="H63" i="4"/>
  <c r="L38" i="6"/>
  <c r="K39" i="6"/>
  <c r="J39" i="6"/>
  <c r="I39" i="6"/>
  <c r="K38" i="6"/>
  <c r="J38" i="6"/>
  <c r="I38" i="6"/>
  <c r="J36" i="6"/>
  <c r="L23" i="6"/>
  <c r="L22" i="6"/>
  <c r="K28" i="6" l="1"/>
  <c r="K19" i="6"/>
  <c r="G28" i="5"/>
  <c r="J28" i="5" s="1"/>
  <c r="F28" i="5"/>
  <c r="G85" i="2" l="1"/>
  <c r="G91" i="2"/>
  <c r="H42" i="3" l="1"/>
  <c r="H36" i="3"/>
  <c r="B23" i="2" l="1"/>
  <c r="K20" i="7" l="1"/>
  <c r="H68" i="3"/>
  <c r="F68" i="2" l="1"/>
  <c r="L28" i="6"/>
  <c r="J28" i="6"/>
  <c r="J10" i="6" l="1"/>
  <c r="J19" i="6" s="1"/>
  <c r="G27" i="5"/>
  <c r="F27" i="5"/>
  <c r="J27" i="5"/>
  <c r="K31" i="7"/>
  <c r="K19" i="7"/>
  <c r="K18" i="7"/>
  <c r="K16" i="7"/>
  <c r="E34" i="7"/>
  <c r="E33" i="7"/>
  <c r="E32" i="7"/>
  <c r="E31" i="7"/>
  <c r="E30" i="7"/>
  <c r="E24" i="7"/>
  <c r="E23" i="7"/>
  <c r="E22" i="7"/>
  <c r="E21" i="7"/>
  <c r="E18" i="7"/>
  <c r="E17" i="7"/>
  <c r="E16" i="7"/>
  <c r="F42" i="7"/>
  <c r="L26" i="7" l="1"/>
  <c r="K21" i="7"/>
  <c r="F36" i="7"/>
  <c r="F26" i="7"/>
  <c r="F45" i="7" l="1"/>
  <c r="H58" i="3"/>
  <c r="F185" i="1"/>
  <c r="H62" i="3"/>
  <c r="B42" i="2" s="1"/>
  <c r="H61" i="3"/>
  <c r="H50" i="3"/>
  <c r="H47" i="3"/>
  <c r="H45" i="3"/>
  <c r="H44" i="3"/>
  <c r="H43" i="3"/>
  <c r="H41" i="3"/>
  <c r="H40" i="3"/>
  <c r="H39" i="3"/>
  <c r="H38" i="3"/>
  <c r="H37" i="3"/>
  <c r="H35" i="3"/>
  <c r="H34" i="3"/>
  <c r="H33" i="3"/>
  <c r="H32" i="3"/>
  <c r="H31" i="3"/>
  <c r="H30" i="3"/>
  <c r="H29" i="3"/>
  <c r="H28" i="3"/>
  <c r="H23" i="3"/>
  <c r="H10" i="1"/>
  <c r="H11" i="1"/>
  <c r="H12" i="1"/>
  <c r="H13" i="1"/>
  <c r="H14" i="1"/>
  <c r="H8" i="1"/>
  <c r="H9" i="1"/>
  <c r="H7" i="1"/>
  <c r="H18" i="3" l="1"/>
  <c r="H51" i="3"/>
  <c r="H63" i="3"/>
  <c r="G185" i="1"/>
  <c r="J51" i="3" l="1"/>
  <c r="H20" i="3"/>
  <c r="H25" i="3" s="1"/>
  <c r="J25" i="3" s="1"/>
  <c r="J58" i="3"/>
  <c r="J45" i="3"/>
  <c r="J37" i="3"/>
  <c r="J29" i="3"/>
  <c r="J50" i="3"/>
  <c r="J23" i="3"/>
  <c r="J57" i="3"/>
  <c r="J44" i="3"/>
  <c r="J36" i="3"/>
  <c r="J28" i="3"/>
  <c r="J43" i="3"/>
  <c r="J42" i="3"/>
  <c r="J49" i="3"/>
  <c r="J56" i="3"/>
  <c r="J67" i="3"/>
  <c r="J63" i="3"/>
  <c r="J48" i="3"/>
  <c r="J40" i="3"/>
  <c r="J32" i="3"/>
  <c r="J35" i="3"/>
  <c r="J34" i="3"/>
  <c r="J41" i="3"/>
  <c r="J62" i="3"/>
  <c r="J47" i="3"/>
  <c r="J39" i="3"/>
  <c r="J31" i="3"/>
  <c r="J68" i="3"/>
  <c r="J33" i="3"/>
  <c r="J61" i="3"/>
  <c r="J46" i="3"/>
  <c r="J38" i="3"/>
  <c r="J30" i="3"/>
  <c r="G76" i="4"/>
  <c r="G74" i="4"/>
  <c r="J31" i="5"/>
  <c r="L31" i="5" s="1"/>
  <c r="G26" i="5"/>
  <c r="J26" i="5" s="1"/>
  <c r="G88" i="2"/>
  <c r="G81" i="2"/>
  <c r="G97" i="2"/>
  <c r="G94" i="2"/>
  <c r="G95" i="2"/>
  <c r="G93" i="2"/>
  <c r="G92" i="2"/>
  <c r="G90" i="2"/>
  <c r="G87" i="2"/>
  <c r="G83" i="2"/>
  <c r="J20" i="3" l="1"/>
  <c r="H53" i="3"/>
  <c r="H65" i="3" s="1"/>
  <c r="J53" i="3" l="1"/>
  <c r="H70" i="3"/>
  <c r="J65" i="3"/>
  <c r="B40" i="2"/>
  <c r="B30" i="2"/>
  <c r="J70" i="3" l="1"/>
  <c r="K34" i="7"/>
  <c r="L36" i="7" s="1"/>
  <c r="L45" i="7" s="1"/>
  <c r="L47" i="7" s="1"/>
  <c r="B21" i="2"/>
  <c r="F48" i="7" l="1"/>
  <c r="B53" i="2"/>
  <c r="G79" i="2" s="1"/>
  <c r="J21" i="5" l="1"/>
  <c r="G80" i="2" l="1"/>
  <c r="B28" i="6" l="1"/>
  <c r="B38" i="6" s="1"/>
  <c r="I23" i="6"/>
  <c r="I28" i="6" s="1"/>
  <c r="H23" i="6"/>
  <c r="H28" i="6" s="1"/>
  <c r="G23" i="6"/>
  <c r="G28" i="6" s="1"/>
  <c r="F23" i="6"/>
  <c r="F28" i="6" s="1"/>
  <c r="E23" i="6"/>
  <c r="E28" i="6" s="1"/>
  <c r="D23" i="6"/>
  <c r="D28" i="6" s="1"/>
  <c r="C23" i="6"/>
  <c r="C28" i="6" s="1"/>
  <c r="I22" i="6"/>
  <c r="H22" i="6"/>
  <c r="G22" i="6"/>
  <c r="F22" i="6"/>
  <c r="E22" i="6"/>
  <c r="D22" i="6"/>
  <c r="C22" i="6"/>
  <c r="I10" i="6"/>
  <c r="I19" i="6" s="1"/>
  <c r="H10" i="6"/>
  <c r="H19" i="6" s="1"/>
  <c r="G10" i="6"/>
  <c r="G19" i="6" s="1"/>
  <c r="F10" i="6"/>
  <c r="F19" i="6" s="1"/>
  <c r="E10" i="6"/>
  <c r="E19" i="6" s="1"/>
  <c r="D10" i="6"/>
  <c r="D19" i="6" s="1"/>
  <c r="C10" i="6"/>
  <c r="C19" i="6" s="1"/>
  <c r="B10" i="6"/>
  <c r="B19" i="6" s="1"/>
  <c r="J25" i="5"/>
  <c r="G24" i="5"/>
  <c r="J24" i="5" s="1"/>
  <c r="F24" i="5"/>
  <c r="G23" i="5"/>
  <c r="J23" i="5" s="1"/>
  <c r="F23" i="5"/>
  <c r="G22" i="5"/>
  <c r="J22" i="5" s="1"/>
  <c r="F22" i="5"/>
  <c r="G20" i="5"/>
  <c r="J20" i="5" s="1"/>
  <c r="J19" i="5"/>
  <c r="J18" i="5"/>
  <c r="J17" i="5"/>
  <c r="J16" i="5"/>
  <c r="J15" i="5"/>
  <c r="J14" i="5"/>
  <c r="J13" i="5"/>
  <c r="F13" i="5"/>
  <c r="E13" i="5"/>
  <c r="E14" i="5" s="1"/>
  <c r="E15" i="5" s="1"/>
  <c r="E16" i="5" s="1"/>
  <c r="E17" i="5" s="1"/>
  <c r="E18" i="5" s="1"/>
  <c r="E19" i="5" s="1"/>
  <c r="E20" i="5" s="1"/>
  <c r="E21" i="5" s="1"/>
  <c r="B39" i="6" l="1"/>
  <c r="C36" i="6" s="1"/>
  <c r="C38" i="6"/>
  <c r="C39" i="6" s="1"/>
  <c r="D36" i="6" s="1"/>
  <c r="D38" i="6" s="1"/>
  <c r="D39" i="6" s="1"/>
  <c r="E36" i="6" s="1"/>
  <c r="E38" i="6" s="1"/>
  <c r="E39" i="6" s="1"/>
  <c r="E22" i="5"/>
  <c r="E23" i="5" s="1"/>
  <c r="E24" i="5" s="1"/>
  <c r="E25" i="5" s="1"/>
  <c r="L21" i="5"/>
  <c r="L13" i="5"/>
  <c r="K14" i="5" s="1"/>
  <c r="L14" i="5" s="1"/>
  <c r="K15" i="5" s="1"/>
  <c r="L15" i="5" s="1"/>
  <c r="K16" i="5" s="1"/>
  <c r="L16" i="5" s="1"/>
  <c r="K17" i="5" s="1"/>
  <c r="L17" i="5" s="1"/>
  <c r="K18" i="5" s="1"/>
  <c r="L18" i="5" s="1"/>
  <c r="K19" i="5" s="1"/>
  <c r="L19" i="5" s="1"/>
  <c r="K20" i="5" s="1"/>
  <c r="L20" i="5" s="1"/>
  <c r="K21" i="5" s="1"/>
  <c r="K22" i="5" s="1"/>
  <c r="L22" i="5" s="1"/>
  <c r="K23" i="5" s="1"/>
  <c r="L23" i="5" s="1"/>
  <c r="K24" i="5" s="1"/>
  <c r="L24" i="5" s="1"/>
  <c r="K25" i="5" s="1"/>
  <c r="L25" i="5" s="1"/>
  <c r="K26" i="5" l="1"/>
  <c r="L26" i="5" s="1"/>
  <c r="E26" i="5"/>
  <c r="E27" i="5" s="1"/>
  <c r="E28" i="5" s="1"/>
  <c r="F36" i="6"/>
  <c r="F38" i="6" s="1"/>
  <c r="F39" i="6" s="1"/>
  <c r="G36" i="6" s="1"/>
  <c r="G38" i="6" s="1"/>
  <c r="G39" i="6" s="1"/>
  <c r="H36" i="6" s="1"/>
  <c r="H38" i="6" s="1"/>
  <c r="H39" i="6" s="1"/>
  <c r="L32" i="5" l="1"/>
  <c r="K27" i="5"/>
  <c r="L27" i="5" s="1"/>
  <c r="K28" i="5" s="1"/>
  <c r="L28" i="5" s="1"/>
  <c r="I36" i="6"/>
  <c r="K36" i="6"/>
  <c r="L36" i="6" s="1"/>
  <c r="B67" i="2"/>
  <c r="B55" i="2" l="1"/>
  <c r="L12" i="6" s="1"/>
  <c r="B52" i="2"/>
  <c r="B41" i="2"/>
  <c r="B14" i="2"/>
  <c r="B12" i="2"/>
  <c r="B8" i="2"/>
  <c r="D4" i="2"/>
  <c r="A2" i="2"/>
  <c r="A2" i="6" s="1"/>
  <c r="C17" i="2" l="1"/>
  <c r="H17" i="2" s="1"/>
  <c r="B2" i="5"/>
  <c r="G10" i="4"/>
  <c r="G56" i="4"/>
  <c r="B71" i="2" l="1"/>
  <c r="C58" i="2" l="1"/>
  <c r="B69" i="2"/>
  <c r="J78" i="4" l="1"/>
  <c r="G78" i="4"/>
  <c r="I62" i="4" l="1"/>
  <c r="G36" i="4"/>
  <c r="G38" i="4" s="1"/>
  <c r="J38" i="4" l="1"/>
  <c r="B31" i="2" l="1"/>
  <c r="C34" i="2" s="1"/>
  <c r="D90" i="2"/>
  <c r="A53" i="2"/>
  <c r="E52" i="2"/>
  <c r="C76" i="2" l="1"/>
  <c r="C25" i="2" l="1"/>
  <c r="G25" i="2" s="1"/>
  <c r="D36" i="2" l="1"/>
  <c r="J36" i="2" l="1"/>
  <c r="G30" i="2"/>
  <c r="G33" i="2" s="1"/>
  <c r="G36" i="2"/>
  <c r="G41" i="2" s="1"/>
  <c r="G51" i="4"/>
  <c r="G37" i="2" l="1"/>
  <c r="G60" i="4"/>
  <c r="R51" i="4"/>
  <c r="O36" i="4" l="1"/>
  <c r="O38" i="4" s="1"/>
  <c r="P38" i="4" l="1"/>
  <c r="G41" i="4"/>
  <c r="O41" i="4" s="1"/>
  <c r="O43" i="4" s="1"/>
  <c r="B57" i="2"/>
  <c r="C63" i="2" s="1"/>
  <c r="C48" i="2"/>
  <c r="E48" i="2" s="1"/>
  <c r="D78" i="2" l="1"/>
  <c r="G78" i="2" s="1"/>
  <c r="G84" i="2" s="1"/>
  <c r="E4" i="2"/>
  <c r="D80" i="2" l="1"/>
  <c r="G86" i="2"/>
  <c r="G98" i="2" s="1"/>
  <c r="F78" i="2"/>
  <c r="E80" i="2" l="1"/>
  <c r="G54" i="4"/>
  <c r="F98" i="2"/>
  <c r="G74" i="2"/>
  <c r="D82" i="2"/>
  <c r="E82" i="2" l="1"/>
  <c r="D83" i="2"/>
  <c r="D84" i="2" s="1"/>
  <c r="H73" i="2"/>
  <c r="G76" i="2"/>
  <c r="H76" i="2" s="1"/>
  <c r="D87" i="2" l="1"/>
  <c r="G58" i="4"/>
  <c r="L8" i="6"/>
  <c r="H64" i="4"/>
  <c r="I63" i="4"/>
  <c r="I64" i="4" s="1"/>
  <c r="L10" i="6" l="1"/>
  <c r="L19" i="6" s="1"/>
  <c r="L39" i="6" s="1"/>
  <c r="O49" i="4"/>
  <c r="D91" i="2"/>
  <c r="G45" i="4" l="1"/>
  <c r="O56" i="4"/>
  <c r="O53" i="4"/>
  <c r="O58" i="4"/>
  <c r="O60" i="4"/>
  <c r="O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 Chavez</author>
  </authors>
  <commentList>
    <comment ref="G4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Alma Chavez:</t>
        </r>
        <r>
          <rPr>
            <sz val="9"/>
            <color indexed="81"/>
            <rFont val="Tahoma"/>
            <family val="2"/>
          </rPr>
          <t xml:space="preserve">
Dato DA Ejercicio anterior.</t>
        </r>
      </text>
    </comment>
  </commentList>
</comments>
</file>

<file path=xl/sharedStrings.xml><?xml version="1.0" encoding="utf-8"?>
<sst xmlns="http://schemas.openxmlformats.org/spreadsheetml/2006/main" count="748" uniqueCount="497">
  <si>
    <t>Resultado</t>
  </si>
  <si>
    <t>del Ejercicio</t>
  </si>
  <si>
    <t xml:space="preserve"> " Ingresos según Estado de Resultados " </t>
  </si>
  <si>
    <t xml:space="preserve">INGRESOS </t>
  </si>
  <si>
    <t>ING X RETRABAJOS</t>
  </si>
  <si>
    <t>INGRESOS POR ACTUALIZACION</t>
  </si>
  <si>
    <t>DEV SOBRE VENTA</t>
  </si>
  <si>
    <t>PRODUCTOS FINANCIEROS</t>
  </si>
  <si>
    <t>REND BANCARIOS</t>
  </si>
  <si>
    <t xml:space="preserve">OTROS PROD </t>
  </si>
  <si>
    <t>OTROS ING NO ACUMULABLES</t>
  </si>
  <si>
    <t>Total ingresos según Estado de Resultados</t>
  </si>
  <si>
    <t>INGRESOS CONTABLES NO FISCALES:</t>
  </si>
  <si>
    <t>ACTUALIZACION DEV DE IMPUESTOS</t>
  </si>
  <si>
    <t>VENTA DE ACTIVOS</t>
  </si>
  <si>
    <t>Anticipos de clientes ( Ejercicio año anterior )</t>
  </si>
  <si>
    <t>Otros Ingresos NO Acumulables</t>
  </si>
  <si>
    <t>INGRESOS FISCALES NO CONTABLES:</t>
  </si>
  <si>
    <t>INVENTARIO ACUMULABLE</t>
  </si>
  <si>
    <t>AJUSTE ANUAL X INF ACUMULABLE</t>
  </si>
  <si>
    <t>UTILIDAD EN VENTA DE ACTIVO FIJO</t>
  </si>
  <si>
    <t>Disponible</t>
  </si>
  <si>
    <t xml:space="preserve">Total  Ingresos Acumulables </t>
  </si>
  <si>
    <t xml:space="preserve"> " Deducciones  según Estado de Resultados " </t>
  </si>
  <si>
    <t>COSTO DE VENTAS</t>
  </si>
  <si>
    <t>GASTOS GENERALES</t>
  </si>
  <si>
    <t>GASTOS FINANCIEROS</t>
  </si>
  <si>
    <t xml:space="preserve">DEV SOBRE VENTA </t>
  </si>
  <si>
    <t>OTROS GASTOS</t>
  </si>
  <si>
    <t>OTROS GASTOS (ISR+PTU)</t>
  </si>
  <si>
    <t>Total de gastos según estado de resultados:</t>
  </si>
  <si>
    <t>Deducciones Contables NO Fiscales :</t>
  </si>
  <si>
    <t>DEPRECIACION CONTABLE</t>
  </si>
  <si>
    <t>Dontivos no Deducibles</t>
  </si>
  <si>
    <t>NO DEDUCIBLES</t>
  </si>
  <si>
    <t>Otros N.D.</t>
  </si>
  <si>
    <t xml:space="preserve">ISR/PTU DEL EJERCICIO </t>
  </si>
  <si>
    <t>Sueldos y Salarios exentos NO Deducibles</t>
  </si>
  <si>
    <t>Cuentas por pagar a  Regimen simplificado / Soc CIV / Asoc Civ</t>
  </si>
  <si>
    <t>Costo por venta de activo fijo</t>
  </si>
  <si>
    <t>Deducciones Fiscales NO Contables:</t>
  </si>
  <si>
    <t xml:space="preserve">COSTO DE VENTAS FISCAL </t>
  </si>
  <si>
    <t>COSTO DE VENTAS FISCAL  ( NO DED )</t>
  </si>
  <si>
    <t>AJUSTE ANUAL X INF  DEDUCIBLE</t>
  </si>
  <si>
    <t>DEPRECIACION FISCAL NORMAL</t>
  </si>
  <si>
    <t>DEPRECIACION FISCAL DED INMEDIATA</t>
  </si>
  <si>
    <t>Costo fiscal por venta de Activo Fijo</t>
  </si>
  <si>
    <t xml:space="preserve">Total deduccioens autorizadas </t>
  </si>
  <si>
    <t>Base</t>
  </si>
  <si>
    <t xml:space="preserve">PTU pagada en el año </t>
  </si>
  <si>
    <t>Amortizacion de Perdidas de Ejercicios Anteriores</t>
  </si>
  <si>
    <t>Resultado Fiscal</t>
  </si>
  <si>
    <t>Tasa</t>
  </si>
  <si>
    <t xml:space="preserve">ISR  del  Ejercicio </t>
  </si>
  <si>
    <t xml:space="preserve">Pagos provisionales de ISR PM </t>
  </si>
  <si>
    <t>Neto a Cargo ( + ) a  Favor ( - )</t>
  </si>
  <si>
    <t>ISR DEL EJERCICIO</t>
  </si>
  <si>
    <t>DECLARACION DEL EJERCICIO</t>
  </si>
  <si>
    <t>PERSONAS MORALES DEL REGIMEN GENERAL F18</t>
  </si>
  <si>
    <t>DATOS DE IDENTIFICACION</t>
  </si>
  <si>
    <t>RFC</t>
  </si>
  <si>
    <t>DENOMINACION O RAZON SOCIAL</t>
  </si>
  <si>
    <t>DATOS GENERALES</t>
  </si>
  <si>
    <t>TIPO DE DECLARACIÓN</t>
  </si>
  <si>
    <t>TIPO DE COMPLEMENTARIA</t>
  </si>
  <si>
    <t xml:space="preserve">PERIODO </t>
  </si>
  <si>
    <t>Del Ejercicio</t>
  </si>
  <si>
    <t>EJERCICIO:</t>
  </si>
  <si>
    <t xml:space="preserve">INDIQUE SI OPTA POR DICTAMINAR SUS ESTADOS FINANCIEROS </t>
  </si>
  <si>
    <t>NO</t>
  </si>
  <si>
    <t>DATOS DEL DOMICILIO FISCAL ( VIGENTE )</t>
  </si>
  <si>
    <t>DOMICILIO</t>
  </si>
  <si>
    <t>NUM EXTERIOR</t>
  </si>
  <si>
    <t>NUMERO INTERIOR</t>
  </si>
  <si>
    <t>COLONIA</t>
  </si>
  <si>
    <t>CODIGO POSTAL</t>
  </si>
  <si>
    <t>ESTADO</t>
  </si>
  <si>
    <t xml:space="preserve">   Chihuahua</t>
  </si>
  <si>
    <t xml:space="preserve">  CIUDAD</t>
  </si>
  <si>
    <t>CIEC</t>
  </si>
  <si>
    <t>FIEL</t>
  </si>
  <si>
    <r>
      <rPr>
        <b/>
        <sz val="11"/>
        <color indexed="10"/>
        <rFont val="Calibri"/>
        <family val="2"/>
      </rPr>
      <t xml:space="preserve">       Nota: </t>
    </r>
    <r>
      <rPr>
        <sz val="10"/>
        <rFont val="Arial"/>
        <family val="2"/>
      </rPr>
      <t>Verificar que el domicilio fiscal y la FIEL esten vigentes</t>
    </r>
  </si>
  <si>
    <t>RESUMEN INFORMATIVO</t>
  </si>
  <si>
    <t>Ventas Ejercicio Anterior</t>
  </si>
  <si>
    <t>Deducciones autorizadas Ejerc Anterior</t>
  </si>
  <si>
    <t>Ventas Ejercicio Actual</t>
  </si>
  <si>
    <t>Deducciones autorizadas Ejerc Actual</t>
  </si>
  <si>
    <t>Variacion de Ingresos</t>
  </si>
  <si>
    <t>Variacion de Deducciones autorizadas</t>
  </si>
  <si>
    <t>Variacion neta acumulada</t>
  </si>
  <si>
    <t>Impacto en ISR del Ejercicio</t>
  </si>
  <si>
    <t>ISR del Ejercicio anterior</t>
  </si>
  <si>
    <t>Probable impto a determinar Ejec Actual</t>
  </si>
  <si>
    <t>Impacto Real en ISR del Ejercicio</t>
  </si>
  <si>
    <t xml:space="preserve">Ingresos acumulables año anterior  </t>
  </si>
  <si>
    <t>ISR del Ejercicio</t>
  </si>
  <si>
    <t>Ingresos acumulables año actual</t>
  </si>
  <si>
    <t>ISR a Pagar  Neto del año</t>
  </si>
  <si>
    <t>Resultado del ejercicio :</t>
  </si>
  <si>
    <t>% de ISR respecto a Ingresos Acum</t>
  </si>
  <si>
    <t>% de ISR respecto a Utilidad Fiscal</t>
  </si>
  <si>
    <t xml:space="preserve">Ingresos Acumulables del año </t>
  </si>
  <si>
    <t>% de ISR respecto a Utilidad Contable</t>
  </si>
  <si>
    <t xml:space="preserve">ISR a Favor del año </t>
  </si>
  <si>
    <t>Diferencia en factor</t>
  </si>
  <si>
    <t xml:space="preserve">Fecha </t>
  </si>
  <si>
    <t>Realizó</t>
  </si>
  <si>
    <t>Revisó</t>
  </si>
  <si>
    <t>Autorizó</t>
  </si>
  <si>
    <t xml:space="preserve">FECHA y HORA DE PRESENTACIÓN </t>
  </si>
  <si>
    <t>NUMERO DE OPERACIÓN</t>
  </si>
  <si>
    <t>Normal</t>
  </si>
  <si>
    <t>Informacion Timbrada Plataforma</t>
  </si>
  <si>
    <t>Informacion Nomina Contabilidad</t>
  </si>
  <si>
    <t>Sueldos</t>
  </si>
  <si>
    <t>Diferencia</t>
  </si>
  <si>
    <t xml:space="preserve">Impuesto </t>
  </si>
  <si>
    <t>%</t>
  </si>
  <si>
    <t>Acumulado</t>
  </si>
  <si>
    <t>Perdida Contable:</t>
  </si>
  <si>
    <t>AL SERVICIOS MULTIPLES EMPRESARIALES SA DE CV</t>
  </si>
  <si>
    <t>Estado de Resultados</t>
  </si>
  <si>
    <t>(Importes expresados en pesos)</t>
  </si>
  <si>
    <t xml:space="preserve">Del Período </t>
  </si>
  <si>
    <t xml:space="preserve">I N G R E S O S </t>
  </si>
  <si>
    <t>Ingresos por servicios</t>
  </si>
  <si>
    <t>Descuentos o bonificaciones</t>
  </si>
  <si>
    <t>INGRESOS NETOS</t>
  </si>
  <si>
    <t>C O S T O S</t>
  </si>
  <si>
    <t>Costo de Ventas</t>
  </si>
  <si>
    <t>UTILIDAD BRUTA</t>
  </si>
  <si>
    <t>Gastos de Operación</t>
  </si>
  <si>
    <t>Sueldos y Salarios</t>
  </si>
  <si>
    <t>Impuestos y Derechos</t>
  </si>
  <si>
    <t xml:space="preserve">Honorarios </t>
  </si>
  <si>
    <t>Arrendamiento</t>
  </si>
  <si>
    <t>Seguros y Fianzas</t>
  </si>
  <si>
    <t>Servicios</t>
  </si>
  <si>
    <t>Capacitación al Personal</t>
  </si>
  <si>
    <t>Fletes y/o Mensajería</t>
  </si>
  <si>
    <t>Seguridad e higiene</t>
  </si>
  <si>
    <t>Mantenimiento</t>
  </si>
  <si>
    <t>Combustibles</t>
  </si>
  <si>
    <t>Propaganda y Publicidad</t>
  </si>
  <si>
    <t>Cuotas y Suscripciones</t>
  </si>
  <si>
    <t>Gastos de Viaje</t>
  </si>
  <si>
    <t>Papelería y Art. de Oficina</t>
  </si>
  <si>
    <t>Depreciaciones</t>
  </si>
  <si>
    <t>Recargos</t>
  </si>
  <si>
    <t>Varios</t>
  </si>
  <si>
    <t>Uniformes</t>
  </si>
  <si>
    <t>No deducibles</t>
  </si>
  <si>
    <t>GASTOS DE OPERACIÓN</t>
  </si>
  <si>
    <t>UTILIDAD O (PÉRDIDA) DE OPERACIÓN</t>
  </si>
  <si>
    <t>OTROS INGRESOS Y GASTOS</t>
  </si>
  <si>
    <t>Otros Productos</t>
  </si>
  <si>
    <t>Otros Gastos</t>
  </si>
  <si>
    <t>TOTAL OTROS INGRESOS</t>
  </si>
  <si>
    <t>RES. INT. DE FINANCIAMIENTO</t>
  </si>
  <si>
    <t>Productos Financieros</t>
  </si>
  <si>
    <t>Gastos Financieros</t>
  </si>
  <si>
    <t>TOTAL R. I. F.</t>
  </si>
  <si>
    <t>RESULTADO ANTES DE IMPUESTOS</t>
  </si>
  <si>
    <t>PTU DEL EJERCICIO</t>
  </si>
  <si>
    <t>RESULTADO DEL EJERCICIO</t>
  </si>
  <si>
    <t xml:space="preserve">              C. P. SERGIO ALEJANDRO CHAVARRÍA SOLÍS</t>
  </si>
  <si>
    <t>LIC. GABRIELA TORRES RAMIREZ</t>
  </si>
  <si>
    <t xml:space="preserve">               CEDULA PROFESIONAL 7997330</t>
  </si>
  <si>
    <t>REPRESENTANTE LEGAL</t>
  </si>
  <si>
    <t xml:space="preserve">                CONTADOR EXTERNO</t>
  </si>
  <si>
    <t>CONTADOR EXTERNO</t>
  </si>
  <si>
    <t>SME170717GA0</t>
  </si>
  <si>
    <t>Utilidad Fiscal:</t>
  </si>
  <si>
    <t>CUENTA DE CAPITAL DE APORTACIÓN (CUCA)</t>
  </si>
  <si>
    <t>TIPO DE MOVIMIENTO</t>
  </si>
  <si>
    <t>FEHA</t>
  </si>
  <si>
    <t>MONTO</t>
  </si>
  <si>
    <t>CAPITAL SOCIAL (HISTORICO)</t>
  </si>
  <si>
    <t>INPC FECHA DEL MOVIMIENTO</t>
  </si>
  <si>
    <t>INPC DE ACTUALIZACIÓN</t>
  </si>
  <si>
    <t>FACTOR DE ACTUALIZACIÓN</t>
  </si>
  <si>
    <t>CAP. SOCIAL ACT. MAS/MENOS AUMENTO O DISMINUCIÓN DE CAPITAL</t>
  </si>
  <si>
    <t>CAPITAL SOCIAL ACTUALIZADO</t>
  </si>
  <si>
    <t>APORTACIÓN INICIAL</t>
  </si>
  <si>
    <t>ACTUALIZACION A 2010</t>
  </si>
  <si>
    <t>ACTUALIZACION A 2011</t>
  </si>
  <si>
    <t>ACTUALIZACION A 2012</t>
  </si>
  <si>
    <t>ACTUALIZACION A 2013</t>
  </si>
  <si>
    <t>ACTUALIZACION A 2014</t>
  </si>
  <si>
    <t>ACTUALIZACION A 2015</t>
  </si>
  <si>
    <t>ACTUALIZACION A 2016</t>
  </si>
  <si>
    <t>ACTUALIZACION A 2018</t>
  </si>
  <si>
    <t>ACTUALIZACION A 2019</t>
  </si>
  <si>
    <t>ACTUALIZACION A 2020</t>
  </si>
  <si>
    <t>ACTUALIZACION A 2021</t>
  </si>
  <si>
    <t>DETERMINACION DE SALDO DE CUFIN 2014 EN ADELANT</t>
  </si>
  <si>
    <t>RESULTADO FISCAL</t>
  </si>
  <si>
    <t>ISR PAGADO ANUAL</t>
  </si>
  <si>
    <t>DECRETO DE DIVIDENDOS</t>
  </si>
  <si>
    <t xml:space="preserve">PTU  pagada Art10 f-1 </t>
  </si>
  <si>
    <t>CUFIN</t>
  </si>
  <si>
    <t>DIC.2013</t>
  </si>
  <si>
    <t>DIC.2014</t>
  </si>
  <si>
    <t>DIC.2015</t>
  </si>
  <si>
    <t>DIC.2016</t>
  </si>
  <si>
    <t>DIC.2017</t>
  </si>
  <si>
    <t>DIC.2018</t>
  </si>
  <si>
    <t>DIC.2019</t>
  </si>
  <si>
    <t>DIC.2020</t>
  </si>
  <si>
    <t>DIC.2021</t>
  </si>
  <si>
    <t>FACTOR ACTUALIZACION</t>
  </si>
  <si>
    <t>Cufin Actualizada al cierre del año ANTERIOR</t>
  </si>
  <si>
    <t>Cufin actual. del año anterior</t>
  </si>
  <si>
    <t xml:space="preserve">Cufin acumulada </t>
  </si>
  <si>
    <t xml:space="preserve"> AL SERVICIOS MULTIPLES EMPRESARIALES SA DE CV</t>
  </si>
  <si>
    <t>Balanza de Comprobación</t>
  </si>
  <si>
    <t>RFC: SME170717GA0</t>
  </si>
  <si>
    <t>CUENTA</t>
  </si>
  <si>
    <t>SALDO INICIAL</t>
  </si>
  <si>
    <t>DEBE</t>
  </si>
  <si>
    <t>HABER</t>
  </si>
  <si>
    <t>SALDO FINAL</t>
  </si>
  <si>
    <t>*</t>
  </si>
  <si>
    <t>1110 CAJA Y EFECTIVO</t>
  </si>
  <si>
    <t>1110-0001 CAJA Y EFECTIVO</t>
  </si>
  <si>
    <t>1120 BANCOS</t>
  </si>
  <si>
    <t>1120-0001 BBVA BANCOMER</t>
  </si>
  <si>
    <t>1120-0002 SANTANDER</t>
  </si>
  <si>
    <t>1120-0003 BBVA BANCOMER DOLARES</t>
  </si>
  <si>
    <t>1120-0003-0001 BBVA DOLARES</t>
  </si>
  <si>
    <t>1120-0003-0002 BBVA COMPLEMENTARIA</t>
  </si>
  <si>
    <t>1150 FUNCIONARIOS Y EMPLEADOS</t>
  </si>
  <si>
    <t>1160 IVA ACREDITABLE</t>
  </si>
  <si>
    <t>1167 IVA ACREDITABLE NO PAGADO</t>
  </si>
  <si>
    <t>1170 INVENTARIO</t>
  </si>
  <si>
    <t>1170-0001 INVENTARIO</t>
  </si>
  <si>
    <t>1195 CONTRIBUCIONES A FAVOR</t>
  </si>
  <si>
    <t>1195-0001 IVA A FAVOR</t>
  </si>
  <si>
    <t>1195-0002 ISR A FAVOR</t>
  </si>
  <si>
    <t>1195-0003 SUBSIDIO AL EMPLEO</t>
  </si>
  <si>
    <t>1195-0004 PAGO DE LO INDEBIDO</t>
  </si>
  <si>
    <t>1196 PAGOS ANTICIPADOS</t>
  </si>
  <si>
    <t>1196-0001 OTROS PAGOS ANTICIPADOS</t>
  </si>
  <si>
    <t>1197 ANTICIPO A PROVEEDORES</t>
  </si>
  <si>
    <t>1197-0001 ANTICIPO A PROVEEDORES</t>
  </si>
  <si>
    <t>1210 MOBILIARIO Y EQUIPO</t>
  </si>
  <si>
    <t>1210-0001 MOBILIARIO Y EQUIPO</t>
  </si>
  <si>
    <t>1215 DEP ACUM DE MOBILIARIO Y EQUIPO</t>
  </si>
  <si>
    <t>1220 EQUIPO DE COMPUTO</t>
  </si>
  <si>
    <t>1220-0001 EQUIPO DE COMPUTO</t>
  </si>
  <si>
    <t>1225 DEP ACUM DE EQUIPO DE COMPUTO</t>
  </si>
  <si>
    <t>1230 EQUIPO DE TRANSPORTE</t>
  </si>
  <si>
    <t>1230-0001 EQUIPO DE TRANSPORTE</t>
  </si>
  <si>
    <t>1235 DEP ACUM DE EQUIPO DE TRANSPORTE</t>
  </si>
  <si>
    <t>1240 MAQUINARIA Y EQUIPO</t>
  </si>
  <si>
    <t>1240-0001 MAQUINARIA Y EQUIPO</t>
  </si>
  <si>
    <t>1245 DEP ACUM DE MAQUINARIA Y EQUIPO</t>
  </si>
  <si>
    <t>2110 PROVEEDORES</t>
  </si>
  <si>
    <t>2120 ACREEDORES DIVERSOS</t>
  </si>
  <si>
    <t>2120-0002 PRESTAMOS</t>
  </si>
  <si>
    <t>2120-9998 OTRAS DEDUCCIONES</t>
  </si>
  <si>
    <t>2120-9999 SUELDOS POR PAGAR</t>
  </si>
  <si>
    <t>2130 ANTICIPO DE CLIENTES</t>
  </si>
  <si>
    <t>3100 CAPITAL SOCIAL</t>
  </si>
  <si>
    <t>3100-0001 CAPITAL FIJO</t>
  </si>
  <si>
    <t>3110 APORTACIONES</t>
  </si>
  <si>
    <t>3160 RESULTADO DE EJERCICIOS ANTERIORES</t>
  </si>
  <si>
    <t>3160-2017 RESULTADO DEL EJERCICIO 2017</t>
  </si>
  <si>
    <t>3160-2018 RESULTADO DEL EJERCICIO 2018</t>
  </si>
  <si>
    <t>3160-2019 RESULTADO DEL EJERCICIO 2019</t>
  </si>
  <si>
    <t>3160-2020 RESULTADO DEL EJERCICIO 2020</t>
  </si>
  <si>
    <t>4110 INGRESOS</t>
  </si>
  <si>
    <t>4110-0001 INGRESOS POR SERVICIOS T-0%</t>
  </si>
  <si>
    <t>4110-9999 OTROS INGRESOS</t>
  </si>
  <si>
    <t>5110 COSTO DE VENTAS</t>
  </si>
  <si>
    <t>5110-0001 MATERIALES PARA MAQUINARIA</t>
  </si>
  <si>
    <t>5110-0003 MATERIAL PARA CONSTRUCCION</t>
  </si>
  <si>
    <t xml:space="preserve">5110-0005 MATERIAL PARA EMPAQUES </t>
  </si>
  <si>
    <t>6110 SUELDOS Y SALARIOS</t>
  </si>
  <si>
    <t>6110-0001 SUELDO Y SEPTIMO DIA</t>
  </si>
  <si>
    <t>6110-0002 BONO DE PUNTUALIDAD</t>
  </si>
  <si>
    <t>6110-0003 BONO DE ASISTENCIA</t>
  </si>
  <si>
    <t>6110-0004 BONO DE DESPENSA</t>
  </si>
  <si>
    <t>6110-0005 PERCEPCION EXENTA</t>
  </si>
  <si>
    <t>6110-0006 AGUINALDO</t>
  </si>
  <si>
    <t>6110-0007 VACACIONES</t>
  </si>
  <si>
    <t>6110-0008 PRIMA VACACIONAL</t>
  </si>
  <si>
    <t>6110-0010 HORAS EXTRAS DOBLES</t>
  </si>
  <si>
    <t>6110-0011 HORAS EXTRAS TRIPLES</t>
  </si>
  <si>
    <t>6120 IMPUESTOS</t>
  </si>
  <si>
    <t>6120-0001 IMSS</t>
  </si>
  <si>
    <t>6120-0002 SAR</t>
  </si>
  <si>
    <t>6120-0003 INFONAVIT</t>
  </si>
  <si>
    <t>6120-0004 ISN</t>
  </si>
  <si>
    <t>6120-0005 OTROS</t>
  </si>
  <si>
    <t>6125 HONORARIOS</t>
  </si>
  <si>
    <t>6130 ARRENDAMIENTO</t>
  </si>
  <si>
    <t>6130-0002 ARRENDAMIENTO PM</t>
  </si>
  <si>
    <t>6135 SEGUROS Y FIANZAS</t>
  </si>
  <si>
    <t>6140 SERVICIOS</t>
  </si>
  <si>
    <t>6140-0001 ENERGIA ELECTRICA</t>
  </si>
  <si>
    <t>6140-0002 AGUA</t>
  </si>
  <si>
    <t>6140-0004 TELEFONO E INTERNET</t>
  </si>
  <si>
    <t>6144 CAPACITACION AL PERSONAL</t>
  </si>
  <si>
    <t>6145 FLETES</t>
  </si>
  <si>
    <t>6146 MENSAJERIA</t>
  </si>
  <si>
    <t>6147 SEGURIDAD E HIGIENE</t>
  </si>
  <si>
    <t>6150 MANTENIMIENTOS</t>
  </si>
  <si>
    <t>6150-0001 OFICINA</t>
  </si>
  <si>
    <t xml:space="preserve">6150-0005 MANTENIMIENTO DE MAQUINARIA </t>
  </si>
  <si>
    <t>6160 COMBUSTIBLES</t>
  </si>
  <si>
    <t>6165 PAPELERIA Y ART DE OFICINA</t>
  </si>
  <si>
    <t>6170 CUOTAS Y SUSCRIPCIONES</t>
  </si>
  <si>
    <t>6185 DEPRECIACIONES</t>
  </si>
  <si>
    <t>6190 RECARGOS</t>
  </si>
  <si>
    <t>6195 GASTOS DIVERSOS</t>
  </si>
  <si>
    <t>6196 UNIFORMES</t>
  </si>
  <si>
    <t>6290 NO DEDUCIBLES</t>
  </si>
  <si>
    <t>6290-0001 NO DEDUCIBLES SIN COMPROBANTES</t>
  </si>
  <si>
    <t>6290-0002 NO DEDUCIBLES SIN REQUISITOS FISC</t>
  </si>
  <si>
    <t>6410 GASTOS FINANCIEROS</t>
  </si>
  <si>
    <t>6410-0001 COMISIONES BANCARIAS</t>
  </si>
  <si>
    <t>6410-0002 PERDIDA CAMBIARIA</t>
  </si>
  <si>
    <t>6410-0003 INTERESES</t>
  </si>
  <si>
    <t>6510   IMPUESTOS A LA UTILIDAD</t>
  </si>
  <si>
    <t>6510-0001   ISR DEL EJERCICIO</t>
  </si>
  <si>
    <t>6510-0002   PTU DEL EJERCICIO</t>
  </si>
  <si>
    <t>7510 PRODUCTOS FINANCIEROS</t>
  </si>
  <si>
    <t>7510-0002 UTILIDAD CAMBIARIA</t>
  </si>
  <si>
    <t>SUMAS IGUALES</t>
  </si>
  <si>
    <t>1190 IMPUESTOS</t>
  </si>
  <si>
    <t>1190-0001 ISR PAGOS PROVISIONALES</t>
  </si>
  <si>
    <t>1197-0002 ANTICIPO SERV GASOLINEROS (OXXO GAS)</t>
  </si>
  <si>
    <t>2120-0002-BBCR PRESTAMO BBVA CREDITO REVOLVENTE</t>
  </si>
  <si>
    <t>2140 IMPUESTOS POR PAGAR</t>
  </si>
  <si>
    <t>2140-0001 IMPUESTOS RET DE ISR X SALARIOS</t>
  </si>
  <si>
    <t>2140-0002 IMPUESTOS RET DE ISR X SERVICIOS PROF</t>
  </si>
  <si>
    <t>2140-0003 IMPUESTOS RET DE ISR X ARREND</t>
  </si>
  <si>
    <t>2140-0004 IMPUESTOS RET DE IVA</t>
  </si>
  <si>
    <t>2140-0005 RETENCION IMSS OBRERO</t>
  </si>
  <si>
    <t>2140-0010 ISN POR PAGAR</t>
  </si>
  <si>
    <t>3160-2021 RESULTADO DEL EJERCICIO 2021</t>
  </si>
  <si>
    <t>6148 BOTIQUIN Y ESTUDIOS MEDICOS</t>
  </si>
  <si>
    <t>ANTICIPO DE CLIENTES 2022 ( Ejercicio actual )</t>
  </si>
  <si>
    <t xml:space="preserve">Perdida Fiscal </t>
  </si>
  <si>
    <t>Deducciones Aut</t>
  </si>
  <si>
    <t>Costo</t>
  </si>
  <si>
    <t>Nomina Ded</t>
  </si>
  <si>
    <t>Ded de Inversiones</t>
  </si>
  <si>
    <t>Contribuciones</t>
  </si>
  <si>
    <t>Desc y Dev</t>
  </si>
  <si>
    <t>Fletes</t>
  </si>
  <si>
    <t>Perdida Camb</t>
  </si>
  <si>
    <t>Seg y Fianzas</t>
  </si>
  <si>
    <t>Art y enseres de Limpieza</t>
  </si>
  <si>
    <t>Papeleria y art de oficina</t>
  </si>
  <si>
    <t>Propaganda y publicidad</t>
  </si>
  <si>
    <t>Gastos de Mtto</t>
  </si>
  <si>
    <t>IMSS/INF/RCV/ISN</t>
  </si>
  <si>
    <t>Anticipos, Viaticos, Honorarios y Arrend PF</t>
  </si>
  <si>
    <t>ACTUALIZACION A 2022</t>
  </si>
  <si>
    <t>DIC.2022</t>
  </si>
  <si>
    <t>Perdida Fiscal:</t>
  </si>
  <si>
    <t>1125 INVERSIONES Y VALORES</t>
  </si>
  <si>
    <t>1190-0002 ISR RET BANCO</t>
  </si>
  <si>
    <t>1230-0002 REMOLQUE NVO NEGRO 2EJES MOD 2023</t>
  </si>
  <si>
    <t>2120-0002-BB03 PRESTAMO BBVA BANCOMER CONT 00741735769827956518</t>
  </si>
  <si>
    <t>2120-0002-BBV2 PRESTAMO BBVA 202204 CRED 6008</t>
  </si>
  <si>
    <t>2120-CAML CAMPOS MEDINA MARIA LILIA</t>
  </si>
  <si>
    <t>3160-2022 RESULTADO DEL EJERCICIO 2022</t>
  </si>
  <si>
    <t>5115 COSTO EN VENTA DE ACTIVO FIJO</t>
  </si>
  <si>
    <t>6110-0013 INDEMNIZACION</t>
  </si>
  <si>
    <t>6110-0017 GRATIFICACION POR SEPARACION</t>
  </si>
  <si>
    <t>6155 PUBLICIDAD Y PROPAGANDA</t>
  </si>
  <si>
    <t>DED PEND DEL 2022 X APLICAR ( personas fisicas ej ant )</t>
  </si>
  <si>
    <t>DED PEND DEL 2022 X APLICAR ( reg simplicado / soc civiles )</t>
  </si>
  <si>
    <t>DED PEND DEL 2022 X APLICAR ( cheques en transito  ej ant )</t>
  </si>
  <si>
    <t xml:space="preserve">Balance General </t>
  </si>
  <si>
    <t xml:space="preserve">  A C T I V O</t>
  </si>
  <si>
    <t xml:space="preserve">  P A S I V O</t>
  </si>
  <si>
    <t>C I R C U L A N T E</t>
  </si>
  <si>
    <t>Caja Chica</t>
  </si>
  <si>
    <t>Proveedores</t>
  </si>
  <si>
    <t>Bancos</t>
  </si>
  <si>
    <t>Acreedores Diversos</t>
  </si>
  <si>
    <t>Cuentas por Cobrar</t>
  </si>
  <si>
    <t>Anticipos de Clientes</t>
  </si>
  <si>
    <t xml:space="preserve">Contribuciones </t>
  </si>
  <si>
    <t>Impuestos por Pagar</t>
  </si>
  <si>
    <t>Inventarios</t>
  </si>
  <si>
    <t>Otros Pasivos PTU</t>
  </si>
  <si>
    <t>Deudores Diversos</t>
  </si>
  <si>
    <t>Anticipo a Proveedores</t>
  </si>
  <si>
    <t xml:space="preserve">Pagos anticipados </t>
  </si>
  <si>
    <t>TOTAL PASIVO</t>
  </si>
  <si>
    <t>TOTAL CIRCULANTE</t>
  </si>
  <si>
    <t>NO CIRCULANTE</t>
  </si>
  <si>
    <t>C A P I T A L</t>
  </si>
  <si>
    <t>Herramientas</t>
  </si>
  <si>
    <t>Mobiliario y Equipo</t>
  </si>
  <si>
    <t>C O N T A B L E</t>
  </si>
  <si>
    <t>Equipo de Cómputo</t>
  </si>
  <si>
    <t>Capital Social</t>
  </si>
  <si>
    <t>Equipo de transporte</t>
  </si>
  <si>
    <t>Aportaciones para aumentos de Capital</t>
  </si>
  <si>
    <t>Maquinaria y Equipo</t>
  </si>
  <si>
    <t>Resultados de Ejercicios Ant.</t>
  </si>
  <si>
    <t>Depreciacion acumulada de activos</t>
  </si>
  <si>
    <t>Resultado del Ejercicio</t>
  </si>
  <si>
    <t>TOTAL NO CIRCULANTE</t>
  </si>
  <si>
    <t>TOTAL CAPITAL CONTABLE</t>
  </si>
  <si>
    <t>OTROS ACTIVOS</t>
  </si>
  <si>
    <t>Depósitos en Garantía</t>
  </si>
  <si>
    <t>Pagos Anticipados</t>
  </si>
  <si>
    <t>TOTAL OTROS ACTIVOS</t>
  </si>
  <si>
    <t>TOTAL DEL ACTIVO</t>
  </si>
  <si>
    <t>TOTAL PASIVO+CAPITAL CONTABLE</t>
  </si>
  <si>
    <t>Inversiones y Valores</t>
  </si>
  <si>
    <t>ACTUALIZACION A 2023</t>
  </si>
  <si>
    <t>DIC.2023</t>
  </si>
  <si>
    <t>2160 PTU POR PAGAR</t>
  </si>
  <si>
    <t>DETERMINACION DE DECLARACION ANUAL 2024 ISR</t>
  </si>
  <si>
    <t>1120-0006 ACTINVER CONTRATO 174493893</t>
  </si>
  <si>
    <t>1120-0009 BANORTE</t>
  </si>
  <si>
    <t>1125-0003 ACTINVER BOLSA CONTRATO 7129911 DLLS</t>
  </si>
  <si>
    <t>1125-0003-0001 DOLARES</t>
  </si>
  <si>
    <t>1125-0003-0002 COMPLEMENTARIA</t>
  </si>
  <si>
    <t>1125-0003-0003 VALUACION</t>
  </si>
  <si>
    <t>1150-VERA ADRIANA VELARDE</t>
  </si>
  <si>
    <t>2120-0001 ACREEDORES DIVERSOS</t>
  </si>
  <si>
    <t>2120-BANORTE PRESTAMO BANORTE</t>
  </si>
  <si>
    <t>2157 IVA NO COBRADO</t>
  </si>
  <si>
    <t>3160-2023 RESULTADO DEL EJERCICIO 2023</t>
  </si>
  <si>
    <t>5110-0011 MATERIAL ACERO PERFILES</t>
  </si>
  <si>
    <t>5110-0012 MATERIAL ACERO ESPECIAL Y MAQUINADOS</t>
  </si>
  <si>
    <t>5110-0013 MATERIAL RODAMIENTOS Y SIMILARES</t>
  </si>
  <si>
    <t>5110-0014 MATERIAL ESPECIALES MAQUINADO TORTILLAS</t>
  </si>
  <si>
    <t>5110-0015 MATERIAL ELECTRICO</t>
  </si>
  <si>
    <t>6130-0001 ARRENDAMIENTO PF</t>
  </si>
  <si>
    <t>6175 GASTOS DE VIAJE</t>
  </si>
  <si>
    <t>6177 HERRAJES Y HERRAMIENTAS</t>
  </si>
  <si>
    <t>Herrajes y Herramientas</t>
  </si>
  <si>
    <t>Cuentas por pagar a  Personas Fisicas  a dic 2024</t>
  </si>
  <si>
    <t>Cheques en transito a dic 2024 ( Personas Fisicas / Reg Simpl. )</t>
  </si>
  <si>
    <t>Intereses</t>
  </si>
  <si>
    <t>ACTUALIZACION A 2024</t>
  </si>
  <si>
    <t>DIC.2024</t>
  </si>
  <si>
    <t>Factor de utilidad utilizado en 2024</t>
  </si>
  <si>
    <t>Factor para el año 2025</t>
  </si>
  <si>
    <t>PTU a Pagar en Mayo del 2025</t>
  </si>
  <si>
    <t>Perdida por amortizar para 2025</t>
  </si>
  <si>
    <t>Impto Pagado</t>
  </si>
  <si>
    <t>Gasto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</si>
  <si>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</si>
  <si>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</si>
  <si>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</si>
  <si>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</si>
  <si>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</si>
  <si>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</si>
  <si>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</si>
  <si>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</si>
  <si>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</si>
  <si>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</si>
  <si>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</si>
  <si>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</si>
  <si>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Abonos Cuenta Contab</t>
  </si>
  <si>
    <t>1130 CLIENTES</t>
  </si>
  <si>
    <t>1130-0001 CLIENTES NACIONALES</t>
  </si>
  <si>
    <t>PASIVO A LARGO PLAZO</t>
  </si>
  <si>
    <t>1130-TSPS TS PRODUCTS AND SERVICES CO</t>
  </si>
  <si>
    <t>1130-TSPS-COM TSPS COMPLEMENTARIA</t>
  </si>
  <si>
    <t>1130-TSPS-DLLS TSPS DOLARES</t>
  </si>
  <si>
    <t>1150-0001 DEUDORES DIVERSOS</t>
  </si>
  <si>
    <t>2120-0002-TMA0 PRESTAMO BBVA TU MEJOR AGENCIA NISSAN ONIX CONT 44274144</t>
  </si>
  <si>
    <t>2120-CLAR TARJETAS CREDITO CLARA</t>
  </si>
  <si>
    <t>2120-TMA0 TU MEJOR AGENCIA AUTOMOTRIZ</t>
  </si>
  <si>
    <t>2130-0001 ANTICIPO DE CLIENTES EXTRANJEROS</t>
  </si>
  <si>
    <t xml:space="preserve">2140-0006 CREDITO INFONAVIT </t>
  </si>
  <si>
    <t>3160-2024 RESULTADO DEL EJERCICIO 2024</t>
  </si>
  <si>
    <t>3160-2025 RESULTADO DEL EJERCICIO 2025</t>
  </si>
  <si>
    <t>6110-0016 OTRAS PERCEPCIONES</t>
  </si>
  <si>
    <t>6110-0019 PRIMA DOMINICAL</t>
  </si>
  <si>
    <t>6176 GASTOS EN EL EXTRANJERO</t>
  </si>
  <si>
    <t>1125-0002 ACTINVER BOLSA CONTRATO 7129911</t>
  </si>
  <si>
    <t>2120- VERN Nancy Angelica Velarde Rodriguez</t>
  </si>
  <si>
    <t>2120-0RET RETENCIONES PENDIENTES</t>
  </si>
  <si>
    <t>2120-0RET-0001 RETENCION IVA PENDIENTE</t>
  </si>
  <si>
    <t>2120-VERA ADRIANA VELARDE</t>
  </si>
  <si>
    <t>3100-0002 CAPITAL VARIABLE</t>
  </si>
  <si>
    <t>4110-0002 INGRESOS POR SERVICIOS CON IVA</t>
  </si>
  <si>
    <t>4110-0003 INGRESOS POR ACTUALIZACIONES</t>
  </si>
  <si>
    <t>6125-0001 HONORARIOS PF</t>
  </si>
  <si>
    <t>6125-0002 HONORARIOS PM</t>
  </si>
  <si>
    <t>7510-0001 RENDIMIENTOS BANCARIOS</t>
  </si>
  <si>
    <t>JULIO.2026</t>
  </si>
  <si>
    <t>Del 1ro de Enero al 31 de Julio 2026</t>
  </si>
  <si>
    <t>Al 31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</si>
</sst>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00"/>
    <numFmt numFmtId="166" formatCode="_-* #,##0_-;\-* #,##0_-;_-* &quot;-&quot;??_-;_-@_-"/>
    <numFmt numFmtId="167" formatCode="_(* #,##0.00_);_(* \(#,##0.00\);_(* &quot;-&quot;??_);_(@_)"/>
    <numFmt numFmtId="168" formatCode="#,##0_ ;\-#,##0\ "/>
    <numFmt numFmtId="169" formatCode="_-* #,##0\ _€_-;\-* #,##0\ _€_-;_-* &quot;-&quot;??\ _€_-;_-@_-"/>
    <numFmt numFmtId="170" formatCode="#,##0.00_ ;[Red]\-#,##0.00\ "/>
    <numFmt numFmtId="171" formatCode="#,##0.0"/>
    <numFmt numFmtId="172" formatCode="&quot;$&quot;#,##0.00;[Red]\(\-&quot;$&quot;#,##0.00\)"/>
    <numFmt numFmtId="173" formatCode="_-* #,##0.00_-;\-* #,##0.00_-;_-* \-??_-;_-@_-"/>
    <numFmt numFmtId="174" formatCode="_-* #,##0.0000_-;\-* #,##0.0000_-;_-* &quot;-&quot;??_-;_-@_-"/>
    <numFmt numFmtId="175" formatCode="0.0000"/>
    <numFmt numFmtId="176" formatCode="0.000"/>
    <numFmt numFmtId="177" formatCode="#,##0.0000;[Red]\-#,##0.0000"/>
    <numFmt numFmtId="178" formatCode="#,##0.00_ ;\-#,##0.00\ "/>
  </numFmts>
  <fonts count="5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6"/>
      <name val="Arial"/>
      <family val="2"/>
    </font>
    <font>
      <sz val="16"/>
      <name val="Arial"/>
      <family val="2"/>
    </font>
    <font>
      <b/>
      <u/>
      <sz val="12"/>
      <name val="Calibri"/>
      <family val="2"/>
      <scheme val="minor"/>
    </font>
    <font>
      <sz val="14"/>
      <name val="Arial"/>
      <family val="2"/>
    </font>
    <font>
      <sz val="12"/>
      <name val="Calibri"/>
      <family val="2"/>
      <scheme val="minor"/>
    </font>
    <font>
      <u/>
      <sz val="14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u val="singleAccounting"/>
      <sz val="10"/>
      <name val="Arial"/>
      <family val="2"/>
    </font>
    <font>
      <sz val="12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Arial"/>
      <family val="2"/>
    </font>
    <font>
      <b/>
      <sz val="20"/>
      <color indexed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sz val="9"/>
      <name val="Arial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2"/>
      <color theme="1"/>
      <name val="Inherit"/>
    </font>
    <font>
      <sz val="14"/>
      <color theme="1"/>
      <name val="Inherit"/>
    </font>
    <font>
      <b/>
      <sz val="7"/>
      <name val="Arial"/>
      <family val="2"/>
    </font>
    <font>
      <sz val="7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sz val="9"/>
      <name val="Times New Roman"/>
      <family val="1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</cellStyleXfs>
  <cellXfs count="308">
    <xf numFmtId="0" fontId="0" fillId="0" borderId="0" xfId="0"/>
    <xf numFmtId="164" fontId="0" fillId="0" borderId="0" xfId="1" applyFont="1"/>
    <xf numFmtId="3" fontId="3" fillId="0" borderId="0" xfId="2" applyNumberFormat="1" applyFont="1" applyAlignment="1">
      <alignment horizontal="center"/>
    </xf>
    <xf numFmtId="3" fontId="4" fillId="0" borderId="0" xfId="2" applyNumberFormat="1" applyFont="1" applyAlignment="1">
      <alignment horizontal="center"/>
    </xf>
    <xf numFmtId="43" fontId="5" fillId="0" borderId="0" xfId="3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/>
    <xf numFmtId="0" fontId="6" fillId="0" borderId="0" xfId="2" applyFont="1"/>
    <xf numFmtId="3" fontId="6" fillId="0" borderId="0" xfId="2" applyNumberFormat="1" applyFont="1" applyAlignment="1">
      <alignment horizontal="center"/>
    </xf>
    <xf numFmtId="43" fontId="7" fillId="0" borderId="0" xfId="3" applyFont="1" applyAlignment="1">
      <alignment horizontal="center"/>
    </xf>
    <xf numFmtId="0" fontId="6" fillId="0" borderId="0" xfId="2" applyFont="1" applyAlignment="1">
      <alignment horizontal="center"/>
    </xf>
    <xf numFmtId="0" fontId="1" fillId="0" borderId="0" xfId="2"/>
    <xf numFmtId="0" fontId="8" fillId="2" borderId="0" xfId="2" applyFont="1" applyFill="1"/>
    <xf numFmtId="3" fontId="6" fillId="0" borderId="1" xfId="2" applyNumberFormat="1" applyFont="1" applyBorder="1" applyAlignment="1">
      <alignment horizontal="center"/>
    </xf>
    <xf numFmtId="43" fontId="9" fillId="0" borderId="0" xfId="3" applyFont="1"/>
    <xf numFmtId="3" fontId="1" fillId="0" borderId="0" xfId="2" applyNumberFormat="1"/>
    <xf numFmtId="3" fontId="6" fillId="3" borderId="0" xfId="2" applyNumberFormat="1" applyFont="1" applyFill="1" applyAlignment="1">
      <alignment horizontal="center"/>
    </xf>
    <xf numFmtId="0" fontId="6" fillId="4" borderId="0" xfId="2" applyFont="1" applyFill="1"/>
    <xf numFmtId="3" fontId="6" fillId="4" borderId="0" xfId="2" applyNumberFormat="1" applyFont="1" applyFill="1" applyAlignment="1">
      <alignment horizontal="center"/>
    </xf>
    <xf numFmtId="0" fontId="6" fillId="5" borderId="0" xfId="2" applyFont="1" applyFill="1"/>
    <xf numFmtId="3" fontId="10" fillId="0" borderId="0" xfId="2" applyNumberFormat="1" applyFont="1" applyAlignment="1">
      <alignment horizontal="left"/>
    </xf>
    <xf numFmtId="3" fontId="6" fillId="6" borderId="0" xfId="2" applyNumberFormat="1" applyFont="1" applyFill="1" applyAlignment="1">
      <alignment horizontal="center"/>
    </xf>
    <xf numFmtId="0" fontId="8" fillId="0" borderId="0" xfId="2" applyFont="1"/>
    <xf numFmtId="3" fontId="6" fillId="2" borderId="0" xfId="2" applyNumberFormat="1" applyFont="1" applyFill="1" applyAlignment="1">
      <alignment horizontal="center"/>
    </xf>
    <xf numFmtId="3" fontId="6" fillId="0" borderId="2" xfId="2" applyNumberFormat="1" applyFont="1" applyBorder="1" applyAlignment="1">
      <alignment horizontal="center"/>
    </xf>
    <xf numFmtId="165" fontId="6" fillId="0" borderId="0" xfId="2" applyNumberFormat="1" applyFont="1" applyAlignment="1">
      <alignment horizontal="center"/>
    </xf>
    <xf numFmtId="3" fontId="6" fillId="7" borderId="2" xfId="2" applyNumberFormat="1" applyFont="1" applyFill="1" applyBorder="1" applyAlignment="1">
      <alignment horizontal="center"/>
    </xf>
    <xf numFmtId="9" fontId="6" fillId="0" borderId="2" xfId="4" applyFont="1" applyBorder="1" applyAlignment="1">
      <alignment horizontal="center"/>
    </xf>
    <xf numFmtId="3" fontId="6" fillId="2" borderId="1" xfId="2" applyNumberFormat="1" applyFont="1" applyFill="1" applyBorder="1" applyAlignment="1">
      <alignment horizontal="center"/>
    </xf>
    <xf numFmtId="3" fontId="0" fillId="0" borderId="0" xfId="0" applyNumberFormat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4" xfId="0" applyFill="1" applyBorder="1" applyAlignment="1">
      <alignment vertical="center"/>
    </xf>
    <xf numFmtId="0" fontId="0" fillId="8" borderId="3" xfId="0" applyFill="1" applyBorder="1"/>
    <xf numFmtId="0" fontId="0" fillId="8" borderId="5" xfId="0" applyFill="1" applyBorder="1"/>
    <xf numFmtId="0" fontId="14" fillId="8" borderId="0" xfId="0" applyFont="1" applyFill="1"/>
    <xf numFmtId="0" fontId="0" fillId="8" borderId="0" xfId="0" applyFill="1" applyAlignment="1">
      <alignment horizontal="left"/>
    </xf>
    <xf numFmtId="0" fontId="0" fillId="8" borderId="6" xfId="0" applyFill="1" applyBorder="1" applyAlignment="1">
      <alignment horizontal="center"/>
    </xf>
    <xf numFmtId="0" fontId="0" fillId="8" borderId="4" xfId="0" applyFill="1" applyBorder="1"/>
    <xf numFmtId="0" fontId="0" fillId="8" borderId="6" xfId="0" applyFill="1" applyBorder="1"/>
    <xf numFmtId="0" fontId="0" fillId="8" borderId="6" xfId="0" applyFill="1" applyBorder="1" applyAlignment="1">
      <alignment horizontal="left"/>
    </xf>
    <xf numFmtId="0" fontId="16" fillId="10" borderId="0" xfId="0" applyFont="1" applyFill="1" applyAlignment="1">
      <alignment horizontal="left"/>
    </xf>
    <xf numFmtId="0" fontId="16" fillId="10" borderId="0" xfId="0" applyFont="1" applyFill="1" applyAlignment="1">
      <alignment horizontal="center"/>
    </xf>
    <xf numFmtId="3" fontId="16" fillId="10" borderId="0" xfId="0" applyNumberFormat="1" applyFont="1" applyFill="1" applyAlignment="1">
      <alignment horizontal="center"/>
    </xf>
    <xf numFmtId="3" fontId="16" fillId="10" borderId="6" xfId="0" applyNumberFormat="1" applyFont="1" applyFill="1" applyBorder="1" applyAlignment="1">
      <alignment horizontal="center"/>
    </xf>
    <xf numFmtId="166" fontId="2" fillId="8" borderId="0" xfId="6" applyNumberFormat="1" applyFont="1" applyFill="1"/>
    <xf numFmtId="10" fontId="2" fillId="8" borderId="0" xfId="5" applyNumberFormat="1" applyFont="1" applyFill="1"/>
    <xf numFmtId="166" fontId="0" fillId="8" borderId="0" xfId="0" applyNumberFormat="1" applyFill="1"/>
    <xf numFmtId="167" fontId="0" fillId="8" borderId="0" xfId="0" applyNumberFormat="1" applyFill="1"/>
    <xf numFmtId="43" fontId="2" fillId="8" borderId="0" xfId="6" applyFont="1" applyFill="1"/>
    <xf numFmtId="0" fontId="16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center"/>
    </xf>
    <xf numFmtId="0" fontId="0" fillId="8" borderId="1" xfId="0" applyFill="1" applyBorder="1"/>
    <xf numFmtId="3" fontId="16" fillId="10" borderId="1" xfId="0" applyNumberFormat="1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168" fontId="17" fillId="10" borderId="0" xfId="0" applyNumberFormat="1" applyFont="1" applyFill="1" applyAlignment="1">
      <alignment horizontal="left"/>
    </xf>
    <xf numFmtId="10" fontId="16" fillId="10" borderId="6" xfId="7" applyNumberFormat="1" applyFont="1" applyFill="1" applyBorder="1" applyAlignment="1">
      <alignment horizontal="center"/>
    </xf>
    <xf numFmtId="0" fontId="16" fillId="10" borderId="0" xfId="0" applyFont="1" applyFill="1" applyAlignment="1">
      <alignment horizontal="right"/>
    </xf>
    <xf numFmtId="165" fontId="16" fillId="10" borderId="0" xfId="0" applyNumberFormat="1" applyFont="1" applyFill="1" applyAlignment="1">
      <alignment horizontal="center"/>
    </xf>
    <xf numFmtId="10" fontId="16" fillId="10" borderId="0" xfId="7" applyNumberFormat="1" applyFont="1" applyFill="1" applyBorder="1" applyAlignment="1">
      <alignment horizontal="center"/>
    </xf>
    <xf numFmtId="10" fontId="16" fillId="10" borderId="1" xfId="7" applyNumberFormat="1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0" fontId="18" fillId="10" borderId="8" xfId="0" applyFont="1" applyFill="1" applyBorder="1"/>
    <xf numFmtId="0" fontId="18" fillId="10" borderId="7" xfId="0" applyFont="1" applyFill="1" applyBorder="1"/>
    <xf numFmtId="0" fontId="18" fillId="10" borderId="2" xfId="0" applyFont="1" applyFill="1" applyBorder="1" applyAlignment="1">
      <alignment horizontal="center"/>
    </xf>
    <xf numFmtId="0" fontId="10" fillId="10" borderId="0" xfId="0" applyFont="1" applyFill="1" applyAlignment="1">
      <alignment horizontal="center"/>
    </xf>
    <xf numFmtId="169" fontId="0" fillId="8" borderId="0" xfId="0" applyNumberFormat="1" applyFill="1"/>
    <xf numFmtId="43" fontId="10" fillId="8" borderId="0" xfId="6" applyFont="1" applyFill="1"/>
    <xf numFmtId="0" fontId="6" fillId="8" borderId="0" xfId="0" applyFont="1" applyFill="1"/>
    <xf numFmtId="0" fontId="22" fillId="8" borderId="0" xfId="0" applyFont="1" applyFill="1"/>
    <xf numFmtId="0" fontId="12" fillId="8" borderId="0" xfId="0" applyFont="1" applyFill="1"/>
    <xf numFmtId="17" fontId="0" fillId="8" borderId="0" xfId="0" applyNumberFormat="1" applyFill="1"/>
    <xf numFmtId="17" fontId="0" fillId="8" borderId="0" xfId="0" applyNumberFormat="1" applyFill="1" applyAlignment="1">
      <alignment horizontal="center"/>
    </xf>
    <xf numFmtId="43" fontId="10" fillId="8" borderId="0" xfId="6" applyFont="1" applyFill="1" applyAlignment="1">
      <alignment horizontal="center"/>
    </xf>
    <xf numFmtId="0" fontId="23" fillId="8" borderId="0" xfId="0" applyFont="1" applyFill="1" applyAlignment="1">
      <alignment vertical="center"/>
    </xf>
    <xf numFmtId="0" fontId="23" fillId="8" borderId="0" xfId="0" applyFont="1" applyFill="1"/>
    <xf numFmtId="0" fontId="23" fillId="8" borderId="0" xfId="0" applyFont="1" applyFill="1" applyAlignment="1">
      <alignment horizontal="center"/>
    </xf>
    <xf numFmtId="43" fontId="23" fillId="8" borderId="0" xfId="6" applyFont="1" applyFill="1" applyAlignment="1">
      <alignment horizontal="center"/>
    </xf>
    <xf numFmtId="0" fontId="25" fillId="8" borderId="0" xfId="0" applyFont="1" applyFill="1"/>
    <xf numFmtId="43" fontId="10" fillId="8" borderId="1" xfId="6" applyFont="1" applyFill="1" applyBorder="1"/>
    <xf numFmtId="9" fontId="10" fillId="8" borderId="0" xfId="5" applyFont="1" applyFill="1" applyAlignment="1">
      <alignment horizontal="center"/>
    </xf>
    <xf numFmtId="170" fontId="10" fillId="8" borderId="0" xfId="6" applyNumberFormat="1" applyFont="1" applyFill="1" applyBorder="1"/>
    <xf numFmtId="170" fontId="10" fillId="8" borderId="1" xfId="6" applyNumberFormat="1" applyFont="1" applyFill="1" applyBorder="1"/>
    <xf numFmtId="10" fontId="10" fillId="8" borderId="0" xfId="9" applyNumberFormat="1" applyFont="1" applyFill="1" applyAlignment="1">
      <alignment horizontal="center"/>
    </xf>
    <xf numFmtId="0" fontId="24" fillId="8" borderId="0" xfId="0" applyFont="1" applyFill="1"/>
    <xf numFmtId="43" fontId="10" fillId="8" borderId="0" xfId="6" applyFont="1" applyFill="1" applyBorder="1"/>
    <xf numFmtId="4" fontId="10" fillId="8" borderId="1" xfId="6" applyNumberFormat="1" applyFont="1" applyFill="1" applyBorder="1"/>
    <xf numFmtId="4" fontId="10" fillId="8" borderId="0" xfId="6" applyNumberFormat="1" applyFont="1" applyFill="1" applyBorder="1"/>
    <xf numFmtId="10" fontId="10" fillId="8" borderId="0" xfId="5" applyNumberFormat="1" applyFont="1" applyFill="1" applyAlignment="1">
      <alignment horizontal="center"/>
    </xf>
    <xf numFmtId="44" fontId="2" fillId="8" borderId="0" xfId="8" applyFill="1"/>
    <xf numFmtId="44" fontId="26" fillId="8" borderId="0" xfId="8" applyFont="1" applyFill="1"/>
    <xf numFmtId="43" fontId="0" fillId="8" borderId="0" xfId="0" applyNumberFormat="1" applyFill="1"/>
    <xf numFmtId="44" fontId="23" fillId="8" borderId="0" xfId="0" applyNumberFormat="1" applyFont="1" applyFill="1"/>
    <xf numFmtId="10" fontId="10" fillId="8" borderId="0" xfId="5" applyNumberFormat="1" applyFont="1" applyFill="1"/>
    <xf numFmtId="172" fontId="21" fillId="8" borderId="0" xfId="6" applyNumberFormat="1" applyFont="1" applyFill="1"/>
    <xf numFmtId="4" fontId="10" fillId="8" borderId="0" xfId="6" applyNumberFormat="1" applyFont="1" applyFill="1"/>
    <xf numFmtId="43" fontId="26" fillId="8" borderId="0" xfId="6" applyFont="1" applyFill="1"/>
    <xf numFmtId="172" fontId="10" fillId="8" borderId="0" xfId="6" applyNumberFormat="1" applyFont="1" applyFill="1"/>
    <xf numFmtId="43" fontId="10" fillId="8" borderId="12" xfId="6" applyFont="1" applyFill="1" applyBorder="1"/>
    <xf numFmtId="172" fontId="10" fillId="8" borderId="12" xfId="6" applyNumberFormat="1" applyFont="1" applyFill="1" applyBorder="1"/>
    <xf numFmtId="0" fontId="28" fillId="8" borderId="0" xfId="0" applyFont="1" applyFill="1" applyAlignment="1">
      <alignment horizontal="center" vertical="center" wrapText="1"/>
    </xf>
    <xf numFmtId="0" fontId="21" fillId="8" borderId="0" xfId="0" applyFont="1" applyFill="1"/>
    <xf numFmtId="0" fontId="29" fillId="8" borderId="0" xfId="0" applyFont="1" applyFill="1"/>
    <xf numFmtId="0" fontId="29" fillId="8" borderId="0" xfId="0" applyFont="1" applyFill="1" applyAlignment="1">
      <alignment horizontal="center" vertical="center"/>
    </xf>
    <xf numFmtId="0" fontId="30" fillId="8" borderId="0" xfId="0" applyFont="1" applyFill="1"/>
    <xf numFmtId="0" fontId="28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 vertical="center"/>
    </xf>
    <xf numFmtId="0" fontId="32" fillId="0" borderId="0" xfId="0" applyFont="1"/>
    <xf numFmtId="0" fontId="0" fillId="0" borderId="0" xfId="0" applyAlignment="1">
      <alignment horizontal="center"/>
    </xf>
    <xf numFmtId="173" fontId="18" fillId="0" borderId="0" xfId="10" applyNumberFormat="1" applyFont="1"/>
    <xf numFmtId="0" fontId="33" fillId="0" borderId="0" xfId="0" applyFont="1"/>
    <xf numFmtId="0" fontId="34" fillId="0" borderId="0" xfId="11" applyFont="1" applyAlignment="1">
      <alignment vertical="center"/>
    </xf>
    <xf numFmtId="0" fontId="35" fillId="0" borderId="0" xfId="12" applyFont="1"/>
    <xf numFmtId="173" fontId="10" fillId="0" borderId="0" xfId="10" applyNumberForma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74" fontId="0" fillId="0" borderId="0" xfId="1" applyNumberFormat="1" applyFont="1" applyBorder="1" applyAlignment="1">
      <alignment horizontal="center"/>
    </xf>
    <xf numFmtId="175" fontId="0" fillId="0" borderId="0" xfId="0" applyNumberFormat="1" applyAlignment="1">
      <alignment horizontal="center"/>
    </xf>
    <xf numFmtId="174" fontId="0" fillId="0" borderId="0" xfId="1" applyNumberFormat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0" fillId="0" borderId="14" xfId="0" applyBorder="1"/>
    <xf numFmtId="14" fontId="0" fillId="0" borderId="13" xfId="0" applyNumberFormat="1" applyBorder="1"/>
    <xf numFmtId="164" fontId="0" fillId="0" borderId="9" xfId="1" applyFont="1" applyBorder="1"/>
    <xf numFmtId="43" fontId="0" fillId="0" borderId="13" xfId="0" applyNumberFormat="1" applyBorder="1"/>
    <xf numFmtId="17" fontId="0" fillId="0" borderId="14" xfId="0" applyNumberFormat="1" applyBorder="1" applyAlignment="1">
      <alignment horizontal="center"/>
    </xf>
    <xf numFmtId="175" fontId="38" fillId="0" borderId="15" xfId="0" applyNumberFormat="1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175" fontId="0" fillId="0" borderId="11" xfId="0" applyNumberFormat="1" applyBorder="1" applyAlignment="1">
      <alignment horizontal="center"/>
    </xf>
    <xf numFmtId="175" fontId="0" fillId="0" borderId="9" xfId="1" applyNumberFormat="1" applyFont="1" applyBorder="1" applyAlignment="1">
      <alignment horizontal="center"/>
    </xf>
    <xf numFmtId="0" fontId="0" fillId="0" borderId="13" xfId="0" applyBorder="1"/>
    <xf numFmtId="166" fontId="0" fillId="0" borderId="15" xfId="1" applyNumberFormat="1" applyFont="1" applyFill="1" applyBorder="1"/>
    <xf numFmtId="0" fontId="0" fillId="0" borderId="10" xfId="0" applyBorder="1"/>
    <xf numFmtId="14" fontId="0" fillId="0" borderId="16" xfId="0" applyNumberFormat="1" applyBorder="1"/>
    <xf numFmtId="164" fontId="0" fillId="0" borderId="0" xfId="1" applyFont="1" applyBorder="1"/>
    <xf numFmtId="43" fontId="0" fillId="0" borderId="16" xfId="0" applyNumberFormat="1" applyBorder="1"/>
    <xf numFmtId="175" fontId="0" fillId="0" borderId="0" xfId="1" applyNumberFormat="1" applyFont="1" applyBorder="1" applyAlignment="1">
      <alignment horizontal="center"/>
    </xf>
    <xf numFmtId="166" fontId="0" fillId="0" borderId="16" xfId="0" applyNumberFormat="1" applyBorder="1"/>
    <xf numFmtId="166" fontId="0" fillId="0" borderId="11" xfId="1" applyNumberFormat="1" applyFont="1" applyFill="1" applyBorder="1"/>
    <xf numFmtId="14" fontId="0" fillId="0" borderId="0" xfId="0" applyNumberFormat="1"/>
    <xf numFmtId="166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7" xfId="0" applyBorder="1"/>
    <xf numFmtId="0" fontId="0" fillId="0" borderId="17" xfId="0" applyBorder="1"/>
    <xf numFmtId="164" fontId="0" fillId="0" borderId="17" xfId="1" applyFont="1" applyBorder="1"/>
    <xf numFmtId="43" fontId="0" fillId="0" borderId="17" xfId="0" applyNumberFormat="1" applyBorder="1"/>
    <xf numFmtId="17" fontId="0" fillId="0" borderId="2" xfId="0" applyNumberFormat="1" applyBorder="1" applyAlignment="1">
      <alignment horizontal="center"/>
    </xf>
    <xf numFmtId="175" fontId="0" fillId="0" borderId="2" xfId="0" applyNumberForma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175" fontId="0" fillId="0" borderId="8" xfId="0" applyNumberFormat="1" applyBorder="1" applyAlignment="1">
      <alignment horizontal="center"/>
    </xf>
    <xf numFmtId="175" fontId="0" fillId="0" borderId="2" xfId="1" applyNumberFormat="1" applyFont="1" applyBorder="1" applyAlignment="1">
      <alignment horizontal="center"/>
    </xf>
    <xf numFmtId="166" fontId="0" fillId="0" borderId="17" xfId="0" applyNumberFormat="1" applyBorder="1"/>
    <xf numFmtId="166" fontId="0" fillId="0" borderId="8" xfId="1" applyNumberFormat="1" applyFont="1" applyFill="1" applyBorder="1"/>
    <xf numFmtId="43" fontId="0" fillId="0" borderId="0" xfId="0" applyNumberFormat="1"/>
    <xf numFmtId="43" fontId="0" fillId="0" borderId="0" xfId="0" applyNumberFormat="1" applyAlignment="1">
      <alignment horizontal="center"/>
    </xf>
    <xf numFmtId="0" fontId="39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3" fillId="10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0" borderId="0" xfId="0" applyFont="1" applyFill="1"/>
    <xf numFmtId="38" fontId="0" fillId="10" borderId="0" xfId="0" applyNumberFormat="1" applyFill="1" applyAlignment="1">
      <alignment horizontal="center"/>
    </xf>
    <xf numFmtId="38" fontId="0" fillId="10" borderId="2" xfId="0" applyNumberFormat="1" applyFill="1" applyBorder="1" applyAlignment="1">
      <alignment horizontal="center"/>
    </xf>
    <xf numFmtId="38" fontId="0" fillId="10" borderId="2" xfId="0" applyNumberFormat="1" applyFill="1" applyBorder="1" applyAlignment="1">
      <alignment horizontal="center" vertical="center"/>
    </xf>
    <xf numFmtId="38" fontId="0" fillId="10" borderId="0" xfId="0" applyNumberFormat="1" applyFill="1" applyAlignment="1">
      <alignment horizontal="center" vertical="center"/>
    </xf>
    <xf numFmtId="38" fontId="0" fillId="10" borderId="0" xfId="0" applyNumberFormat="1" applyFill="1"/>
    <xf numFmtId="38" fontId="31" fillId="8" borderId="0" xfId="0" applyNumberFormat="1" applyFont="1" applyFill="1" applyAlignment="1">
      <alignment horizontal="center"/>
    </xf>
    <xf numFmtId="38" fontId="31" fillId="8" borderId="0" xfId="0" applyNumberFormat="1" applyFont="1" applyFill="1" applyAlignment="1">
      <alignment horizontal="center" vertical="center"/>
    </xf>
    <xf numFmtId="0" fontId="31" fillId="10" borderId="0" xfId="0" applyFont="1" applyFill="1"/>
    <xf numFmtId="175" fontId="16" fillId="8" borderId="0" xfId="0" applyNumberFormat="1" applyFont="1" applyFill="1" applyAlignment="1">
      <alignment horizontal="center" wrapText="1"/>
    </xf>
    <xf numFmtId="175" fontId="16" fillId="8" borderId="0" xfId="0" applyNumberFormat="1" applyFont="1" applyFill="1" applyAlignment="1">
      <alignment horizontal="center" vertical="center" wrapText="1"/>
    </xf>
    <xf numFmtId="38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0" fontId="42" fillId="10" borderId="0" xfId="0" applyFont="1" applyFill="1" applyAlignment="1">
      <alignment horizontal="right"/>
    </xf>
    <xf numFmtId="177" fontId="31" fillId="8" borderId="0" xfId="0" applyNumberFormat="1" applyFont="1" applyFill="1" applyAlignment="1">
      <alignment horizontal="center"/>
    </xf>
    <xf numFmtId="177" fontId="31" fillId="8" borderId="0" xfId="0" applyNumberFormat="1" applyFont="1" applyFill="1" applyAlignment="1">
      <alignment horizontal="center" vertical="center"/>
    </xf>
    <xf numFmtId="38" fontId="0" fillId="8" borderId="0" xfId="0" applyNumberFormat="1" applyFill="1" applyAlignment="1">
      <alignment horizontal="center" vertical="center"/>
    </xf>
    <xf numFmtId="38" fontId="0" fillId="8" borderId="1" xfId="0" applyNumberFormat="1" applyFill="1" applyBorder="1" applyAlignment="1">
      <alignment horizontal="center"/>
    </xf>
    <xf numFmtId="38" fontId="0" fillId="8" borderId="1" xfId="0" applyNumberFormat="1" applyFill="1" applyBorder="1" applyAlignment="1">
      <alignment horizontal="center" vertical="center"/>
    </xf>
    <xf numFmtId="38" fontId="43" fillId="8" borderId="0" xfId="0" applyNumberFormat="1" applyFont="1" applyFill="1" applyAlignment="1">
      <alignment horizontal="center"/>
    </xf>
    <xf numFmtId="38" fontId="43" fillId="8" borderId="0" xfId="0" applyNumberFormat="1" applyFont="1" applyFill="1" applyAlignment="1">
      <alignment horizontal="center" vertical="center"/>
    </xf>
    <xf numFmtId="4" fontId="0" fillId="8" borderId="0" xfId="0" applyNumberFormat="1" applyFill="1"/>
    <xf numFmtId="0" fontId="6" fillId="0" borderId="0" xfId="0" applyFont="1"/>
    <xf numFmtId="0" fontId="22" fillId="0" borderId="0" xfId="0" applyFont="1"/>
    <xf numFmtId="0" fontId="45" fillId="0" borderId="18" xfId="0" applyFont="1" applyBorder="1" applyAlignment="1">
      <alignment horizontal="center" vertical="center"/>
    </xf>
    <xf numFmtId="0" fontId="46" fillId="11" borderId="19" xfId="0" applyFont="1" applyFill="1" applyBorder="1" applyAlignment="1">
      <alignment horizontal="center" vertical="top"/>
    </xf>
    <xf numFmtId="8" fontId="47" fillId="12" borderId="19" xfId="0" applyNumberFormat="1" applyFont="1" applyFill="1" applyBorder="1" applyAlignment="1">
      <alignment horizontal="right" vertical="top"/>
    </xf>
    <xf numFmtId="0" fontId="47" fillId="12" borderId="19" xfId="0" applyFont="1" applyFill="1" applyBorder="1" applyAlignment="1">
      <alignment vertical="top"/>
    </xf>
    <xf numFmtId="0" fontId="46" fillId="11" borderId="19" xfId="0" applyFont="1" applyFill="1" applyBorder="1" applyAlignment="1">
      <alignment vertical="top"/>
    </xf>
    <xf numFmtId="8" fontId="47" fillId="11" borderId="19" xfId="0" applyNumberFormat="1" applyFont="1" applyFill="1" applyBorder="1" applyAlignment="1">
      <alignment horizontal="right" vertical="top"/>
    </xf>
    <xf numFmtId="0" fontId="47" fillId="13" borderId="19" xfId="0" applyFont="1" applyFill="1" applyBorder="1" applyAlignment="1">
      <alignment vertical="top"/>
    </xf>
    <xf numFmtId="8" fontId="47" fillId="13" borderId="19" xfId="0" applyNumberFormat="1" applyFont="1" applyFill="1" applyBorder="1" applyAlignment="1">
      <alignment horizontal="right" vertical="top"/>
    </xf>
    <xf numFmtId="3" fontId="6" fillId="14" borderId="0" xfId="2" applyNumberFormat="1" applyFont="1" applyFill="1" applyAlignment="1">
      <alignment horizontal="center"/>
    </xf>
    <xf numFmtId="8" fontId="10" fillId="8" borderId="0" xfId="6" applyNumberFormat="1" applyFont="1" applyFill="1"/>
    <xf numFmtId="0" fontId="46" fillId="15" borderId="19" xfId="0" applyFont="1" applyFill="1" applyBorder="1" applyAlignment="1">
      <alignment vertical="top"/>
    </xf>
    <xf numFmtId="8" fontId="46" fillId="15" borderId="19" xfId="0" applyNumberFormat="1" applyFont="1" applyFill="1" applyBorder="1" applyAlignment="1">
      <alignment horizontal="right" vertical="top"/>
    </xf>
    <xf numFmtId="0" fontId="47" fillId="15" borderId="19" xfId="0" applyFont="1" applyFill="1" applyBorder="1" applyAlignment="1">
      <alignment vertical="top"/>
    </xf>
    <xf numFmtId="8" fontId="47" fillId="15" borderId="19" xfId="0" applyNumberFormat="1" applyFont="1" applyFill="1" applyBorder="1" applyAlignment="1">
      <alignment horizontal="right" vertical="top"/>
    </xf>
    <xf numFmtId="0" fontId="10" fillId="0" borderId="0" xfId="0" applyFont="1"/>
    <xf numFmtId="164" fontId="10" fillId="0" borderId="0" xfId="1" applyFont="1"/>
    <xf numFmtId="43" fontId="9" fillId="16" borderId="0" xfId="3" applyFont="1" applyFill="1"/>
    <xf numFmtId="43" fontId="9" fillId="17" borderId="0" xfId="3" applyFont="1" applyFill="1"/>
    <xf numFmtId="43" fontId="9" fillId="18" borderId="0" xfId="3" applyFont="1" applyFill="1"/>
    <xf numFmtId="43" fontId="9" fillId="19" borderId="0" xfId="3" applyFont="1" applyFill="1"/>
    <xf numFmtId="43" fontId="9" fillId="20" borderId="0" xfId="3" applyFont="1" applyFill="1"/>
    <xf numFmtId="3" fontId="0" fillId="8" borderId="0" xfId="0" applyNumberFormat="1" applyFill="1"/>
    <xf numFmtId="0" fontId="2" fillId="0" borderId="0" xfId="0" applyFont="1"/>
    <xf numFmtId="0" fontId="27" fillId="8" borderId="0" xfId="0" applyFont="1" applyFill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22" fillId="8" borderId="0" xfId="0" applyFont="1" applyFill="1" applyAlignment="1">
      <alignment horizontal="center" vertical="center"/>
    </xf>
    <xf numFmtId="178" fontId="2" fillId="8" borderId="0" xfId="13" applyNumberFormat="1" applyFont="1" applyFill="1"/>
    <xf numFmtId="8" fontId="0" fillId="8" borderId="0" xfId="0" applyNumberFormat="1" applyFill="1"/>
    <xf numFmtId="178" fontId="2" fillId="8" borderId="1" xfId="13" applyNumberFormat="1" applyFont="1" applyFill="1" applyBorder="1"/>
    <xf numFmtId="178" fontId="2" fillId="8" borderId="0" xfId="13" applyNumberFormat="1" applyFont="1" applyFill="1" applyBorder="1"/>
    <xf numFmtId="43" fontId="2" fillId="8" borderId="0" xfId="13" applyFont="1" applyFill="1"/>
    <xf numFmtId="178" fontId="0" fillId="8" borderId="0" xfId="0" applyNumberFormat="1" applyFill="1"/>
    <xf numFmtId="43" fontId="2" fillId="8" borderId="1" xfId="13" applyFont="1" applyFill="1" applyBorder="1"/>
    <xf numFmtId="43" fontId="26" fillId="8" borderId="0" xfId="13" applyFont="1" applyFill="1"/>
    <xf numFmtId="0" fontId="48" fillId="8" borderId="0" xfId="0" applyFont="1" applyFill="1"/>
    <xf numFmtId="43" fontId="2" fillId="8" borderId="0" xfId="13" applyFont="1" applyFill="1" applyBorder="1"/>
    <xf numFmtId="43" fontId="2" fillId="8" borderId="12" xfId="13" applyFont="1" applyFill="1" applyBorder="1"/>
    <xf numFmtId="43" fontId="0" fillId="8" borderId="12" xfId="0" applyNumberFormat="1" applyFill="1" applyBorder="1"/>
    <xf numFmtId="43" fontId="49" fillId="8" borderId="0" xfId="0" applyNumberFormat="1" applyFont="1" applyFill="1"/>
    <xf numFmtId="0" fontId="50" fillId="8" borderId="0" xfId="0" applyFont="1" applyFill="1" applyAlignment="1">
      <alignment horizontal="center" vertical="center" wrapText="1"/>
    </xf>
    <xf numFmtId="17" fontId="2" fillId="0" borderId="0" xfId="0" applyNumberFormat="1" applyFont="1" applyAlignment="1">
      <alignment horizontal="center"/>
    </xf>
    <xf numFmtId="10" fontId="2" fillId="8" borderId="0" xfId="9" applyNumberFormat="1" applyFont="1" applyFill="1" applyAlignment="1">
      <alignment horizontal="center"/>
    </xf>
    <xf numFmtId="8" fontId="9" fillId="21" borderId="0" xfId="3" applyNumberFormat="1" applyFont="1" applyFill="1"/>
    <xf numFmtId="43" fontId="9" fillId="2" borderId="0" xfId="3" applyFont="1" applyFill="1"/>
    <xf numFmtId="43" fontId="7" fillId="2" borderId="0" xfId="3" applyFont="1" applyFill="1" applyAlignment="1">
      <alignment horizontal="center"/>
    </xf>
    <xf numFmtId="165" fontId="16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164" fontId="0" fillId="0" borderId="0" xfId="0" applyNumberFormat="1"/>
    <xf numFmtId="0" fontId="0" fillId="0" borderId="0" xfId="0" applyAlignment="1">
      <alignment horizontal="right"/>
    </xf>
    <xf numFmtId="172" fontId="0" fillId="8" borderId="0" xfId="0" applyNumberFormat="1" applyFill="1"/>
    <xf numFmtId="0" fontId="27" fillId="8" borderId="0" xfId="0" applyFont="1" applyFill="1" applyAlignment="1">
      <alignment horizontal="center" vertical="center"/>
    </xf>
    <xf numFmtId="171" fontId="0" fillId="8" borderId="0" xfId="0" applyNumberFormat="1" applyFill="1"/>
    <xf numFmtId="164" fontId="0" fillId="8" borderId="0" xfId="1" applyFont="1" applyFill="1" applyBorder="1"/>
    <xf numFmtId="0" fontId="47" fillId="22" borderId="19" xfId="0" applyFont="1" applyFill="1" applyBorder="1" applyAlignment="1">
      <alignment vertical="top"/>
    </xf>
    <xf numFmtId="8" fontId="47" fillId="22" borderId="19" xfId="0" applyNumberFormat="1" applyFont="1" applyFill="1" applyBorder="1" applyAlignment="1">
      <alignment horizontal="right" vertical="top"/>
    </xf>
    <xf numFmtId="0" fontId="46" fillId="22" borderId="19" xfId="0" applyFont="1" applyFill="1" applyBorder="1" applyAlignment="1">
      <alignment vertical="top"/>
    </xf>
    <xf numFmtId="8" fontId="46" fillId="22" borderId="19" xfId="0" applyNumberFormat="1" applyFont="1" applyFill="1" applyBorder="1" applyAlignment="1">
      <alignment horizontal="right" vertical="top"/>
    </xf>
    <xf numFmtId="0" fontId="18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174" fontId="31" fillId="0" borderId="13" xfId="1" applyNumberFormat="1" applyFont="1" applyBorder="1" applyAlignment="1">
      <alignment horizontal="center" vertical="center" wrapText="1"/>
    </xf>
    <xf numFmtId="174" fontId="31" fillId="0" borderId="16" xfId="1" applyNumberFormat="1" applyFont="1" applyBorder="1" applyAlignment="1">
      <alignment horizontal="center" vertical="center" wrapText="1"/>
    </xf>
    <xf numFmtId="174" fontId="31" fillId="0" borderId="17" xfId="1" applyNumberFormat="1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164" fontId="31" fillId="0" borderId="13" xfId="1" applyFont="1" applyBorder="1" applyAlignment="1">
      <alignment horizontal="center" vertical="center" wrapText="1"/>
    </xf>
    <xf numFmtId="164" fontId="31" fillId="0" borderId="16" xfId="1" applyFont="1" applyBorder="1" applyAlignment="1">
      <alignment horizontal="center" vertical="center" wrapText="1"/>
    </xf>
    <xf numFmtId="164" fontId="31" fillId="0" borderId="17" xfId="1" applyFont="1" applyBorder="1" applyAlignment="1">
      <alignment horizontal="center" vertical="center" wrapText="1"/>
    </xf>
    <xf numFmtId="175" fontId="31" fillId="0" borderId="14" xfId="0" applyNumberFormat="1" applyFont="1" applyBorder="1" applyAlignment="1">
      <alignment horizontal="center" vertical="center" wrapText="1"/>
    </xf>
    <xf numFmtId="175" fontId="31" fillId="0" borderId="15" xfId="0" applyNumberFormat="1" applyFont="1" applyBorder="1" applyAlignment="1">
      <alignment horizontal="center" vertical="center" wrapText="1"/>
    </xf>
    <xf numFmtId="175" fontId="31" fillId="0" borderId="10" xfId="0" applyNumberFormat="1" applyFont="1" applyBorder="1" applyAlignment="1">
      <alignment horizontal="center" vertical="center" wrapText="1"/>
    </xf>
    <xf numFmtId="175" fontId="31" fillId="0" borderId="11" xfId="0" applyNumberFormat="1" applyFont="1" applyBorder="1" applyAlignment="1">
      <alignment horizontal="center" vertical="center" wrapText="1"/>
    </xf>
    <xf numFmtId="175" fontId="31" fillId="0" borderId="7" xfId="0" applyNumberFormat="1" applyFont="1" applyBorder="1" applyAlignment="1">
      <alignment horizontal="center" vertical="center" wrapText="1"/>
    </xf>
    <xf numFmtId="175" fontId="31" fillId="0" borderId="8" xfId="0" applyNumberFormat="1" applyFont="1" applyBorder="1" applyAlignment="1">
      <alignment horizontal="center" vertical="center" wrapText="1"/>
    </xf>
    <xf numFmtId="0" fontId="40" fillId="2" borderId="10" xfId="0" applyFont="1" applyFill="1" applyBorder="1" applyAlignment="1">
      <alignment horizontal="center"/>
    </xf>
    <xf numFmtId="0" fontId="40" fillId="2" borderId="0" xfId="0" applyFont="1" applyFill="1" applyAlignment="1">
      <alignment horizontal="center"/>
    </xf>
    <xf numFmtId="0" fontId="41" fillId="2" borderId="10" xfId="0" applyFont="1" applyFill="1" applyBorder="1" applyAlignment="1">
      <alignment horizontal="center"/>
    </xf>
    <xf numFmtId="0" fontId="41" fillId="2" borderId="0" xfId="0" applyFont="1" applyFill="1" applyAlignment="1">
      <alignment horizontal="center"/>
    </xf>
    <xf numFmtId="3" fontId="6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3" fontId="11" fillId="0" borderId="0" xfId="2" applyNumberFormat="1" applyFont="1" applyAlignment="1">
      <alignment horizontal="right"/>
    </xf>
    <xf numFmtId="3" fontId="6" fillId="7" borderId="0" xfId="2" applyNumberFormat="1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/>
    </xf>
    <xf numFmtId="17" fontId="2" fillId="8" borderId="0" xfId="0" applyNumberFormat="1" applyFont="1" applyFill="1" applyAlignment="1">
      <alignment horizontal="center"/>
    </xf>
    <xf numFmtId="17" fontId="0" fillId="8" borderId="0" xfId="0" applyNumberForma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17" fontId="10" fillId="8" borderId="0" xfId="0" applyNumberFormat="1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 vertical="center" wrapText="1"/>
    </xf>
    <xf numFmtId="0" fontId="14" fillId="9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3" fontId="16" fillId="10" borderId="4" xfId="0" applyNumberFormat="1" applyFont="1" applyFill="1" applyBorder="1" applyAlignment="1">
      <alignment horizontal="center"/>
    </xf>
    <xf numFmtId="3" fontId="16" fillId="10" borderId="3" xfId="0" applyNumberFormat="1" applyFont="1" applyFill="1" applyBorder="1" applyAlignment="1">
      <alignment horizontal="center"/>
    </xf>
    <xf numFmtId="3" fontId="16" fillId="10" borderId="5" xfId="0" applyNumberFormat="1" applyFont="1" applyFill="1" applyBorder="1" applyAlignment="1">
      <alignment horizontal="center"/>
    </xf>
    <xf numFmtId="0" fontId="16" fillId="10" borderId="9" xfId="0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169" fontId="0" fillId="8" borderId="0" xfId="1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11" xfId="0" applyFont="1" applyFill="1" applyBorder="1" applyAlignment="1">
      <alignment horizontal="center"/>
    </xf>
    <xf numFmtId="169" fontId="0" fillId="8" borderId="1" xfId="1" applyNumberFormat="1" applyFont="1" applyFill="1" applyBorder="1" applyAlignment="1">
      <alignment horizontal="center"/>
    </xf>
  </cellXfs>
  <cellStyles count="14">
    <cellStyle name="Millares" xfId="1" builtinId="3"/>
    <cellStyle name="Millares 2" xfId="3" xr:uid="{00000000-0005-0000-0000-000001000000}"/>
    <cellStyle name="Millares 5" xfId="13" xr:uid="{3293FCC6-0841-4FD6-8C7F-F5C30A444C14}"/>
    <cellStyle name="Millares 7" xfId="6" xr:uid="{00000000-0005-0000-0000-000002000000}"/>
    <cellStyle name="Moneda" xfId="8" builtinId="4"/>
    <cellStyle name="Normal" xfId="0" builtinId="0"/>
    <cellStyle name="Normal 2" xfId="2" xr:uid="{00000000-0005-0000-0000-000005000000}"/>
    <cellStyle name="Normal 4 2 3" xfId="10" xr:uid="{00000000-0005-0000-0000-000006000000}"/>
    <cellStyle name="Normal_Capital Contable" xfId="12" xr:uid="{00000000-0005-0000-0000-000007000000}"/>
    <cellStyle name="Normal_Movivmientos de capital (SS) FC(1)" xfId="11" xr:uid="{00000000-0005-0000-0000-000008000000}"/>
    <cellStyle name="Percent 2" xfId="7" xr:uid="{00000000-0005-0000-0000-000009000000}"/>
    <cellStyle name="Porcentaje" xfId="5" builtinId="5"/>
    <cellStyle name="Porcentaje 2" xfId="9" xr:uid="{00000000-0005-0000-0000-00000B000000}"/>
    <cellStyle name="Porcentaje 3" xfId="4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478155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53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933450</xdr:colOff>
      <xdr:row>1</xdr:row>
      <xdr:rowOff>0</xdr:rowOff>
    </xdr:from>
    <xdr:to>
      <xdr:col>15</xdr:col>
      <xdr:colOff>209550</xdr:colOff>
      <xdr:row>4</xdr:row>
      <xdr:rowOff>20955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61925"/>
          <a:ext cx="8096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15241</xdr:colOff>
      <xdr:row>71</xdr:row>
      <xdr:rowOff>99060</xdr:rowOff>
    </xdr:from>
    <xdr:to>
      <xdr:col>16</xdr:col>
      <xdr:colOff>1033</xdr:colOff>
      <xdr:row>85</xdr:row>
      <xdr:rowOff>57399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5D6F7B-3386-618D-8A21-6C27D6E7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821" y="7086600"/>
          <a:ext cx="8699262" cy="23014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i-fs1zem\Administration\Users\aa\Downloads\Rar$DI00.047\BALANZAS%20QUESOS%202099\ajuste%20anual%20por%20inflacionnn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esegura\Local%20Settings\Temporary%20Internet%20Files\OLK7\conciliaci&#243;n%20contable%20fiscal%20septiembr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dor\documentos\Documents%20and%20Settings\JUANITA%20SEGURA\Configuraci&#243;n%20local\Archivos%20temporales%20de%20Internet\Content.IE5\Q1DE3AQQ\Junta1507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%20documentos\SHCP\Depreciaci&#243;n\fiscal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lmal/Dropbox/AC%20NEGOCIOS/01%20AC%20Negocios/Formatos/ZAE%20Calculo%20ISR%20Dif%20201909%20Final%20Post%20registro.xlsx" TargetMode="External"/><Relationship Id="rId1" Type="http://schemas.openxmlformats.org/officeDocument/2006/relationships/externalLinkPath" Target="/Users/almal/Dropbox/AC%20NEGOCIOS/01%20AC%20Negocios/Formatos/ZAE%20Calculo%20ISR%20Dif%20201909%20Final%20Post%20registr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i-fs1zem\Administration\Users\EDUARD~1.SOT\AppData\Local\Temp\notesAF3A78\~329381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rmex.com\carpetas\Documents%20and%20Settings\Usuario1\Mis%20documentos\KarinaDoctos\Geyser%202004\Mis%20documentos\ArchivoGu&#237;a2004Dec%20Anu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%20documentos\Torreon\B-10\DE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n&#233;\Hermanos%20Madero\Servicios%20EP\2002\Conciliaci&#243;n%20contable%20fiscal%20a%20diciembre%20de%20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n&#233;\Hermanos%20Madero\Servicios%20EP\2002\Conciliaci&#243;n%20contable%20fiscal%20a%20diciembre%20de%2020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0.2%20Revisi&#243;n%20de%20inventarios%209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dor\documentos\Documents%20and%20Settings\All%20Users\Documentos\autofacturacion\FacturasEmitidas%20al%202010112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ncuuiprieto\C\Mis%20documentos\fasb52deloit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hi-fs1zem\Administration\Documents%20and%20Settings\Administrador\Configuraci&#243;n%20local\Archivos%20temporales%20de%20Internet\OLK5F\Facturas%20Emitidas%20Marzo%202010%20(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0.200.22.126\fiscal$\Documents%20and%20Settings\Luis.Osorio\My%20Documents\Monterrey\Terex\info%20final\Copy%20of%209900-Terex%20Mexico%20Acuna-12-2007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MPRESAS\SELECTOS\2008\nomina\AGOSTO%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rmex.com\carpetas\Documents%20and%20Settings\vhernandezsanchez\My%20Documents\WITNEY\WITTNEY%20ANUAL%202006\CALCULOS%20FISC%202006\Copy%20of%2001%20Depreciacion%20Fiscal%20WITTNEY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%20documentos\Varios\curso%20excel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ectronic%20Publishing\Auditoria%202001\Servicios\9004%20CONCILIACION%20CONTABLE%20Y%20FISCAL%20SERVICIOS%20E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lectronic%20Publishing\Auditoria%202001\Servicios\9004%20CONCILIACION%20CONTABLE%20Y%20FISCAL%20SERVICIOS%20EP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lmal/Dropbox/AC%20NEGOCIOS/Solar%20Carports%20Mexico/2019/EEFF/EEFF%20Solar%20%202019-12.xls" TargetMode="External"/><Relationship Id="rId1" Type="http://schemas.openxmlformats.org/officeDocument/2006/relationships/externalLinkPath" Target="/Users/almal/Dropbox/AC%20NEGOCIOS/Solar%20Carports%20Mexico/2019/EEFF/EEFF%20Solar%20%202019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AJUSTE ANUAL"/>
      <sheetName val="Dic 09"/>
      <sheetName val="OCT"/>
      <sheetName val="SEP"/>
      <sheetName val="MAR"/>
      <sheetName val="MAYO"/>
      <sheetName val="AB"/>
      <sheetName val="JUN"/>
      <sheetName val="JUL"/>
      <sheetName val="FEB"/>
      <sheetName val="AGO"/>
      <sheetName val="NOV"/>
      <sheetName val="ENE"/>
    </sheetNames>
    <sheetDataSet>
      <sheetData sheetId="0"/>
      <sheetData sheetId="1"/>
      <sheetData sheetId="2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550800.23</v>
          </cell>
          <cell r="D8" t="str">
            <v xml:space="preserve"> </v>
          </cell>
          <cell r="E8">
            <v>433098.29</v>
          </cell>
          <cell r="F8">
            <v>538130.87</v>
          </cell>
          <cell r="G8">
            <v>445767.65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550800.23</v>
          </cell>
          <cell r="D9" t="str">
            <v xml:space="preserve"> </v>
          </cell>
          <cell r="E9">
            <v>433098.29</v>
          </cell>
          <cell r="F9">
            <v>538130.87</v>
          </cell>
          <cell r="G9">
            <v>445767.65</v>
          </cell>
          <cell r="H9" t="str">
            <v xml:space="preserve"> </v>
          </cell>
        </row>
        <row r="10">
          <cell r="A10" t="str">
            <v>1101-000</v>
          </cell>
          <cell r="B10" t="str">
            <v xml:space="preserve">CAJA </v>
          </cell>
          <cell r="C10">
            <v>2121.5</v>
          </cell>
          <cell r="D10" t="str">
            <v xml:space="preserve"> </v>
          </cell>
          <cell r="E10">
            <v>0</v>
          </cell>
          <cell r="F10">
            <v>2121.5</v>
          </cell>
          <cell r="G10">
            <v>0</v>
          </cell>
          <cell r="H10" t="str">
            <v xml:space="preserve"> </v>
          </cell>
        </row>
        <row r="11">
          <cell r="A11" t="str">
            <v>1101-001</v>
          </cell>
          <cell r="B11" t="str">
            <v>Fondo Fijo</v>
          </cell>
          <cell r="C11">
            <v>2121.5</v>
          </cell>
          <cell r="D11" t="str">
            <v xml:space="preserve"> </v>
          </cell>
          <cell r="E11">
            <v>0</v>
          </cell>
          <cell r="F11">
            <v>2121.5</v>
          </cell>
          <cell r="G11">
            <v>0</v>
          </cell>
          <cell r="H11" t="str">
            <v xml:space="preserve"> </v>
          </cell>
        </row>
        <row r="12">
          <cell r="A12" t="str">
            <v>1102-000</v>
          </cell>
          <cell r="B12" t="str">
            <v>BANCOS</v>
          </cell>
          <cell r="C12">
            <v>8294.89</v>
          </cell>
          <cell r="D12" t="str">
            <v xml:space="preserve"> </v>
          </cell>
          <cell r="E12">
            <v>355050</v>
          </cell>
          <cell r="F12">
            <v>362848.24</v>
          </cell>
          <cell r="G12">
            <v>496.65</v>
          </cell>
          <cell r="H12" t="str">
            <v xml:space="preserve"> </v>
          </cell>
        </row>
        <row r="13">
          <cell r="A13" t="str">
            <v>1102-001</v>
          </cell>
          <cell r="B13" t="str">
            <v>Santander Cta: 92001131081</v>
          </cell>
          <cell r="C13">
            <v>8294.89</v>
          </cell>
          <cell r="D13" t="str">
            <v xml:space="preserve"> </v>
          </cell>
          <cell r="E13">
            <v>355050</v>
          </cell>
          <cell r="F13">
            <v>362848.24</v>
          </cell>
          <cell r="G13">
            <v>496.65</v>
          </cell>
          <cell r="H13" t="str">
            <v xml:space="preserve"> </v>
          </cell>
        </row>
        <row r="14">
          <cell r="A14" t="str">
            <v>1103-000</v>
          </cell>
          <cell r="B14" t="str">
            <v>CLIENTES</v>
          </cell>
          <cell r="C14">
            <v>372797.5</v>
          </cell>
          <cell r="D14" t="str">
            <v xml:space="preserve"> </v>
          </cell>
          <cell r="E14">
            <v>73700</v>
          </cell>
          <cell r="F14">
            <v>63000</v>
          </cell>
          <cell r="G14">
            <v>383497.5</v>
          </cell>
          <cell r="H14" t="str">
            <v xml:space="preserve"> </v>
          </cell>
        </row>
        <row r="15">
          <cell r="A15" t="str">
            <v>1103-001</v>
          </cell>
          <cell r="B15" t="str">
            <v>Sofia Valenzuela Dibene</v>
          </cell>
          <cell r="C15">
            <v>0</v>
          </cell>
          <cell r="D15" t="str">
            <v xml:space="preserve"> </v>
          </cell>
          <cell r="E15">
            <v>0</v>
          </cell>
          <cell r="F15">
            <v>0</v>
          </cell>
          <cell r="G15">
            <v>0</v>
          </cell>
          <cell r="H15" t="str">
            <v xml:space="preserve"> </v>
          </cell>
        </row>
        <row r="16">
          <cell r="A16" t="str">
            <v>1103-002</v>
          </cell>
          <cell r="B16" t="str">
            <v>Distribuidora de Granos Alimenticios SA DE CV</v>
          </cell>
          <cell r="C16">
            <v>0</v>
          </cell>
          <cell r="D16" t="str">
            <v xml:space="preserve"> 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</row>
        <row r="17">
          <cell r="A17" t="str">
            <v>1103-003</v>
          </cell>
          <cell r="B17" t="str">
            <v>Abastecedora Coemrcial de Parral S.A. de C.V.</v>
          </cell>
          <cell r="C17">
            <v>0</v>
          </cell>
          <cell r="D17" t="str">
            <v xml:space="preserve"> </v>
          </cell>
          <cell r="E17">
            <v>0</v>
          </cell>
          <cell r="F17">
            <v>0</v>
          </cell>
          <cell r="G17">
            <v>0</v>
          </cell>
          <cell r="H17" t="str">
            <v xml:space="preserve"> </v>
          </cell>
        </row>
        <row r="18">
          <cell r="A18" t="str">
            <v>1103-004</v>
          </cell>
          <cell r="B18" t="str">
            <v>Fruteria El Indio S.A. de C.V.</v>
          </cell>
          <cell r="C18">
            <v>0</v>
          </cell>
          <cell r="D18" t="str">
            <v xml:space="preserve"> </v>
          </cell>
          <cell r="E18">
            <v>0</v>
          </cell>
          <cell r="F18">
            <v>0</v>
          </cell>
          <cell r="G18">
            <v>0</v>
          </cell>
          <cell r="H18" t="str">
            <v xml:space="preserve"> </v>
          </cell>
        </row>
        <row r="19">
          <cell r="A19" t="str">
            <v>1103-005</v>
          </cell>
          <cell r="B19" t="str">
            <v>Amaya Comercial S.A. DE C.V.</v>
          </cell>
          <cell r="C19">
            <v>0</v>
          </cell>
          <cell r="D19" t="str">
            <v xml:space="preserve"> </v>
          </cell>
          <cell r="E19">
            <v>0</v>
          </cell>
          <cell r="F19">
            <v>0</v>
          </cell>
          <cell r="G19">
            <v>0</v>
          </cell>
          <cell r="H19" t="str">
            <v xml:space="preserve"> </v>
          </cell>
        </row>
        <row r="20">
          <cell r="A20" t="str">
            <v>1103-006</v>
          </cell>
          <cell r="B20" t="str">
            <v>Medfrut S.A DE C.V.</v>
          </cell>
          <cell r="C20">
            <v>0</v>
          </cell>
          <cell r="D20" t="str">
            <v xml:space="preserve"> 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</row>
        <row r="21">
          <cell r="A21" t="str">
            <v>1103-007</v>
          </cell>
          <cell r="B21" t="str">
            <v>Distribuidora de Granos y Semillas Baca S.A. de C.</v>
          </cell>
          <cell r="C21">
            <v>50020</v>
          </cell>
          <cell r="D21" t="str">
            <v xml:space="preserve"> </v>
          </cell>
          <cell r="E21">
            <v>73700</v>
          </cell>
          <cell r="F21">
            <v>63000</v>
          </cell>
          <cell r="G21">
            <v>60720</v>
          </cell>
          <cell r="H21" t="str">
            <v xml:space="preserve"> </v>
          </cell>
        </row>
        <row r="22">
          <cell r="A22" t="str">
            <v>1103-008</v>
          </cell>
          <cell r="B22" t="str">
            <v>Alonso Pacheco Garcia</v>
          </cell>
          <cell r="C22">
            <v>0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</row>
        <row r="23">
          <cell r="A23" t="str">
            <v>1103-009</v>
          </cell>
          <cell r="B23" t="str">
            <v>Digrava S.A. de C.V.</v>
          </cell>
          <cell r="C23">
            <v>0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</row>
        <row r="24">
          <cell r="A24" t="str">
            <v>1103-010</v>
          </cell>
          <cell r="B24" t="str">
            <v>Noel Roderiguez Fernandez</v>
          </cell>
          <cell r="C24">
            <v>95240</v>
          </cell>
          <cell r="D24" t="str">
            <v xml:space="preserve"> </v>
          </cell>
          <cell r="E24">
            <v>0</v>
          </cell>
          <cell r="F24">
            <v>0</v>
          </cell>
          <cell r="G24">
            <v>95240</v>
          </cell>
          <cell r="H24" t="str">
            <v xml:space="preserve"> </v>
          </cell>
        </row>
        <row r="25">
          <cell r="A25" t="str">
            <v>1103-011</v>
          </cell>
          <cell r="B25" t="str">
            <v>Gonzalo Gallegos Montes</v>
          </cell>
          <cell r="C25">
            <v>190251.5</v>
          </cell>
          <cell r="D25" t="str">
            <v xml:space="preserve"> </v>
          </cell>
          <cell r="E25">
            <v>0</v>
          </cell>
          <cell r="F25">
            <v>0</v>
          </cell>
          <cell r="G25">
            <v>190251.5</v>
          </cell>
          <cell r="H25" t="str">
            <v xml:space="preserve"> </v>
          </cell>
        </row>
        <row r="26">
          <cell r="A26" t="str">
            <v>1103-012</v>
          </cell>
          <cell r="B26" t="str">
            <v>Grupo Ozuna S.A. de C.V.</v>
          </cell>
          <cell r="C26">
            <v>0</v>
          </cell>
          <cell r="D26" t="str">
            <v xml:space="preserve"> </v>
          </cell>
          <cell r="E26">
            <v>0</v>
          </cell>
          <cell r="F26">
            <v>0</v>
          </cell>
          <cell r="G26">
            <v>0</v>
          </cell>
          <cell r="H26" t="str">
            <v xml:space="preserve"> </v>
          </cell>
        </row>
        <row r="27">
          <cell r="A27" t="str">
            <v>1103-013</v>
          </cell>
          <cell r="B27" t="str">
            <v>Casa Fuerdy S.A. DE C.V.</v>
          </cell>
          <cell r="C27">
            <v>0</v>
          </cell>
          <cell r="D27" t="str">
            <v xml:space="preserve"> </v>
          </cell>
          <cell r="E27">
            <v>0</v>
          </cell>
          <cell r="F27">
            <v>0</v>
          </cell>
          <cell r="G27">
            <v>0</v>
          </cell>
          <cell r="H27" t="str">
            <v xml:space="preserve"> </v>
          </cell>
        </row>
        <row r="28">
          <cell r="A28" t="str">
            <v>1103-014</v>
          </cell>
          <cell r="B28" t="str">
            <v>Maria de Jesus Cadena Payan</v>
          </cell>
          <cell r="C28">
            <v>10000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10000</v>
          </cell>
          <cell r="H28" t="str">
            <v xml:space="preserve"> </v>
          </cell>
        </row>
        <row r="29">
          <cell r="A29" t="str">
            <v>1103-015</v>
          </cell>
          <cell r="B29" t="str">
            <v>Super Comercial Arrellanos S de R.L. de C.V.</v>
          </cell>
          <cell r="C29">
            <v>0</v>
          </cell>
          <cell r="D29" t="str">
            <v xml:space="preserve"> 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</row>
        <row r="30">
          <cell r="A30" t="str">
            <v>1103-016</v>
          </cell>
          <cell r="B30" t="str">
            <v>Gloria Alicia Ramirez Hernandez</v>
          </cell>
          <cell r="C30">
            <v>1200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1200</v>
          </cell>
          <cell r="H30" t="str">
            <v xml:space="preserve"> </v>
          </cell>
        </row>
        <row r="31">
          <cell r="A31" t="str">
            <v>1103-017</v>
          </cell>
          <cell r="B31" t="str">
            <v>Adrian Alberto Gaxiola Rosas</v>
          </cell>
          <cell r="C31">
            <v>886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886</v>
          </cell>
          <cell r="H31" t="str">
            <v xml:space="preserve"> </v>
          </cell>
        </row>
        <row r="32">
          <cell r="A32" t="str">
            <v>1103-018</v>
          </cell>
          <cell r="B32" t="str">
            <v>Consorcio Abarrotero Mexicano S.A de C.V.</v>
          </cell>
          <cell r="C32">
            <v>0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0</v>
          </cell>
          <cell r="H32" t="str">
            <v xml:space="preserve"> </v>
          </cell>
        </row>
        <row r="33">
          <cell r="A33" t="str">
            <v>1103-019</v>
          </cell>
          <cell r="B33" t="str">
            <v>Sergio Balderrama</v>
          </cell>
          <cell r="C33">
            <v>0</v>
          </cell>
          <cell r="D33" t="str">
            <v xml:space="preserve"> 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</row>
        <row r="34">
          <cell r="A34" t="str">
            <v>1103-020</v>
          </cell>
          <cell r="B34" t="str">
            <v>Camilo Abaid Abaid</v>
          </cell>
          <cell r="C34">
            <v>0</v>
          </cell>
          <cell r="D34" t="str">
            <v xml:space="preserve"> </v>
          </cell>
          <cell r="E34">
            <v>0</v>
          </cell>
          <cell r="F34">
            <v>0</v>
          </cell>
          <cell r="G34">
            <v>0</v>
          </cell>
          <cell r="H34" t="str">
            <v xml:space="preserve"> </v>
          </cell>
        </row>
        <row r="35">
          <cell r="A35" t="str">
            <v>1103-021</v>
          </cell>
          <cell r="B35" t="str">
            <v>Sonia Latife</v>
          </cell>
          <cell r="C35">
            <v>0</v>
          </cell>
          <cell r="D35" t="str">
            <v xml:space="preserve"> </v>
          </cell>
          <cell r="E35">
            <v>0</v>
          </cell>
          <cell r="F35">
            <v>0</v>
          </cell>
          <cell r="G35">
            <v>0</v>
          </cell>
          <cell r="H35" t="str">
            <v xml:space="preserve"> </v>
          </cell>
        </row>
        <row r="36">
          <cell r="A36" t="str">
            <v>1103-022</v>
          </cell>
          <cell r="B36" t="str">
            <v>Casa Centenario S.A de C.V.</v>
          </cell>
          <cell r="C36">
            <v>0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</row>
        <row r="37">
          <cell r="A37" t="str">
            <v>1103-023</v>
          </cell>
          <cell r="B37" t="str">
            <v>Abarrotes del Norte de la Sierra S.A DE C.V.</v>
          </cell>
          <cell r="C37">
            <v>25200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25200</v>
          </cell>
          <cell r="H37" t="str">
            <v xml:space="preserve"> </v>
          </cell>
        </row>
        <row r="38">
          <cell r="A38" t="str">
            <v>1103-024</v>
          </cell>
          <cell r="B38" t="str">
            <v>Mario Villalobos Moreno</v>
          </cell>
          <cell r="C38">
            <v>0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</row>
        <row r="39">
          <cell r="A39" t="str">
            <v>1103-025</v>
          </cell>
          <cell r="B39" t="str">
            <v>Abastecedora Mafi S.A de C.V.</v>
          </cell>
          <cell r="C39">
            <v>0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0</v>
          </cell>
          <cell r="H39" t="str">
            <v xml:space="preserve"> </v>
          </cell>
        </row>
        <row r="40">
          <cell r="A40" t="str">
            <v>1103-026</v>
          </cell>
          <cell r="B40" t="str">
            <v>Gonzalo Gallega Mata</v>
          </cell>
          <cell r="C40">
            <v>0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</row>
        <row r="41">
          <cell r="A41" t="str">
            <v>1103-027</v>
          </cell>
          <cell r="B41" t="str">
            <v>Abel Baca Martinez</v>
          </cell>
          <cell r="C41">
            <v>0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</row>
        <row r="42">
          <cell r="A42" t="str">
            <v>1103-028</v>
          </cell>
          <cell r="B42" t="str">
            <v>Noel Baca Martinez</v>
          </cell>
          <cell r="C42">
            <v>0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</row>
        <row r="43">
          <cell r="A43" t="str">
            <v>1103-029</v>
          </cell>
          <cell r="B43" t="str">
            <v>Sonia Abaid Abaid</v>
          </cell>
          <cell r="C43">
            <v>0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</row>
        <row r="44">
          <cell r="A44" t="str">
            <v>1103-030</v>
          </cell>
          <cell r="B44" t="str">
            <v>Jesus Jose Aguirre Reyes</v>
          </cell>
          <cell r="C44">
            <v>0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</row>
        <row r="45">
          <cell r="A45" t="str">
            <v>1103-031</v>
          </cell>
          <cell r="B45" t="str">
            <v>Irene Gallegos Ortega</v>
          </cell>
          <cell r="C45">
            <v>0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0</v>
          </cell>
          <cell r="H45" t="str">
            <v xml:space="preserve"> </v>
          </cell>
        </row>
        <row r="46">
          <cell r="A46" t="str">
            <v>1103-032</v>
          </cell>
          <cell r="B46" t="str">
            <v>Semillas Andujo S.A de C.V.</v>
          </cell>
          <cell r="C46">
            <v>0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</row>
        <row r="47">
          <cell r="A47" t="str">
            <v>1104-000</v>
          </cell>
          <cell r="B47" t="str">
            <v>DEUDORES DIVERSOS</v>
          </cell>
          <cell r="C47">
            <v>34196.379999999997</v>
          </cell>
          <cell r="D47" t="str">
            <v xml:space="preserve"> </v>
          </cell>
          <cell r="E47">
            <v>0</v>
          </cell>
          <cell r="F47">
            <v>33790.28</v>
          </cell>
          <cell r="G47">
            <v>406.1</v>
          </cell>
          <cell r="H47" t="str">
            <v xml:space="preserve"> </v>
          </cell>
        </row>
        <row r="48">
          <cell r="A48" t="str">
            <v>1104-001</v>
          </cell>
          <cell r="B48" t="str">
            <v>Veronica Prieto Medrano</v>
          </cell>
          <cell r="C48">
            <v>34196.379999999997</v>
          </cell>
          <cell r="D48" t="str">
            <v xml:space="preserve"> </v>
          </cell>
          <cell r="E48">
            <v>0</v>
          </cell>
          <cell r="F48">
            <v>33790.28</v>
          </cell>
          <cell r="G48">
            <v>406.1</v>
          </cell>
          <cell r="H48" t="str">
            <v xml:space="preserve"> </v>
          </cell>
        </row>
        <row r="49">
          <cell r="A49" t="str">
            <v>1104-002</v>
          </cell>
          <cell r="B49" t="str">
            <v>Joaquin Prieto Prieto</v>
          </cell>
          <cell r="C49">
            <v>0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</row>
        <row r="50">
          <cell r="A50" t="str">
            <v>1105-000</v>
          </cell>
          <cell r="B50" t="str">
            <v>IVA ACREDITABLE</v>
          </cell>
          <cell r="C50">
            <v>54610.5</v>
          </cell>
          <cell r="D50" t="str">
            <v xml:space="preserve"> </v>
          </cell>
          <cell r="E50">
            <v>3563.97</v>
          </cell>
          <cell r="F50">
            <v>1370.85</v>
          </cell>
          <cell r="G50">
            <v>56803.62</v>
          </cell>
          <cell r="H50" t="str">
            <v xml:space="preserve"> </v>
          </cell>
        </row>
        <row r="51">
          <cell r="A51" t="str">
            <v>1105-001</v>
          </cell>
          <cell r="B51" t="str">
            <v>Iva Acreditable Pend. de Pago</v>
          </cell>
          <cell r="C51">
            <v>16580.54</v>
          </cell>
          <cell r="D51" t="str">
            <v xml:space="preserve"> </v>
          </cell>
          <cell r="E51">
            <v>0</v>
          </cell>
          <cell r="F51">
            <v>1370.85</v>
          </cell>
          <cell r="G51">
            <v>15209.69</v>
          </cell>
          <cell r="H51" t="str">
            <v xml:space="preserve"> </v>
          </cell>
        </row>
        <row r="52">
          <cell r="A52" t="str">
            <v>1105-002</v>
          </cell>
          <cell r="B52" t="str">
            <v>Iva  Acreditable Efect. Pagado</v>
          </cell>
          <cell r="C52">
            <v>38029.96</v>
          </cell>
          <cell r="D52" t="str">
            <v xml:space="preserve"> </v>
          </cell>
          <cell r="E52">
            <v>3563.97</v>
          </cell>
          <cell r="F52">
            <v>0</v>
          </cell>
          <cell r="G52">
            <v>41593.93</v>
          </cell>
          <cell r="H52" t="str">
            <v xml:space="preserve"> </v>
          </cell>
        </row>
        <row r="53">
          <cell r="A53" t="str">
            <v>1106-000</v>
          </cell>
          <cell r="B53" t="str">
            <v>PAGOS ANTICIPADOS</v>
          </cell>
          <cell r="C53">
            <v>1573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1573</v>
          </cell>
          <cell r="H53" t="str">
            <v xml:space="preserve"> </v>
          </cell>
        </row>
        <row r="54">
          <cell r="A54" t="str">
            <v>1106-001</v>
          </cell>
          <cell r="B54" t="str">
            <v>IDE Retenido</v>
          </cell>
          <cell r="C54">
            <v>1573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1573</v>
          </cell>
          <cell r="H54" t="str">
            <v xml:space="preserve"> </v>
          </cell>
        </row>
        <row r="55">
          <cell r="A55" t="str">
            <v>1107-000</v>
          </cell>
          <cell r="B55" t="str">
            <v>ANTICIPO A PROVEEDORES</v>
          </cell>
          <cell r="C55">
            <v>75000</v>
          </cell>
          <cell r="D55" t="str">
            <v xml:space="preserve"> </v>
          </cell>
          <cell r="E55">
            <v>0</v>
          </cell>
          <cell r="F55">
            <v>75000</v>
          </cell>
          <cell r="G55">
            <v>0</v>
          </cell>
          <cell r="H55" t="str">
            <v xml:space="preserve"> </v>
          </cell>
        </row>
        <row r="56">
          <cell r="A56" t="str">
            <v>1107-001</v>
          </cell>
          <cell r="B56" t="str">
            <v>Jacobo Neudfor Enns</v>
          </cell>
          <cell r="C56">
            <v>0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</row>
        <row r="57">
          <cell r="A57" t="str">
            <v>1107-002</v>
          </cell>
          <cell r="B57" t="str">
            <v>Enrique Fehr Loewen</v>
          </cell>
          <cell r="C57">
            <v>0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</row>
        <row r="58">
          <cell r="A58" t="str">
            <v>1107-003</v>
          </cell>
          <cell r="B58" t="str">
            <v>Abram Neufeld Wall</v>
          </cell>
          <cell r="C58">
            <v>0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0</v>
          </cell>
          <cell r="H58" t="str">
            <v xml:space="preserve"> </v>
          </cell>
        </row>
        <row r="59">
          <cell r="A59" t="str">
            <v>1107-004</v>
          </cell>
          <cell r="B59" t="str">
            <v>El Sabinal Campo Numero Cinco S.P.R DE R.L DE C.V</v>
          </cell>
          <cell r="C59">
            <v>0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</row>
        <row r="60">
          <cell r="A60" t="str">
            <v>1107-005</v>
          </cell>
          <cell r="B60" t="str">
            <v>Cornelius Thiessen Fehr</v>
          </cell>
          <cell r="C60">
            <v>0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</row>
        <row r="61">
          <cell r="A61" t="str">
            <v>1107-006</v>
          </cell>
          <cell r="B61" t="str">
            <v>Jacob Wiebe Klassen</v>
          </cell>
          <cell r="C61">
            <v>0</v>
          </cell>
          <cell r="D61" t="str">
            <v xml:space="preserve"> </v>
          </cell>
          <cell r="E61">
            <v>0</v>
          </cell>
          <cell r="F61">
            <v>0</v>
          </cell>
          <cell r="G61">
            <v>0</v>
          </cell>
          <cell r="H61" t="str">
            <v xml:space="preserve"> </v>
          </cell>
        </row>
        <row r="62">
          <cell r="A62" t="str">
            <v>1107-007</v>
          </cell>
          <cell r="B62" t="str">
            <v>Pedro Neufeld Wall</v>
          </cell>
          <cell r="C62">
            <v>0</v>
          </cell>
          <cell r="D62" t="str">
            <v xml:space="preserve"> 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</row>
        <row r="63">
          <cell r="A63" t="str">
            <v>1107-008</v>
          </cell>
          <cell r="B63" t="str">
            <v>Productos Agropecuarios de los Llanos S. de P.R</v>
          </cell>
          <cell r="C63">
            <v>0</v>
          </cell>
          <cell r="D63" t="str">
            <v xml:space="preserve"> </v>
          </cell>
          <cell r="E63">
            <v>0</v>
          </cell>
          <cell r="F63">
            <v>0</v>
          </cell>
          <cell r="G63">
            <v>0</v>
          </cell>
          <cell r="H63" t="str">
            <v xml:space="preserve"> </v>
          </cell>
        </row>
        <row r="64">
          <cell r="A64" t="str">
            <v>1107-009</v>
          </cell>
          <cell r="B64" t="str">
            <v>Ally Credit SA DE CV</v>
          </cell>
          <cell r="C64">
            <v>0</v>
          </cell>
          <cell r="D64" t="str">
            <v xml:space="preserve"> 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</row>
        <row r="65">
          <cell r="A65" t="str">
            <v>1107-010</v>
          </cell>
          <cell r="B65" t="str">
            <v>NEFD7002107V8</v>
          </cell>
          <cell r="C65">
            <v>0</v>
          </cell>
          <cell r="D65" t="str">
            <v xml:space="preserve"> 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</row>
        <row r="66">
          <cell r="A66" t="str">
            <v>1107-011</v>
          </cell>
          <cell r="B66" t="str">
            <v>CCA0805064F6</v>
          </cell>
          <cell r="C66">
            <v>0</v>
          </cell>
          <cell r="D66" t="str">
            <v xml:space="preserve"> 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</row>
        <row r="67">
          <cell r="A67" t="str">
            <v>1107-012</v>
          </cell>
          <cell r="B67" t="str">
            <v>VECS681230911</v>
          </cell>
          <cell r="C67">
            <v>0</v>
          </cell>
          <cell r="D67" t="str">
            <v xml:space="preserve"> 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</row>
        <row r="68">
          <cell r="A68" t="str">
            <v>1107-013</v>
          </cell>
          <cell r="B68" t="str">
            <v>MCO0409243G7</v>
          </cell>
          <cell r="C68">
            <v>0</v>
          </cell>
          <cell r="D68" t="str">
            <v xml:space="preserve"> 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</row>
        <row r="69">
          <cell r="A69" t="str">
            <v>1107-014</v>
          </cell>
          <cell r="B69" t="str">
            <v>Dolores Peña Andrade</v>
          </cell>
          <cell r="C69">
            <v>0</v>
          </cell>
          <cell r="D69" t="str">
            <v xml:space="preserve"> 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</row>
        <row r="70">
          <cell r="A70" t="str">
            <v>1107-015</v>
          </cell>
          <cell r="B70" t="str">
            <v>ROGR651029TR0</v>
          </cell>
          <cell r="C70">
            <v>0</v>
          </cell>
          <cell r="D70" t="str">
            <v xml:space="preserve"> 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</row>
        <row r="71">
          <cell r="A71" t="str">
            <v>1107-016</v>
          </cell>
          <cell r="B71" t="str">
            <v>FICF800412000</v>
          </cell>
          <cell r="C71">
            <v>0</v>
          </cell>
          <cell r="D71" t="str">
            <v xml:space="preserve"> 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</row>
        <row r="72">
          <cell r="A72" t="str">
            <v>1107-017</v>
          </cell>
          <cell r="B72" t="str">
            <v>GALG630204M27</v>
          </cell>
          <cell r="C72">
            <v>0</v>
          </cell>
          <cell r="D72" t="str">
            <v xml:space="preserve"> 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</row>
        <row r="73">
          <cell r="A73" t="str">
            <v>1107-018</v>
          </cell>
          <cell r="B73" t="str">
            <v>Cornelius Hiebert Wiebe</v>
          </cell>
          <cell r="C73">
            <v>0</v>
          </cell>
          <cell r="D73" t="str">
            <v xml:space="preserve"> 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</row>
        <row r="74">
          <cell r="A74" t="str">
            <v>1107-019</v>
          </cell>
          <cell r="B74" t="str">
            <v>Klass Bergen Wieler</v>
          </cell>
          <cell r="C74">
            <v>0</v>
          </cell>
          <cell r="D74" t="str">
            <v xml:space="preserve"> 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</row>
        <row r="75">
          <cell r="A75" t="str">
            <v>1107-020</v>
          </cell>
          <cell r="B75" t="str">
            <v>Distribuidora de Granos y Semillas Baca SA DE CV</v>
          </cell>
          <cell r="C75">
            <v>0</v>
          </cell>
          <cell r="D75" t="str">
            <v xml:space="preserve"> </v>
          </cell>
          <cell r="E75">
            <v>0</v>
          </cell>
          <cell r="F75">
            <v>0</v>
          </cell>
          <cell r="G75">
            <v>0</v>
          </cell>
          <cell r="H75" t="str">
            <v xml:space="preserve"> </v>
          </cell>
        </row>
        <row r="76">
          <cell r="A76" t="str">
            <v>1107-021</v>
          </cell>
          <cell r="B76" t="str">
            <v>Rosario Arnulfo Leyva Robles</v>
          </cell>
          <cell r="C76">
            <v>0</v>
          </cell>
          <cell r="D76" t="str">
            <v xml:space="preserve"> 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</row>
        <row r="77">
          <cell r="A77" t="str">
            <v>1107-022</v>
          </cell>
          <cell r="B77" t="str">
            <v>Bernhard Rempel Wall</v>
          </cell>
          <cell r="C77">
            <v>0</v>
          </cell>
          <cell r="D77" t="str">
            <v xml:space="preserve"> 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</row>
        <row r="78">
          <cell r="A78" t="str">
            <v>1107-023</v>
          </cell>
          <cell r="B78" t="str">
            <v>Servicio Perisur Del Real SA DE CV</v>
          </cell>
          <cell r="C78">
            <v>0</v>
          </cell>
          <cell r="D78" t="str">
            <v xml:space="preserve"> 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</row>
        <row r="79">
          <cell r="A79" t="str">
            <v>1107-024</v>
          </cell>
          <cell r="B79" t="str">
            <v>BISJ700407DT7</v>
          </cell>
          <cell r="C79">
            <v>0</v>
          </cell>
          <cell r="D79" t="str">
            <v xml:space="preserve"> 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</row>
        <row r="80">
          <cell r="A80" t="str">
            <v>1107-025</v>
          </cell>
          <cell r="B80" t="str">
            <v>Bernardo Rempel Frisen</v>
          </cell>
          <cell r="C80">
            <v>0</v>
          </cell>
          <cell r="D80" t="str">
            <v xml:space="preserve"> 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</row>
        <row r="81">
          <cell r="A81" t="str">
            <v>1107-026</v>
          </cell>
          <cell r="B81" t="str">
            <v>Alejandro Bustamante Bustamante</v>
          </cell>
          <cell r="C81">
            <v>0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</row>
        <row r="82">
          <cell r="A82" t="str">
            <v>1107-027</v>
          </cell>
          <cell r="B82" t="str">
            <v>Guillermo Arturo Valles Chavez</v>
          </cell>
          <cell r="C82">
            <v>0</v>
          </cell>
          <cell r="D82" t="str">
            <v xml:space="preserve"> 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</row>
        <row r="83">
          <cell r="A83" t="str">
            <v>1107-028</v>
          </cell>
          <cell r="B83" t="str">
            <v>Victor Manuel Fernandez Ortiz</v>
          </cell>
          <cell r="C83">
            <v>0</v>
          </cell>
          <cell r="D83" t="str">
            <v xml:space="preserve"> 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</row>
        <row r="84">
          <cell r="A84" t="str">
            <v>1107-029</v>
          </cell>
          <cell r="B84" t="str">
            <v>Gonzalo Gallegos Montes</v>
          </cell>
          <cell r="C84">
            <v>0</v>
          </cell>
          <cell r="D84" t="str">
            <v xml:space="preserve"> </v>
          </cell>
          <cell r="E84">
            <v>0</v>
          </cell>
          <cell r="F84">
            <v>0</v>
          </cell>
          <cell r="G84">
            <v>0</v>
          </cell>
          <cell r="H84" t="str">
            <v xml:space="preserve"> </v>
          </cell>
        </row>
        <row r="85">
          <cell r="A85" t="str">
            <v>1107-030</v>
          </cell>
          <cell r="B85" t="str">
            <v>Justina Knelsen Giesbrecht</v>
          </cell>
          <cell r="C85">
            <v>0</v>
          </cell>
          <cell r="D85" t="str">
            <v xml:space="preserve"> 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</row>
        <row r="86">
          <cell r="A86" t="str">
            <v>1107-031</v>
          </cell>
          <cell r="B86" t="str">
            <v>Jacobo Wiebe Martens</v>
          </cell>
          <cell r="C86">
            <v>0</v>
          </cell>
          <cell r="D86" t="str">
            <v xml:space="preserve"> 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</row>
        <row r="87">
          <cell r="A87" t="str">
            <v>1107-032</v>
          </cell>
          <cell r="B87" t="str">
            <v>Noel Rodriguez Fernandez</v>
          </cell>
          <cell r="C87">
            <v>0</v>
          </cell>
          <cell r="D87" t="str">
            <v xml:space="preserve"> 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</row>
        <row r="88">
          <cell r="A88" t="str">
            <v>1107-033</v>
          </cell>
          <cell r="B88" t="str">
            <v>Garbules SPR DE RL</v>
          </cell>
          <cell r="C88">
            <v>0</v>
          </cell>
          <cell r="D88" t="str">
            <v xml:space="preserve"> </v>
          </cell>
          <cell r="E88">
            <v>0</v>
          </cell>
          <cell r="F88">
            <v>0</v>
          </cell>
          <cell r="G88">
            <v>0</v>
          </cell>
          <cell r="H88" t="str">
            <v xml:space="preserve"> </v>
          </cell>
        </row>
        <row r="89">
          <cell r="A89" t="str">
            <v>1107-034</v>
          </cell>
          <cell r="B89" t="str">
            <v>Anna Wieler Wiebe</v>
          </cell>
          <cell r="C89">
            <v>0</v>
          </cell>
          <cell r="D89" t="str">
            <v xml:space="preserve"> 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</row>
        <row r="90">
          <cell r="A90" t="str">
            <v>1107-035</v>
          </cell>
          <cell r="B90" t="str">
            <v>Luis Antoinio Chavez Villagran</v>
          </cell>
          <cell r="C90">
            <v>0</v>
          </cell>
          <cell r="D90" t="str">
            <v xml:space="preserve"> 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</row>
        <row r="91">
          <cell r="A91" t="str">
            <v>1107-036</v>
          </cell>
          <cell r="B91" t="str">
            <v>Enrique Armando Rodriguez Aguilar</v>
          </cell>
          <cell r="C91">
            <v>0</v>
          </cell>
          <cell r="D91" t="str">
            <v xml:space="preserve"> </v>
          </cell>
          <cell r="E91">
            <v>0</v>
          </cell>
          <cell r="F91">
            <v>0</v>
          </cell>
          <cell r="G91">
            <v>0</v>
          </cell>
          <cell r="H91" t="str">
            <v xml:space="preserve"> </v>
          </cell>
        </row>
        <row r="92">
          <cell r="A92" t="str">
            <v>1107-037</v>
          </cell>
          <cell r="B92" t="str">
            <v>Sergio Ramirez Zubia</v>
          </cell>
          <cell r="C92">
            <v>0</v>
          </cell>
          <cell r="D92" t="str">
            <v xml:space="preserve"> 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</row>
        <row r="93">
          <cell r="A93" t="str">
            <v>1107-038</v>
          </cell>
          <cell r="B93" t="str">
            <v>David Hiebert Wiebe</v>
          </cell>
          <cell r="C93">
            <v>0</v>
          </cell>
          <cell r="D93" t="str">
            <v xml:space="preserve"> 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</row>
        <row r="94">
          <cell r="A94" t="str">
            <v>1107-039</v>
          </cell>
          <cell r="B94" t="str">
            <v>Anna Friessen Peters</v>
          </cell>
          <cell r="C94">
            <v>0</v>
          </cell>
          <cell r="D94" t="str">
            <v xml:space="preserve"> 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</row>
        <row r="95">
          <cell r="A95" t="str">
            <v>1107-040</v>
          </cell>
          <cell r="B95" t="str">
            <v>Jacob Hiebert Wiebe</v>
          </cell>
          <cell r="C95">
            <v>0</v>
          </cell>
          <cell r="D95" t="str">
            <v xml:space="preserve"> 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</row>
        <row r="96">
          <cell r="A96" t="str">
            <v>1107-041</v>
          </cell>
          <cell r="B96" t="str">
            <v>Franz Rempel Friessen</v>
          </cell>
          <cell r="C96">
            <v>0</v>
          </cell>
          <cell r="D96" t="str">
            <v xml:space="preserve"> </v>
          </cell>
          <cell r="E96">
            <v>0</v>
          </cell>
          <cell r="F96">
            <v>0</v>
          </cell>
          <cell r="G96">
            <v>0</v>
          </cell>
          <cell r="H96" t="str">
            <v xml:space="preserve"> </v>
          </cell>
        </row>
        <row r="97">
          <cell r="A97" t="str">
            <v>1107-042</v>
          </cell>
          <cell r="B97" t="str">
            <v>Elizabeth Friesen Neudorf</v>
          </cell>
          <cell r="C97">
            <v>0</v>
          </cell>
          <cell r="D97" t="str">
            <v xml:space="preserve"> 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</row>
        <row r="98">
          <cell r="A98" t="str">
            <v>1107-043</v>
          </cell>
          <cell r="B98" t="str">
            <v>Benni Zacharias Hildebrand</v>
          </cell>
          <cell r="C98">
            <v>0</v>
          </cell>
          <cell r="D98" t="str">
            <v xml:space="preserve"> </v>
          </cell>
          <cell r="E98">
            <v>0</v>
          </cell>
          <cell r="F98">
            <v>0</v>
          </cell>
          <cell r="G98">
            <v>0</v>
          </cell>
          <cell r="H98" t="str">
            <v xml:space="preserve"> </v>
          </cell>
        </row>
        <row r="99">
          <cell r="A99" t="str">
            <v>1107-044</v>
          </cell>
          <cell r="B99" t="str">
            <v>Bernhard Rempel Blatz</v>
          </cell>
          <cell r="C99">
            <v>0</v>
          </cell>
          <cell r="D99" t="str">
            <v xml:space="preserve"> </v>
          </cell>
          <cell r="E99">
            <v>0</v>
          </cell>
          <cell r="F99">
            <v>0</v>
          </cell>
          <cell r="G99">
            <v>0</v>
          </cell>
          <cell r="H99" t="str">
            <v xml:space="preserve"> </v>
          </cell>
        </row>
        <row r="100">
          <cell r="A100" t="str">
            <v>1107-045</v>
          </cell>
          <cell r="B100" t="str">
            <v>Productores Unidos Por Un Ideal SPR DE RL</v>
          </cell>
          <cell r="C100">
            <v>0</v>
          </cell>
          <cell r="D100" t="str">
            <v xml:space="preserve"> </v>
          </cell>
          <cell r="E100">
            <v>0</v>
          </cell>
          <cell r="F100">
            <v>0</v>
          </cell>
          <cell r="G100">
            <v>0</v>
          </cell>
          <cell r="H100" t="str">
            <v xml:space="preserve"> </v>
          </cell>
        </row>
        <row r="101">
          <cell r="A101" t="str">
            <v>1107-046</v>
          </cell>
          <cell r="B101" t="str">
            <v>Heinrich Wiebe Fehr</v>
          </cell>
          <cell r="C101">
            <v>0</v>
          </cell>
          <cell r="D101" t="str">
            <v xml:space="preserve"> </v>
          </cell>
          <cell r="E101">
            <v>0</v>
          </cell>
          <cell r="F101">
            <v>0</v>
          </cell>
          <cell r="G101">
            <v>0</v>
          </cell>
          <cell r="H101" t="str">
            <v xml:space="preserve"> </v>
          </cell>
        </row>
        <row r="102">
          <cell r="A102" t="str">
            <v>1107-047</v>
          </cell>
          <cell r="B102" t="str">
            <v>Abraham Peters Dyck</v>
          </cell>
          <cell r="C102">
            <v>0</v>
          </cell>
          <cell r="D102" t="str">
            <v xml:space="preserve"> </v>
          </cell>
          <cell r="E102">
            <v>0</v>
          </cell>
          <cell r="F102">
            <v>0</v>
          </cell>
          <cell r="G102">
            <v>0</v>
          </cell>
          <cell r="H102" t="str">
            <v xml:space="preserve"> </v>
          </cell>
        </row>
        <row r="103">
          <cell r="A103" t="str">
            <v>1107-048</v>
          </cell>
          <cell r="B103" t="str">
            <v>Gerhard Rempel Wall</v>
          </cell>
          <cell r="C103">
            <v>0</v>
          </cell>
          <cell r="D103" t="str">
            <v xml:space="preserve"> </v>
          </cell>
          <cell r="E103">
            <v>0</v>
          </cell>
          <cell r="F103">
            <v>0</v>
          </cell>
          <cell r="G103">
            <v>0</v>
          </cell>
          <cell r="H103" t="str">
            <v xml:space="preserve"> </v>
          </cell>
        </row>
        <row r="104">
          <cell r="A104" t="str">
            <v>1107-049</v>
          </cell>
          <cell r="B104" t="str">
            <v>Olegario Venitez Araujo</v>
          </cell>
          <cell r="C104">
            <v>75000</v>
          </cell>
          <cell r="D104" t="str">
            <v xml:space="preserve"> </v>
          </cell>
          <cell r="E104">
            <v>0</v>
          </cell>
          <cell r="F104">
            <v>75000</v>
          </cell>
          <cell r="G104">
            <v>0</v>
          </cell>
          <cell r="H104" t="str">
            <v xml:space="preserve"> </v>
          </cell>
        </row>
        <row r="105">
          <cell r="A105" t="str">
            <v>1107-050</v>
          </cell>
          <cell r="B105" t="str">
            <v>Cornelius Unger Hieberth</v>
          </cell>
          <cell r="C105">
            <v>0</v>
          </cell>
          <cell r="D105" t="str">
            <v xml:space="preserve"> </v>
          </cell>
          <cell r="E105">
            <v>0</v>
          </cell>
          <cell r="F105">
            <v>0</v>
          </cell>
          <cell r="G105">
            <v>0</v>
          </cell>
          <cell r="H105" t="str">
            <v xml:space="preserve"> </v>
          </cell>
        </row>
        <row r="106">
          <cell r="A106" t="str">
            <v>1108-000</v>
          </cell>
          <cell r="B106" t="str">
            <v>SUBSIDIO AL EMPLEO</v>
          </cell>
          <cell r="C106">
            <v>2206.46</v>
          </cell>
          <cell r="D106" t="str">
            <v xml:space="preserve"> </v>
          </cell>
          <cell r="E106">
            <v>784.32</v>
          </cell>
          <cell r="F106">
            <v>0</v>
          </cell>
          <cell r="G106">
            <v>2990.78</v>
          </cell>
          <cell r="H106" t="str">
            <v xml:space="preserve"> </v>
          </cell>
        </row>
        <row r="107">
          <cell r="A107" t="str">
            <v>2000-000</v>
          </cell>
          <cell r="B107" t="str">
            <v>PASIVO</v>
          </cell>
          <cell r="C107" t="str">
            <v xml:space="preserve"> </v>
          </cell>
          <cell r="D107">
            <v>2494392.83</v>
          </cell>
          <cell r="E107">
            <v>499434.88</v>
          </cell>
          <cell r="F107">
            <v>346706.49</v>
          </cell>
          <cell r="G107" t="str">
            <v xml:space="preserve"> </v>
          </cell>
          <cell r="H107">
            <v>2341664.44</v>
          </cell>
        </row>
        <row r="108">
          <cell r="A108" t="str">
            <v>2100-000</v>
          </cell>
          <cell r="B108" t="str">
            <v>PASIVO A CORTO PLAZO</v>
          </cell>
          <cell r="C108" t="str">
            <v xml:space="preserve"> </v>
          </cell>
          <cell r="D108">
            <v>2494392.83</v>
          </cell>
          <cell r="E108">
            <v>499434.88</v>
          </cell>
          <cell r="F108">
            <v>346706.49</v>
          </cell>
          <cell r="G108" t="str">
            <v xml:space="preserve"> </v>
          </cell>
          <cell r="H108">
            <v>2341664.44</v>
          </cell>
        </row>
        <row r="109">
          <cell r="A109" t="str">
            <v>2101-000</v>
          </cell>
          <cell r="B109" t="str">
            <v>PROVEEDORES</v>
          </cell>
          <cell r="C109" t="str">
            <v xml:space="preserve"> </v>
          </cell>
          <cell r="D109">
            <v>2183495.14</v>
          </cell>
          <cell r="E109">
            <v>27070</v>
          </cell>
          <cell r="F109">
            <v>43234</v>
          </cell>
          <cell r="G109" t="str">
            <v xml:space="preserve"> </v>
          </cell>
          <cell r="H109">
            <v>2199659.14</v>
          </cell>
        </row>
        <row r="110">
          <cell r="A110" t="str">
            <v>2101-001</v>
          </cell>
          <cell r="B110" t="str">
            <v>Jacobo Neudfor Enns</v>
          </cell>
          <cell r="C110" t="str">
            <v xml:space="preserve"> </v>
          </cell>
          <cell r="D110">
            <v>0</v>
          </cell>
          <cell r="E110">
            <v>0</v>
          </cell>
          <cell r="F110">
            <v>0</v>
          </cell>
          <cell r="G110" t="str">
            <v xml:space="preserve"> </v>
          </cell>
          <cell r="H110">
            <v>0</v>
          </cell>
        </row>
        <row r="111">
          <cell r="A111" t="str">
            <v>2101-002</v>
          </cell>
          <cell r="B111" t="str">
            <v>Olegario Venitez Araujo</v>
          </cell>
          <cell r="C111" t="str">
            <v xml:space="preserve"> </v>
          </cell>
          <cell r="D111">
            <v>0</v>
          </cell>
          <cell r="E111">
            <v>0</v>
          </cell>
          <cell r="F111">
            <v>43234</v>
          </cell>
          <cell r="G111" t="str">
            <v xml:space="preserve"> </v>
          </cell>
          <cell r="H111">
            <v>43234</v>
          </cell>
        </row>
        <row r="112">
          <cell r="A112" t="str">
            <v>2101-003</v>
          </cell>
          <cell r="B112" t="str">
            <v>Ynosencio Lopez Herrera</v>
          </cell>
          <cell r="C112" t="str">
            <v xml:space="preserve"> </v>
          </cell>
          <cell r="D112">
            <v>0</v>
          </cell>
          <cell r="E112">
            <v>0</v>
          </cell>
          <cell r="F112">
            <v>0</v>
          </cell>
          <cell r="G112" t="str">
            <v xml:space="preserve"> </v>
          </cell>
          <cell r="H112">
            <v>0</v>
          </cell>
        </row>
        <row r="113">
          <cell r="A113" t="str">
            <v>2101-004</v>
          </cell>
          <cell r="B113" t="str">
            <v>Pedro Neufeld Wall</v>
          </cell>
          <cell r="C113" t="str">
            <v xml:space="preserve"> </v>
          </cell>
          <cell r="D113">
            <v>0</v>
          </cell>
          <cell r="E113">
            <v>0</v>
          </cell>
          <cell r="F113">
            <v>0</v>
          </cell>
          <cell r="G113" t="str">
            <v xml:space="preserve"> </v>
          </cell>
          <cell r="H113">
            <v>0</v>
          </cell>
        </row>
        <row r="114">
          <cell r="A114" t="str">
            <v>2101-005</v>
          </cell>
          <cell r="B114" t="str">
            <v>Carlos Ruben Delgado Marquez</v>
          </cell>
          <cell r="C114" t="str">
            <v xml:space="preserve"> </v>
          </cell>
          <cell r="D114">
            <v>0</v>
          </cell>
          <cell r="E114">
            <v>0</v>
          </cell>
          <cell r="F114">
            <v>0</v>
          </cell>
          <cell r="G114" t="str">
            <v xml:space="preserve"> </v>
          </cell>
          <cell r="H114">
            <v>0</v>
          </cell>
        </row>
        <row r="115">
          <cell r="A115" t="str">
            <v>2101-006</v>
          </cell>
          <cell r="B115" t="str">
            <v>Alejandro Bustamante Bustamante</v>
          </cell>
          <cell r="C115" t="str">
            <v xml:space="preserve"> </v>
          </cell>
          <cell r="D115">
            <v>0</v>
          </cell>
          <cell r="E115">
            <v>0</v>
          </cell>
          <cell r="F115">
            <v>0</v>
          </cell>
          <cell r="G115" t="str">
            <v xml:space="preserve"> </v>
          </cell>
          <cell r="H115">
            <v>0</v>
          </cell>
        </row>
        <row r="116">
          <cell r="A116" t="str">
            <v>2101-007</v>
          </cell>
          <cell r="B116" t="str">
            <v>Guillermo Arturo Valles Chavez</v>
          </cell>
          <cell r="C116" t="str">
            <v xml:space="preserve"> </v>
          </cell>
          <cell r="D116">
            <v>0</v>
          </cell>
          <cell r="E116">
            <v>0</v>
          </cell>
          <cell r="F116">
            <v>0</v>
          </cell>
          <cell r="G116" t="str">
            <v xml:space="preserve"> </v>
          </cell>
          <cell r="H116">
            <v>0</v>
          </cell>
        </row>
        <row r="117">
          <cell r="A117" t="str">
            <v>2101-008</v>
          </cell>
          <cell r="B117" t="str">
            <v>Productos Agropecuarios de los Llanos S. de P.R. d</v>
          </cell>
          <cell r="C117" t="str">
            <v xml:space="preserve"> </v>
          </cell>
          <cell r="D117">
            <v>0</v>
          </cell>
          <cell r="E117">
            <v>0</v>
          </cell>
          <cell r="F117">
            <v>0</v>
          </cell>
          <cell r="G117" t="str">
            <v xml:space="preserve"> </v>
          </cell>
          <cell r="H117">
            <v>0</v>
          </cell>
        </row>
        <row r="118">
          <cell r="A118" t="str">
            <v>2101-009</v>
          </cell>
          <cell r="B118" t="str">
            <v>Tomas V. Caraveo V.</v>
          </cell>
          <cell r="C118" t="str">
            <v xml:space="preserve"> </v>
          </cell>
          <cell r="D118">
            <v>0</v>
          </cell>
          <cell r="E118">
            <v>0</v>
          </cell>
          <cell r="F118">
            <v>0</v>
          </cell>
          <cell r="G118" t="str">
            <v xml:space="preserve"> </v>
          </cell>
          <cell r="H118">
            <v>0</v>
          </cell>
        </row>
        <row r="119">
          <cell r="A119" t="str">
            <v>2101-010</v>
          </cell>
          <cell r="B119" t="str">
            <v>Enrique Ferh Loewen</v>
          </cell>
          <cell r="C119" t="str">
            <v xml:space="preserve"> </v>
          </cell>
          <cell r="D119">
            <v>0</v>
          </cell>
          <cell r="E119">
            <v>0</v>
          </cell>
          <cell r="F119">
            <v>0</v>
          </cell>
          <cell r="G119" t="str">
            <v xml:space="preserve"> </v>
          </cell>
          <cell r="H119">
            <v>0</v>
          </cell>
        </row>
        <row r="120">
          <cell r="A120" t="str">
            <v>2101-011</v>
          </cell>
          <cell r="B120" t="str">
            <v>William Froese Loewen</v>
          </cell>
          <cell r="C120" t="str">
            <v xml:space="preserve"> </v>
          </cell>
          <cell r="D120">
            <v>0</v>
          </cell>
          <cell r="E120">
            <v>0</v>
          </cell>
          <cell r="F120">
            <v>0</v>
          </cell>
          <cell r="G120" t="str">
            <v xml:space="preserve"> </v>
          </cell>
          <cell r="H120">
            <v>0</v>
          </cell>
        </row>
        <row r="121">
          <cell r="A121" t="str">
            <v>2101-012</v>
          </cell>
          <cell r="B121" t="str">
            <v>Lauro Rodriguez Tena</v>
          </cell>
          <cell r="C121" t="str">
            <v xml:space="preserve"> </v>
          </cell>
          <cell r="D121">
            <v>0</v>
          </cell>
          <cell r="E121">
            <v>0</v>
          </cell>
          <cell r="F121">
            <v>0</v>
          </cell>
          <cell r="G121" t="str">
            <v xml:space="preserve"> </v>
          </cell>
          <cell r="H121">
            <v>0</v>
          </cell>
        </row>
        <row r="122">
          <cell r="A122" t="str">
            <v>2101-013</v>
          </cell>
          <cell r="B122" t="str">
            <v>Juan Froese Neudorf</v>
          </cell>
          <cell r="C122" t="str">
            <v xml:space="preserve"> </v>
          </cell>
          <cell r="D122">
            <v>0</v>
          </cell>
          <cell r="E122">
            <v>0</v>
          </cell>
          <cell r="F122">
            <v>0</v>
          </cell>
          <cell r="G122" t="str">
            <v xml:space="preserve"> </v>
          </cell>
          <cell r="H122">
            <v>0</v>
          </cell>
        </row>
        <row r="123">
          <cell r="A123" t="str">
            <v>2101-014</v>
          </cell>
          <cell r="B123" t="str">
            <v>David Neufeld Friesen</v>
          </cell>
          <cell r="C123" t="str">
            <v xml:space="preserve"> </v>
          </cell>
          <cell r="D123">
            <v>0</v>
          </cell>
          <cell r="E123">
            <v>0</v>
          </cell>
          <cell r="F123">
            <v>0</v>
          </cell>
          <cell r="G123" t="str">
            <v xml:space="preserve"> </v>
          </cell>
          <cell r="H123">
            <v>0</v>
          </cell>
        </row>
        <row r="124">
          <cell r="A124" t="str">
            <v>2101-015</v>
          </cell>
          <cell r="B124" t="str">
            <v>Abram Neufeld Wall</v>
          </cell>
          <cell r="C124" t="str">
            <v xml:space="preserve"> </v>
          </cell>
          <cell r="D124">
            <v>0</v>
          </cell>
          <cell r="E124">
            <v>0</v>
          </cell>
          <cell r="F124">
            <v>0</v>
          </cell>
          <cell r="G124" t="str">
            <v xml:space="preserve"> </v>
          </cell>
          <cell r="H124">
            <v>0</v>
          </cell>
        </row>
        <row r="125">
          <cell r="A125" t="str">
            <v>2101-016</v>
          </cell>
          <cell r="B125" t="str">
            <v>Jacob Hiebert Wiebe</v>
          </cell>
          <cell r="C125" t="str">
            <v xml:space="preserve"> </v>
          </cell>
          <cell r="D125">
            <v>0</v>
          </cell>
          <cell r="E125">
            <v>0</v>
          </cell>
          <cell r="F125">
            <v>0</v>
          </cell>
          <cell r="G125" t="str">
            <v xml:space="preserve"> </v>
          </cell>
          <cell r="H125">
            <v>0</v>
          </cell>
        </row>
        <row r="126">
          <cell r="A126" t="str">
            <v>2101-017</v>
          </cell>
          <cell r="B126" t="str">
            <v>Distribuidora De Granos Alimenticios S.A. de C.V.</v>
          </cell>
          <cell r="C126" t="str">
            <v xml:space="preserve"> </v>
          </cell>
          <cell r="D126">
            <v>0</v>
          </cell>
          <cell r="E126">
            <v>0</v>
          </cell>
          <cell r="F126">
            <v>0</v>
          </cell>
          <cell r="G126" t="str">
            <v xml:space="preserve"> </v>
          </cell>
          <cell r="H126">
            <v>0</v>
          </cell>
        </row>
        <row r="127">
          <cell r="A127" t="str">
            <v>2101-018</v>
          </cell>
          <cell r="B127" t="str">
            <v>Cornelius Hiebert Wiebe</v>
          </cell>
          <cell r="C127" t="str">
            <v xml:space="preserve"> </v>
          </cell>
          <cell r="D127">
            <v>0</v>
          </cell>
          <cell r="E127">
            <v>0</v>
          </cell>
          <cell r="F127">
            <v>0</v>
          </cell>
          <cell r="G127" t="str">
            <v xml:space="preserve"> </v>
          </cell>
          <cell r="H127">
            <v>0</v>
          </cell>
        </row>
        <row r="128">
          <cell r="A128" t="str">
            <v>2101-019</v>
          </cell>
          <cell r="B128" t="str">
            <v>Semillas Cosecha de Oro</v>
          </cell>
          <cell r="C128" t="str">
            <v xml:space="preserve"> </v>
          </cell>
          <cell r="D128">
            <v>0</v>
          </cell>
          <cell r="E128">
            <v>0</v>
          </cell>
          <cell r="F128">
            <v>0</v>
          </cell>
          <cell r="G128" t="str">
            <v xml:space="preserve"> </v>
          </cell>
          <cell r="H128">
            <v>0</v>
          </cell>
        </row>
        <row r="129">
          <cell r="A129" t="str">
            <v>2101-020</v>
          </cell>
          <cell r="B129" t="str">
            <v>Grains y Ancillary Consumo Humano S.A. de C.V.</v>
          </cell>
          <cell r="C129" t="str">
            <v xml:space="preserve"> </v>
          </cell>
          <cell r="D129">
            <v>0</v>
          </cell>
          <cell r="E129">
            <v>0</v>
          </cell>
          <cell r="F129">
            <v>0</v>
          </cell>
          <cell r="G129" t="str">
            <v xml:space="preserve"> </v>
          </cell>
          <cell r="H129">
            <v>0</v>
          </cell>
        </row>
        <row r="130">
          <cell r="A130" t="str">
            <v>2101-021</v>
          </cell>
          <cell r="B130" t="str">
            <v>Victor Manuel Fernandez Ortiz*****</v>
          </cell>
          <cell r="C130" t="str">
            <v xml:space="preserve"> </v>
          </cell>
          <cell r="D130">
            <v>0</v>
          </cell>
          <cell r="E130">
            <v>0</v>
          </cell>
          <cell r="F130">
            <v>0</v>
          </cell>
          <cell r="G130" t="str">
            <v xml:space="preserve"> </v>
          </cell>
          <cell r="H130">
            <v>0</v>
          </cell>
        </row>
        <row r="131">
          <cell r="A131" t="str">
            <v>2101-022</v>
          </cell>
          <cell r="B131" t="str">
            <v>Johan Wiebe Wiebe</v>
          </cell>
          <cell r="C131" t="str">
            <v xml:space="preserve"> </v>
          </cell>
          <cell r="D131">
            <v>0</v>
          </cell>
          <cell r="E131">
            <v>0</v>
          </cell>
          <cell r="F131">
            <v>0</v>
          </cell>
          <cell r="G131" t="str">
            <v xml:space="preserve"> </v>
          </cell>
          <cell r="H131">
            <v>0</v>
          </cell>
        </row>
        <row r="132">
          <cell r="A132" t="str">
            <v>2101-023</v>
          </cell>
          <cell r="B132" t="str">
            <v>Enrique Armando Rodriguez Aguilar</v>
          </cell>
          <cell r="C132" t="str">
            <v xml:space="preserve"> </v>
          </cell>
          <cell r="D132">
            <v>0</v>
          </cell>
          <cell r="E132">
            <v>0</v>
          </cell>
          <cell r="F132">
            <v>0</v>
          </cell>
          <cell r="G132" t="str">
            <v xml:space="preserve"> </v>
          </cell>
          <cell r="H132">
            <v>0</v>
          </cell>
        </row>
        <row r="133">
          <cell r="A133" t="str">
            <v>2101-024</v>
          </cell>
          <cell r="B133" t="str">
            <v>Gerhard Rempel Wall</v>
          </cell>
          <cell r="C133" t="str">
            <v xml:space="preserve"> </v>
          </cell>
          <cell r="D133">
            <v>25060</v>
          </cell>
          <cell r="E133">
            <v>0</v>
          </cell>
          <cell r="F133">
            <v>0</v>
          </cell>
          <cell r="G133" t="str">
            <v xml:space="preserve"> </v>
          </cell>
          <cell r="H133">
            <v>25060</v>
          </cell>
        </row>
        <row r="134">
          <cell r="A134" t="str">
            <v>2101-025</v>
          </cell>
          <cell r="B134" t="str">
            <v>Benni Zacharias Hildebrand</v>
          </cell>
          <cell r="C134" t="str">
            <v xml:space="preserve"> </v>
          </cell>
          <cell r="D134">
            <v>3065.5</v>
          </cell>
          <cell r="E134">
            <v>0</v>
          </cell>
          <cell r="F134">
            <v>0</v>
          </cell>
          <cell r="G134" t="str">
            <v xml:space="preserve"> </v>
          </cell>
          <cell r="H134">
            <v>3065.5</v>
          </cell>
        </row>
        <row r="135">
          <cell r="A135" t="str">
            <v>2101-026</v>
          </cell>
          <cell r="B135" t="str">
            <v>Bernhard Rempel Blatz</v>
          </cell>
          <cell r="C135" t="str">
            <v xml:space="preserve"> </v>
          </cell>
          <cell r="D135">
            <v>6912</v>
          </cell>
          <cell r="E135">
            <v>0</v>
          </cell>
          <cell r="F135">
            <v>0</v>
          </cell>
          <cell r="G135" t="str">
            <v xml:space="preserve"> </v>
          </cell>
          <cell r="H135">
            <v>6912</v>
          </cell>
        </row>
        <row r="136">
          <cell r="A136" t="str">
            <v>2101-027</v>
          </cell>
          <cell r="B136" t="str">
            <v>Sergio Ramirez Zubia</v>
          </cell>
          <cell r="C136" t="str">
            <v xml:space="preserve"> </v>
          </cell>
          <cell r="D136">
            <v>0</v>
          </cell>
          <cell r="E136">
            <v>0</v>
          </cell>
          <cell r="F136">
            <v>0</v>
          </cell>
          <cell r="G136" t="str">
            <v xml:space="preserve"> </v>
          </cell>
          <cell r="H136">
            <v>0</v>
          </cell>
        </row>
        <row r="137">
          <cell r="A137" t="str">
            <v>2101-028</v>
          </cell>
          <cell r="B137" t="str">
            <v>Ramon Fernando Fernandez Lara****</v>
          </cell>
          <cell r="C137" t="str">
            <v xml:space="preserve"> </v>
          </cell>
          <cell r="D137">
            <v>0</v>
          </cell>
          <cell r="E137">
            <v>0</v>
          </cell>
          <cell r="F137">
            <v>0</v>
          </cell>
          <cell r="G137" t="str">
            <v xml:space="preserve"> </v>
          </cell>
          <cell r="H137">
            <v>0</v>
          </cell>
        </row>
        <row r="138">
          <cell r="A138" t="str">
            <v>2101-029</v>
          </cell>
          <cell r="B138" t="str">
            <v>Ignacio Gonzalez Valenzuela</v>
          </cell>
          <cell r="C138" t="str">
            <v xml:space="preserve"> </v>
          </cell>
          <cell r="D138">
            <v>0</v>
          </cell>
          <cell r="E138">
            <v>0</v>
          </cell>
          <cell r="F138">
            <v>0</v>
          </cell>
          <cell r="G138" t="str">
            <v xml:space="preserve"> </v>
          </cell>
          <cell r="H138">
            <v>0</v>
          </cell>
        </row>
        <row r="139">
          <cell r="A139" t="str">
            <v>2101-030</v>
          </cell>
          <cell r="B139" t="str">
            <v>Eduwiges Rodriguez Anaya</v>
          </cell>
          <cell r="C139" t="str">
            <v xml:space="preserve"> </v>
          </cell>
          <cell r="D139">
            <v>0</v>
          </cell>
          <cell r="E139">
            <v>0</v>
          </cell>
          <cell r="F139">
            <v>0</v>
          </cell>
          <cell r="G139" t="str">
            <v xml:space="preserve"> </v>
          </cell>
          <cell r="H139">
            <v>0</v>
          </cell>
        </row>
        <row r="140">
          <cell r="A140" t="str">
            <v>2101-031</v>
          </cell>
          <cell r="B140" t="str">
            <v>El Granito de Mostaza y Condimentos</v>
          </cell>
          <cell r="C140" t="str">
            <v xml:space="preserve"> </v>
          </cell>
          <cell r="D140">
            <v>0</v>
          </cell>
          <cell r="E140">
            <v>0</v>
          </cell>
          <cell r="F140">
            <v>0</v>
          </cell>
          <cell r="G140" t="str">
            <v xml:space="preserve"> </v>
          </cell>
          <cell r="H140">
            <v>0</v>
          </cell>
        </row>
        <row r="141">
          <cell r="A141" t="str">
            <v>2101-032</v>
          </cell>
          <cell r="B141" t="str">
            <v>Luis Antonio Chavez Villagran</v>
          </cell>
          <cell r="C141" t="str">
            <v xml:space="preserve"> </v>
          </cell>
          <cell r="D141">
            <v>0</v>
          </cell>
          <cell r="E141">
            <v>0</v>
          </cell>
          <cell r="F141">
            <v>0</v>
          </cell>
          <cell r="G141" t="str">
            <v xml:space="preserve"> </v>
          </cell>
          <cell r="H141">
            <v>0</v>
          </cell>
        </row>
        <row r="142">
          <cell r="A142" t="str">
            <v>2101-033</v>
          </cell>
          <cell r="B142" t="str">
            <v>Abraham Krahn Giesbrecht</v>
          </cell>
          <cell r="C142" t="str">
            <v xml:space="preserve"> </v>
          </cell>
          <cell r="D142">
            <v>26000</v>
          </cell>
          <cell r="E142">
            <v>26000</v>
          </cell>
          <cell r="F142">
            <v>0</v>
          </cell>
          <cell r="G142" t="str">
            <v xml:space="preserve"> </v>
          </cell>
          <cell r="H142">
            <v>0</v>
          </cell>
        </row>
        <row r="143">
          <cell r="A143" t="str">
            <v>2101-034</v>
          </cell>
          <cell r="B143" t="str">
            <v>Jacobo Krahn Hildebrand</v>
          </cell>
          <cell r="C143" t="str">
            <v xml:space="preserve"> </v>
          </cell>
          <cell r="D143">
            <v>52787.5</v>
          </cell>
          <cell r="E143">
            <v>0</v>
          </cell>
          <cell r="F143">
            <v>0</v>
          </cell>
          <cell r="G143" t="str">
            <v xml:space="preserve"> </v>
          </cell>
          <cell r="H143">
            <v>52787.5</v>
          </cell>
        </row>
        <row r="144">
          <cell r="A144" t="str">
            <v>2101-035</v>
          </cell>
          <cell r="B144" t="str">
            <v>Productores Unidos Por Un Ideal S.P.R. de R.L.</v>
          </cell>
          <cell r="C144" t="str">
            <v xml:space="preserve"> </v>
          </cell>
          <cell r="D144">
            <v>147750</v>
          </cell>
          <cell r="E144">
            <v>0</v>
          </cell>
          <cell r="F144">
            <v>0</v>
          </cell>
          <cell r="G144" t="str">
            <v xml:space="preserve"> </v>
          </cell>
          <cell r="H144">
            <v>147750</v>
          </cell>
        </row>
        <row r="145">
          <cell r="A145" t="str">
            <v>2101-036</v>
          </cell>
          <cell r="B145" t="str">
            <v>David Hiebert Wiebe</v>
          </cell>
          <cell r="C145" t="str">
            <v xml:space="preserve"> </v>
          </cell>
          <cell r="D145">
            <v>0</v>
          </cell>
          <cell r="E145">
            <v>0</v>
          </cell>
          <cell r="F145">
            <v>0</v>
          </cell>
          <cell r="G145" t="str">
            <v xml:space="preserve"> </v>
          </cell>
          <cell r="H145">
            <v>0</v>
          </cell>
        </row>
        <row r="146">
          <cell r="A146" t="str">
            <v>2101-037</v>
          </cell>
          <cell r="B146" t="str">
            <v>Garbules S.P.R. de R.L.</v>
          </cell>
          <cell r="C146" t="str">
            <v xml:space="preserve"> </v>
          </cell>
          <cell r="D146">
            <v>1610</v>
          </cell>
          <cell r="E146">
            <v>0</v>
          </cell>
          <cell r="F146">
            <v>0</v>
          </cell>
          <cell r="G146" t="str">
            <v xml:space="preserve"> </v>
          </cell>
          <cell r="H146">
            <v>1610</v>
          </cell>
        </row>
        <row r="147">
          <cell r="A147" t="str">
            <v>2101-038</v>
          </cell>
          <cell r="B147" t="str">
            <v>Jacobo Wiebe Martens</v>
          </cell>
          <cell r="C147" t="str">
            <v xml:space="preserve"> </v>
          </cell>
          <cell r="D147">
            <v>0</v>
          </cell>
          <cell r="E147">
            <v>0</v>
          </cell>
          <cell r="F147">
            <v>0</v>
          </cell>
          <cell r="G147" t="str">
            <v xml:space="preserve"> </v>
          </cell>
          <cell r="H147">
            <v>0</v>
          </cell>
        </row>
        <row r="148">
          <cell r="A148" t="str">
            <v>2101-039</v>
          </cell>
          <cell r="B148" t="str">
            <v>Catarina Fher Wiebe</v>
          </cell>
          <cell r="C148" t="str">
            <v xml:space="preserve"> </v>
          </cell>
          <cell r="D148">
            <v>32749.71</v>
          </cell>
          <cell r="E148">
            <v>0</v>
          </cell>
          <cell r="F148">
            <v>0</v>
          </cell>
          <cell r="G148" t="str">
            <v xml:space="preserve"> </v>
          </cell>
          <cell r="H148">
            <v>32749.71</v>
          </cell>
        </row>
        <row r="149">
          <cell r="A149" t="str">
            <v>2101-040</v>
          </cell>
          <cell r="B149" t="str">
            <v>Abraham Peters Dyck</v>
          </cell>
          <cell r="C149" t="str">
            <v xml:space="preserve"> </v>
          </cell>
          <cell r="D149">
            <v>25754.23</v>
          </cell>
          <cell r="E149">
            <v>0</v>
          </cell>
          <cell r="F149">
            <v>0</v>
          </cell>
          <cell r="G149" t="str">
            <v xml:space="preserve"> </v>
          </cell>
          <cell r="H149">
            <v>25754.23</v>
          </cell>
        </row>
        <row r="150">
          <cell r="A150" t="str">
            <v>2101-041</v>
          </cell>
          <cell r="B150" t="str">
            <v>Elizabeth Friesen Neudorf</v>
          </cell>
          <cell r="C150" t="str">
            <v xml:space="preserve"> </v>
          </cell>
          <cell r="D150">
            <v>2793.8</v>
          </cell>
          <cell r="E150">
            <v>0</v>
          </cell>
          <cell r="F150">
            <v>0</v>
          </cell>
          <cell r="G150" t="str">
            <v xml:space="preserve"> </v>
          </cell>
          <cell r="H150">
            <v>2793.8</v>
          </cell>
        </row>
        <row r="151">
          <cell r="A151" t="str">
            <v>2101-042</v>
          </cell>
          <cell r="B151" t="str">
            <v>Ana Wieler Wiebe</v>
          </cell>
          <cell r="C151" t="str">
            <v xml:space="preserve"> </v>
          </cell>
          <cell r="D151">
            <v>0</v>
          </cell>
          <cell r="E151">
            <v>0</v>
          </cell>
          <cell r="F151">
            <v>0</v>
          </cell>
          <cell r="G151" t="str">
            <v xml:space="preserve"> </v>
          </cell>
          <cell r="H151">
            <v>0</v>
          </cell>
        </row>
        <row r="152">
          <cell r="A152" t="str">
            <v>2101-043</v>
          </cell>
          <cell r="B152" t="str">
            <v>Heinrich Wiebe Fehr</v>
          </cell>
          <cell r="C152" t="str">
            <v xml:space="preserve"> </v>
          </cell>
          <cell r="D152">
            <v>6306.2</v>
          </cell>
          <cell r="E152">
            <v>0</v>
          </cell>
          <cell r="F152">
            <v>0</v>
          </cell>
          <cell r="G152" t="str">
            <v xml:space="preserve"> </v>
          </cell>
          <cell r="H152">
            <v>6306.2</v>
          </cell>
        </row>
        <row r="153">
          <cell r="A153" t="str">
            <v>2101-044</v>
          </cell>
          <cell r="B153" t="str">
            <v>Anna Friessen Peters</v>
          </cell>
          <cell r="C153" t="str">
            <v xml:space="preserve"> </v>
          </cell>
          <cell r="D153">
            <v>1138</v>
          </cell>
          <cell r="E153">
            <v>0</v>
          </cell>
          <cell r="F153">
            <v>0</v>
          </cell>
          <cell r="G153" t="str">
            <v xml:space="preserve"> </v>
          </cell>
          <cell r="H153">
            <v>1138</v>
          </cell>
        </row>
        <row r="154">
          <cell r="A154" t="str">
            <v>2101-045</v>
          </cell>
          <cell r="B154" t="str">
            <v>Judith Fehr Wiebe</v>
          </cell>
          <cell r="C154" t="str">
            <v xml:space="preserve"> </v>
          </cell>
          <cell r="D154">
            <v>0</v>
          </cell>
          <cell r="E154">
            <v>0</v>
          </cell>
          <cell r="F154">
            <v>0</v>
          </cell>
          <cell r="G154" t="str">
            <v xml:space="preserve"> </v>
          </cell>
          <cell r="H154">
            <v>0</v>
          </cell>
        </row>
        <row r="155">
          <cell r="A155" t="str">
            <v>2101-046</v>
          </cell>
          <cell r="B155" t="str">
            <v>Jacobo Neudorf Fehr</v>
          </cell>
          <cell r="C155" t="str">
            <v xml:space="preserve"> </v>
          </cell>
          <cell r="D155">
            <v>0</v>
          </cell>
          <cell r="E155">
            <v>0</v>
          </cell>
          <cell r="F155">
            <v>0</v>
          </cell>
          <cell r="G155" t="str">
            <v xml:space="preserve"> </v>
          </cell>
          <cell r="H155">
            <v>0</v>
          </cell>
        </row>
        <row r="156">
          <cell r="A156" t="str">
            <v>2101-047</v>
          </cell>
          <cell r="B156" t="str">
            <v>Peter Wall Buekert</v>
          </cell>
          <cell r="C156" t="str">
            <v xml:space="preserve"> </v>
          </cell>
          <cell r="D156">
            <v>502774.2</v>
          </cell>
          <cell r="E156">
            <v>0</v>
          </cell>
          <cell r="F156">
            <v>0</v>
          </cell>
          <cell r="G156" t="str">
            <v xml:space="preserve"> </v>
          </cell>
          <cell r="H156">
            <v>502774.2</v>
          </cell>
        </row>
        <row r="157">
          <cell r="A157" t="str">
            <v>2101-048</v>
          </cell>
          <cell r="B157" t="str">
            <v>Jacobo Wiebe Klassen</v>
          </cell>
          <cell r="C157" t="str">
            <v xml:space="preserve"> </v>
          </cell>
          <cell r="D157">
            <v>32660</v>
          </cell>
          <cell r="E157">
            <v>0</v>
          </cell>
          <cell r="F157">
            <v>0</v>
          </cell>
          <cell r="G157" t="str">
            <v xml:space="preserve"> </v>
          </cell>
          <cell r="H157">
            <v>32660</v>
          </cell>
        </row>
        <row r="158">
          <cell r="A158" t="str">
            <v>2101-049</v>
          </cell>
          <cell r="B158" t="str">
            <v>Cornelius Thiessen Fehr</v>
          </cell>
          <cell r="C158" t="str">
            <v xml:space="preserve"> </v>
          </cell>
          <cell r="D158">
            <v>5000</v>
          </cell>
          <cell r="E158">
            <v>0</v>
          </cell>
          <cell r="F158">
            <v>0</v>
          </cell>
          <cell r="G158" t="str">
            <v xml:space="preserve"> </v>
          </cell>
          <cell r="H158">
            <v>5000</v>
          </cell>
        </row>
        <row r="159">
          <cell r="A159" t="str">
            <v>2101-050</v>
          </cell>
          <cell r="B159" t="str">
            <v>Franz Rempel Friessen</v>
          </cell>
          <cell r="C159" t="str">
            <v xml:space="preserve"> </v>
          </cell>
          <cell r="D159">
            <v>30000</v>
          </cell>
          <cell r="E159">
            <v>0</v>
          </cell>
          <cell r="F159">
            <v>0</v>
          </cell>
          <cell r="G159" t="str">
            <v xml:space="preserve"> </v>
          </cell>
          <cell r="H159">
            <v>30000</v>
          </cell>
        </row>
        <row r="160">
          <cell r="A160" t="str">
            <v>2101-051</v>
          </cell>
          <cell r="B160" t="str">
            <v>Nuestro Campo</v>
          </cell>
          <cell r="C160" t="str">
            <v xml:space="preserve"> </v>
          </cell>
          <cell r="D160">
            <v>0</v>
          </cell>
          <cell r="E160">
            <v>0</v>
          </cell>
          <cell r="F160">
            <v>0</v>
          </cell>
          <cell r="G160" t="str">
            <v xml:space="preserve"> </v>
          </cell>
          <cell r="H160">
            <v>0</v>
          </cell>
        </row>
        <row r="161">
          <cell r="A161" t="str">
            <v>2101-052</v>
          </cell>
          <cell r="B161" t="str">
            <v>Juan Reynaldo Griesbrecht Reimer</v>
          </cell>
          <cell r="C161" t="str">
            <v xml:space="preserve"> </v>
          </cell>
          <cell r="D161">
            <v>108128</v>
          </cell>
          <cell r="E161">
            <v>0</v>
          </cell>
          <cell r="F161">
            <v>0</v>
          </cell>
          <cell r="G161" t="str">
            <v xml:space="preserve"> </v>
          </cell>
          <cell r="H161">
            <v>108128</v>
          </cell>
        </row>
        <row r="162">
          <cell r="A162" t="str">
            <v>2101-053</v>
          </cell>
          <cell r="B162" t="str">
            <v>Victor Manuel Fernandez Ortiz</v>
          </cell>
          <cell r="C162" t="str">
            <v xml:space="preserve"> </v>
          </cell>
          <cell r="D162">
            <v>9500</v>
          </cell>
          <cell r="E162">
            <v>0</v>
          </cell>
          <cell r="F162">
            <v>0</v>
          </cell>
          <cell r="G162" t="str">
            <v xml:space="preserve"> </v>
          </cell>
          <cell r="H162">
            <v>9500</v>
          </cell>
        </row>
        <row r="163">
          <cell r="A163" t="str">
            <v>2101-054</v>
          </cell>
          <cell r="B163" t="str">
            <v>Laura Guadalupe Castillo Fernandez</v>
          </cell>
          <cell r="C163" t="str">
            <v xml:space="preserve"> </v>
          </cell>
          <cell r="D163">
            <v>0</v>
          </cell>
          <cell r="E163">
            <v>0</v>
          </cell>
          <cell r="F163">
            <v>0</v>
          </cell>
          <cell r="G163" t="str">
            <v xml:space="preserve"> </v>
          </cell>
          <cell r="H163">
            <v>0</v>
          </cell>
        </row>
        <row r="164">
          <cell r="A164" t="str">
            <v>2101-055</v>
          </cell>
          <cell r="B164" t="str">
            <v>Las Virginias Campos Dieciseis y Diecisiete S.P.R.</v>
          </cell>
          <cell r="C164" t="str">
            <v xml:space="preserve"> </v>
          </cell>
          <cell r="D164">
            <v>23318</v>
          </cell>
          <cell r="E164">
            <v>0</v>
          </cell>
          <cell r="F164">
            <v>0</v>
          </cell>
          <cell r="G164" t="str">
            <v xml:space="preserve"> </v>
          </cell>
          <cell r="H164">
            <v>23318</v>
          </cell>
        </row>
        <row r="165">
          <cell r="A165" t="str">
            <v>2101-056</v>
          </cell>
          <cell r="B165" t="str">
            <v>Rancho Dublan S.P.R. de R.L.</v>
          </cell>
          <cell r="C165" t="str">
            <v xml:space="preserve"> </v>
          </cell>
          <cell r="D165">
            <v>6170</v>
          </cell>
          <cell r="E165">
            <v>0</v>
          </cell>
          <cell r="F165">
            <v>0</v>
          </cell>
          <cell r="G165" t="str">
            <v xml:space="preserve"> </v>
          </cell>
          <cell r="H165">
            <v>6170</v>
          </cell>
        </row>
        <row r="166">
          <cell r="A166" t="str">
            <v>2101-057</v>
          </cell>
          <cell r="B166" t="str">
            <v>Rodolfo Melendez Maldonado</v>
          </cell>
          <cell r="C166" t="str">
            <v xml:space="preserve"> </v>
          </cell>
          <cell r="D166">
            <v>0</v>
          </cell>
          <cell r="E166">
            <v>0</v>
          </cell>
          <cell r="F166">
            <v>0</v>
          </cell>
          <cell r="G166" t="str">
            <v xml:space="preserve"> </v>
          </cell>
          <cell r="H166">
            <v>0</v>
          </cell>
        </row>
        <row r="167">
          <cell r="A167" t="str">
            <v>2101-058</v>
          </cell>
          <cell r="B167" t="str">
            <v>El Sabinal Campo Numero Cinco S.P.R. de R.L. de C.</v>
          </cell>
          <cell r="C167" t="str">
            <v xml:space="preserve"> </v>
          </cell>
          <cell r="D167">
            <v>480</v>
          </cell>
          <cell r="E167">
            <v>480</v>
          </cell>
          <cell r="F167">
            <v>0</v>
          </cell>
          <cell r="G167" t="str">
            <v xml:space="preserve"> </v>
          </cell>
          <cell r="H167">
            <v>0</v>
          </cell>
        </row>
        <row r="168">
          <cell r="A168" t="str">
            <v>2101-059</v>
          </cell>
          <cell r="B168" t="str">
            <v>Gonzalo Gallegos Montes</v>
          </cell>
          <cell r="C168" t="str">
            <v xml:space="preserve"> </v>
          </cell>
          <cell r="D168">
            <v>590</v>
          </cell>
          <cell r="E168">
            <v>590</v>
          </cell>
          <cell r="F168">
            <v>0</v>
          </cell>
          <cell r="G168" t="str">
            <v xml:space="preserve"> </v>
          </cell>
          <cell r="H168">
            <v>0</v>
          </cell>
        </row>
        <row r="169">
          <cell r="A169" t="str">
            <v>2101-060</v>
          </cell>
          <cell r="B169" t="str">
            <v>Rosario Arnulfo Leyva Robles</v>
          </cell>
          <cell r="C169" t="str">
            <v xml:space="preserve"> </v>
          </cell>
          <cell r="D169">
            <v>149944</v>
          </cell>
          <cell r="E169">
            <v>0</v>
          </cell>
          <cell r="F169">
            <v>0</v>
          </cell>
          <cell r="G169" t="str">
            <v xml:space="preserve"> </v>
          </cell>
          <cell r="H169">
            <v>149944</v>
          </cell>
        </row>
        <row r="170">
          <cell r="A170" t="str">
            <v>2101-061</v>
          </cell>
          <cell r="B170" t="str">
            <v>Adrian Alberto Gaxiola Rosas</v>
          </cell>
          <cell r="C170" t="str">
            <v xml:space="preserve"> </v>
          </cell>
          <cell r="D170">
            <v>0</v>
          </cell>
          <cell r="E170">
            <v>0</v>
          </cell>
          <cell r="F170">
            <v>0</v>
          </cell>
          <cell r="G170" t="str">
            <v xml:space="preserve"> </v>
          </cell>
          <cell r="H170">
            <v>0</v>
          </cell>
        </row>
        <row r="171">
          <cell r="A171" t="str">
            <v>2101-062</v>
          </cell>
          <cell r="B171" t="str">
            <v>Distribuidora de Granos y Semillas Baca S.A de C.V</v>
          </cell>
          <cell r="C171" t="str">
            <v xml:space="preserve"> </v>
          </cell>
          <cell r="D171">
            <v>0</v>
          </cell>
          <cell r="E171">
            <v>0</v>
          </cell>
          <cell r="F171">
            <v>0</v>
          </cell>
          <cell r="G171" t="str">
            <v xml:space="preserve"> </v>
          </cell>
          <cell r="H171">
            <v>0</v>
          </cell>
        </row>
        <row r="172">
          <cell r="A172" t="str">
            <v>2101-063</v>
          </cell>
          <cell r="B172" t="str">
            <v>Ejido La Cañada</v>
          </cell>
          <cell r="C172" t="str">
            <v xml:space="preserve"> </v>
          </cell>
          <cell r="D172">
            <v>188980</v>
          </cell>
          <cell r="E172">
            <v>0</v>
          </cell>
          <cell r="F172">
            <v>0</v>
          </cell>
          <cell r="G172" t="str">
            <v xml:space="preserve"> </v>
          </cell>
          <cell r="H172">
            <v>188980</v>
          </cell>
        </row>
        <row r="173">
          <cell r="A173" t="str">
            <v>2101-064</v>
          </cell>
          <cell r="B173" t="str">
            <v>Semilas Productivas S.A de C.V.</v>
          </cell>
          <cell r="C173" t="str">
            <v xml:space="preserve"> </v>
          </cell>
          <cell r="D173">
            <v>8548</v>
          </cell>
          <cell r="E173">
            <v>0</v>
          </cell>
          <cell r="F173">
            <v>0</v>
          </cell>
          <cell r="G173" t="str">
            <v xml:space="preserve"> </v>
          </cell>
          <cell r="H173">
            <v>8548</v>
          </cell>
        </row>
        <row r="174">
          <cell r="A174" t="str">
            <v>2101-065</v>
          </cell>
          <cell r="B174" t="str">
            <v>Noel Rodriguez Fernandez</v>
          </cell>
          <cell r="C174" t="str">
            <v xml:space="preserve"> </v>
          </cell>
          <cell r="D174">
            <v>0</v>
          </cell>
          <cell r="E174">
            <v>0</v>
          </cell>
          <cell r="F174">
            <v>0</v>
          </cell>
          <cell r="G174" t="str">
            <v xml:space="preserve"> </v>
          </cell>
          <cell r="H174">
            <v>0</v>
          </cell>
        </row>
        <row r="175">
          <cell r="A175" t="str">
            <v>2101-066</v>
          </cell>
          <cell r="B175" t="str">
            <v>Justina Knelsen Giesbrecht</v>
          </cell>
          <cell r="C175" t="str">
            <v xml:space="preserve"> </v>
          </cell>
          <cell r="D175">
            <v>28328</v>
          </cell>
          <cell r="E175">
            <v>0</v>
          </cell>
          <cell r="F175">
            <v>0</v>
          </cell>
          <cell r="G175" t="str">
            <v xml:space="preserve"> </v>
          </cell>
          <cell r="H175">
            <v>28328</v>
          </cell>
        </row>
        <row r="176">
          <cell r="A176" t="str">
            <v>2101-067</v>
          </cell>
          <cell r="B176" t="str">
            <v>Adrian Alberto Gaxiola Rosas</v>
          </cell>
          <cell r="C176" t="str">
            <v xml:space="preserve"> </v>
          </cell>
          <cell r="D176">
            <v>128000</v>
          </cell>
          <cell r="E176">
            <v>0</v>
          </cell>
          <cell r="F176">
            <v>0</v>
          </cell>
          <cell r="G176" t="str">
            <v xml:space="preserve"> </v>
          </cell>
          <cell r="H176">
            <v>128000</v>
          </cell>
        </row>
        <row r="177">
          <cell r="A177" t="str">
            <v>2101-068</v>
          </cell>
          <cell r="B177" t="str">
            <v>Cornelius Unger Hieberth</v>
          </cell>
          <cell r="C177" t="str">
            <v xml:space="preserve"> </v>
          </cell>
          <cell r="D177">
            <v>1925</v>
          </cell>
          <cell r="E177">
            <v>0</v>
          </cell>
          <cell r="F177">
            <v>0</v>
          </cell>
          <cell r="G177" t="str">
            <v xml:space="preserve"> </v>
          </cell>
          <cell r="H177">
            <v>1925</v>
          </cell>
        </row>
        <row r="178">
          <cell r="A178" t="str">
            <v>2101-069</v>
          </cell>
          <cell r="B178" t="str">
            <v>Vivero San Jose</v>
          </cell>
          <cell r="C178" t="str">
            <v xml:space="preserve"> </v>
          </cell>
          <cell r="D178">
            <v>0</v>
          </cell>
          <cell r="E178">
            <v>0</v>
          </cell>
          <cell r="F178">
            <v>0</v>
          </cell>
          <cell r="G178" t="str">
            <v xml:space="preserve"> </v>
          </cell>
          <cell r="H178">
            <v>0</v>
          </cell>
        </row>
        <row r="179">
          <cell r="A179" t="str">
            <v>2101-070</v>
          </cell>
          <cell r="B179" t="str">
            <v>Klass Bergen Wieler</v>
          </cell>
          <cell r="C179" t="str">
            <v xml:space="preserve"> </v>
          </cell>
          <cell r="D179">
            <v>0</v>
          </cell>
          <cell r="E179">
            <v>0</v>
          </cell>
          <cell r="F179">
            <v>0</v>
          </cell>
          <cell r="G179" t="str">
            <v xml:space="preserve"> </v>
          </cell>
          <cell r="H179">
            <v>0</v>
          </cell>
        </row>
        <row r="180">
          <cell r="A180" t="str">
            <v>2101-071</v>
          </cell>
          <cell r="B180" t="str">
            <v>Ramiro Rodriguez Cordova</v>
          </cell>
          <cell r="C180" t="str">
            <v xml:space="preserve"> </v>
          </cell>
          <cell r="D180">
            <v>0</v>
          </cell>
          <cell r="E180">
            <v>0</v>
          </cell>
          <cell r="F180">
            <v>0</v>
          </cell>
          <cell r="G180" t="str">
            <v xml:space="preserve"> </v>
          </cell>
          <cell r="H180">
            <v>0</v>
          </cell>
        </row>
        <row r="181">
          <cell r="A181" t="str">
            <v>2101-072</v>
          </cell>
          <cell r="B181" t="str">
            <v>Emilio Cervantes Santillanes</v>
          </cell>
          <cell r="C181" t="str">
            <v xml:space="preserve"> </v>
          </cell>
          <cell r="D181">
            <v>0</v>
          </cell>
          <cell r="E181">
            <v>0</v>
          </cell>
          <cell r="F181">
            <v>0</v>
          </cell>
          <cell r="G181" t="str">
            <v xml:space="preserve"> </v>
          </cell>
          <cell r="H181">
            <v>0</v>
          </cell>
        </row>
        <row r="182">
          <cell r="A182" t="str">
            <v>2101-073</v>
          </cell>
          <cell r="B182" t="str">
            <v>Johan Teichroeb Rempel</v>
          </cell>
          <cell r="C182" t="str">
            <v xml:space="preserve"> </v>
          </cell>
          <cell r="D182">
            <v>0</v>
          </cell>
          <cell r="E182">
            <v>0</v>
          </cell>
          <cell r="F182">
            <v>0</v>
          </cell>
          <cell r="G182" t="str">
            <v xml:space="preserve"> </v>
          </cell>
          <cell r="H182">
            <v>0</v>
          </cell>
        </row>
        <row r="183">
          <cell r="A183" t="str">
            <v>2101-074</v>
          </cell>
          <cell r="B183" t="str">
            <v>Granos y Semillas Lopez S.A. de C.V.</v>
          </cell>
          <cell r="C183" t="str">
            <v xml:space="preserve"> </v>
          </cell>
          <cell r="D183">
            <v>0</v>
          </cell>
          <cell r="E183">
            <v>0</v>
          </cell>
          <cell r="F183">
            <v>0</v>
          </cell>
          <cell r="G183" t="str">
            <v xml:space="preserve"> </v>
          </cell>
          <cell r="H183">
            <v>0</v>
          </cell>
        </row>
        <row r="184">
          <cell r="A184" t="str">
            <v>2101-075</v>
          </cell>
          <cell r="B184" t="str">
            <v>Maria Soledad Montes Rodriguez</v>
          </cell>
          <cell r="C184" t="str">
            <v xml:space="preserve"> </v>
          </cell>
          <cell r="D184">
            <v>0</v>
          </cell>
          <cell r="E184">
            <v>0</v>
          </cell>
          <cell r="F184">
            <v>0</v>
          </cell>
          <cell r="G184" t="str">
            <v xml:space="preserve"> </v>
          </cell>
          <cell r="H184">
            <v>0</v>
          </cell>
        </row>
        <row r="185">
          <cell r="A185" t="str">
            <v>2101-076</v>
          </cell>
          <cell r="B185" t="str">
            <v>Jose Armando Avila Acosta</v>
          </cell>
          <cell r="C185" t="str">
            <v xml:space="preserve"> </v>
          </cell>
          <cell r="D185">
            <v>0</v>
          </cell>
          <cell r="E185">
            <v>0</v>
          </cell>
          <cell r="F185">
            <v>0</v>
          </cell>
          <cell r="G185" t="str">
            <v xml:space="preserve"> </v>
          </cell>
          <cell r="H185">
            <v>0</v>
          </cell>
        </row>
        <row r="186">
          <cell r="A186" t="str">
            <v>2101-077</v>
          </cell>
          <cell r="B186" t="str">
            <v>David Rempel Fehr</v>
          </cell>
          <cell r="C186" t="str">
            <v xml:space="preserve"> </v>
          </cell>
          <cell r="D186">
            <v>0</v>
          </cell>
          <cell r="E186">
            <v>0</v>
          </cell>
          <cell r="F186">
            <v>0</v>
          </cell>
          <cell r="G186" t="str">
            <v xml:space="preserve"> </v>
          </cell>
          <cell r="H186">
            <v>0</v>
          </cell>
        </row>
        <row r="187">
          <cell r="A187" t="str">
            <v>2101-078</v>
          </cell>
          <cell r="B187" t="str">
            <v>Javier Jurado Rodriguez</v>
          </cell>
          <cell r="C187" t="str">
            <v xml:space="preserve"> </v>
          </cell>
          <cell r="D187">
            <v>0</v>
          </cell>
          <cell r="E187">
            <v>0</v>
          </cell>
          <cell r="F187">
            <v>0</v>
          </cell>
          <cell r="G187" t="str">
            <v xml:space="preserve"> </v>
          </cell>
          <cell r="H187">
            <v>0</v>
          </cell>
        </row>
        <row r="188">
          <cell r="A188" t="str">
            <v>2101-079</v>
          </cell>
          <cell r="B188" t="str">
            <v>Servicio a Equipo Industrial</v>
          </cell>
          <cell r="C188" t="str">
            <v xml:space="preserve"> </v>
          </cell>
          <cell r="D188">
            <v>0</v>
          </cell>
          <cell r="E188">
            <v>0</v>
          </cell>
          <cell r="F188">
            <v>0</v>
          </cell>
          <cell r="G188" t="str">
            <v xml:space="preserve"> </v>
          </cell>
          <cell r="H188">
            <v>0</v>
          </cell>
        </row>
        <row r="189">
          <cell r="A189" t="str">
            <v>2101-080</v>
          </cell>
          <cell r="B189" t="str">
            <v>Jhoann Penner Neustater</v>
          </cell>
          <cell r="C189" t="str">
            <v xml:space="preserve"> </v>
          </cell>
          <cell r="D189">
            <v>0</v>
          </cell>
          <cell r="E189">
            <v>0</v>
          </cell>
          <cell r="F189">
            <v>0</v>
          </cell>
          <cell r="G189" t="str">
            <v xml:space="preserve"> </v>
          </cell>
          <cell r="H189">
            <v>0</v>
          </cell>
        </row>
        <row r="190">
          <cell r="A190" t="str">
            <v>2101-081</v>
          </cell>
          <cell r="B190" t="str">
            <v>Ricki David Jones Alexander</v>
          </cell>
          <cell r="C190" t="str">
            <v xml:space="preserve"> </v>
          </cell>
          <cell r="D190">
            <v>0</v>
          </cell>
          <cell r="E190">
            <v>0</v>
          </cell>
          <cell r="F190">
            <v>0</v>
          </cell>
          <cell r="G190" t="str">
            <v xml:space="preserve"> </v>
          </cell>
          <cell r="H190">
            <v>0</v>
          </cell>
        </row>
        <row r="191">
          <cell r="A191" t="str">
            <v>2101-082</v>
          </cell>
          <cell r="B191" t="str">
            <v>Maria Wieler Wiebe</v>
          </cell>
          <cell r="C191" t="str">
            <v xml:space="preserve"> </v>
          </cell>
          <cell r="D191">
            <v>0</v>
          </cell>
          <cell r="E191">
            <v>0</v>
          </cell>
          <cell r="F191">
            <v>0</v>
          </cell>
          <cell r="G191" t="str">
            <v xml:space="preserve"> </v>
          </cell>
          <cell r="H191">
            <v>0</v>
          </cell>
        </row>
        <row r="192">
          <cell r="A192" t="str">
            <v>2101-083</v>
          </cell>
          <cell r="B192" t="str">
            <v>Johan Krahn Peters</v>
          </cell>
          <cell r="C192" t="str">
            <v xml:space="preserve"> </v>
          </cell>
          <cell r="D192">
            <v>0</v>
          </cell>
          <cell r="E192">
            <v>0</v>
          </cell>
          <cell r="F192">
            <v>0</v>
          </cell>
          <cell r="G192" t="str">
            <v xml:space="preserve"> </v>
          </cell>
          <cell r="H192">
            <v>0</v>
          </cell>
        </row>
        <row r="193">
          <cell r="A193" t="str">
            <v>2101-084</v>
          </cell>
          <cell r="B193" t="str">
            <v>Peter Wall Hildebrandt</v>
          </cell>
          <cell r="C193" t="str">
            <v xml:space="preserve"> </v>
          </cell>
          <cell r="D193">
            <v>0</v>
          </cell>
          <cell r="E193">
            <v>0</v>
          </cell>
          <cell r="F193">
            <v>0</v>
          </cell>
          <cell r="G193" t="str">
            <v xml:space="preserve"> </v>
          </cell>
          <cell r="H193">
            <v>0</v>
          </cell>
        </row>
        <row r="194">
          <cell r="A194" t="str">
            <v>2101-085</v>
          </cell>
          <cell r="B194" t="str">
            <v>Jose Ruben Alvarez Gonzalez</v>
          </cell>
          <cell r="C194" t="str">
            <v xml:space="preserve"> </v>
          </cell>
          <cell r="D194">
            <v>0</v>
          </cell>
          <cell r="E194">
            <v>0</v>
          </cell>
          <cell r="F194">
            <v>0</v>
          </cell>
          <cell r="G194" t="str">
            <v xml:space="preserve"> </v>
          </cell>
          <cell r="H194">
            <v>0</v>
          </cell>
        </row>
        <row r="195">
          <cell r="A195" t="str">
            <v>2101-086</v>
          </cell>
          <cell r="B195" t="str">
            <v>Valente Varela Fierro</v>
          </cell>
          <cell r="C195" t="str">
            <v xml:space="preserve"> </v>
          </cell>
          <cell r="D195">
            <v>627223</v>
          </cell>
          <cell r="E195">
            <v>0</v>
          </cell>
          <cell r="F195">
            <v>0</v>
          </cell>
          <cell r="G195" t="str">
            <v xml:space="preserve"> </v>
          </cell>
          <cell r="H195">
            <v>627223</v>
          </cell>
        </row>
        <row r="196">
          <cell r="A196" t="str">
            <v>2101-087</v>
          </cell>
          <cell r="B196" t="str">
            <v>Bernhard Rempel Wall</v>
          </cell>
          <cell r="C196" t="str">
            <v xml:space="preserve"> </v>
          </cell>
          <cell r="D196">
            <v>0</v>
          </cell>
          <cell r="E196">
            <v>0</v>
          </cell>
          <cell r="F196">
            <v>0</v>
          </cell>
          <cell r="G196" t="str">
            <v xml:space="preserve"> </v>
          </cell>
          <cell r="H196">
            <v>0</v>
          </cell>
        </row>
        <row r="197">
          <cell r="A197" t="str">
            <v>2101-088</v>
          </cell>
          <cell r="B197" t="str">
            <v>Anna Wieler Wiebe</v>
          </cell>
          <cell r="C197" t="str">
            <v xml:space="preserve"> </v>
          </cell>
          <cell r="D197">
            <v>0</v>
          </cell>
          <cell r="E197">
            <v>0</v>
          </cell>
          <cell r="F197">
            <v>0</v>
          </cell>
          <cell r="G197" t="str">
            <v xml:space="preserve"> </v>
          </cell>
          <cell r="H197">
            <v>0</v>
          </cell>
        </row>
        <row r="198">
          <cell r="A198" t="str">
            <v>2102-000</v>
          </cell>
          <cell r="B198" t="str">
            <v>ACREEDORES DIVERSOS</v>
          </cell>
          <cell r="C198" t="str">
            <v xml:space="preserve"> </v>
          </cell>
          <cell r="D198">
            <v>150465.57</v>
          </cell>
          <cell r="E198">
            <v>30100.23</v>
          </cell>
          <cell r="F198">
            <v>8766</v>
          </cell>
          <cell r="G198" t="str">
            <v xml:space="preserve"> </v>
          </cell>
          <cell r="H198">
            <v>129131.34</v>
          </cell>
        </row>
        <row r="199">
          <cell r="A199" t="str">
            <v>2102-001</v>
          </cell>
          <cell r="B199" t="str">
            <v>Gasolinera Cumbres s.a de c.v</v>
          </cell>
          <cell r="C199" t="str">
            <v xml:space="preserve"> </v>
          </cell>
          <cell r="D199">
            <v>0</v>
          </cell>
          <cell r="E199">
            <v>0</v>
          </cell>
          <cell r="F199">
            <v>0</v>
          </cell>
          <cell r="G199" t="str">
            <v xml:space="preserve"> </v>
          </cell>
          <cell r="H199">
            <v>0</v>
          </cell>
        </row>
        <row r="200">
          <cell r="A200" t="str">
            <v>2102-002</v>
          </cell>
          <cell r="B200" t="str">
            <v>Combustibles Juan Pablo II S.A. de C.V.</v>
          </cell>
          <cell r="C200" t="str">
            <v xml:space="preserve"> </v>
          </cell>
          <cell r="D200">
            <v>0</v>
          </cell>
          <cell r="E200">
            <v>0</v>
          </cell>
          <cell r="F200">
            <v>0</v>
          </cell>
          <cell r="G200" t="str">
            <v xml:space="preserve"> </v>
          </cell>
          <cell r="H200">
            <v>0</v>
          </cell>
        </row>
        <row r="201">
          <cell r="A201" t="str">
            <v>2102-003</v>
          </cell>
          <cell r="B201" t="str">
            <v>Gasolinera Sacramento S.A. de C.V.</v>
          </cell>
          <cell r="C201" t="str">
            <v xml:space="preserve"> </v>
          </cell>
          <cell r="D201">
            <v>0</v>
          </cell>
          <cell r="E201">
            <v>0</v>
          </cell>
          <cell r="F201">
            <v>0</v>
          </cell>
          <cell r="G201" t="str">
            <v xml:space="preserve"> </v>
          </cell>
          <cell r="H201">
            <v>0</v>
          </cell>
        </row>
        <row r="202">
          <cell r="A202" t="str">
            <v>2102-004</v>
          </cell>
          <cell r="B202" t="str">
            <v>Servicio Perisur del Real S.A. de C.V.</v>
          </cell>
          <cell r="C202" t="str">
            <v xml:space="preserve"> </v>
          </cell>
          <cell r="D202">
            <v>0</v>
          </cell>
          <cell r="E202">
            <v>0</v>
          </cell>
          <cell r="F202">
            <v>0</v>
          </cell>
          <cell r="G202" t="str">
            <v xml:space="preserve"> </v>
          </cell>
          <cell r="H202">
            <v>0</v>
          </cell>
        </row>
        <row r="203">
          <cell r="A203" t="str">
            <v>2102-005</v>
          </cell>
          <cell r="B203" t="str">
            <v>Rapi Gas S.A. de C.V.</v>
          </cell>
          <cell r="C203" t="str">
            <v xml:space="preserve"> </v>
          </cell>
          <cell r="D203">
            <v>0</v>
          </cell>
          <cell r="E203">
            <v>0</v>
          </cell>
          <cell r="F203">
            <v>0</v>
          </cell>
          <cell r="G203" t="str">
            <v xml:space="preserve"> </v>
          </cell>
          <cell r="H203">
            <v>0</v>
          </cell>
        </row>
        <row r="204">
          <cell r="A204" t="str">
            <v>2102-006</v>
          </cell>
          <cell r="B204" t="str">
            <v>Ricoba Gasolinera S.A. de CV.</v>
          </cell>
          <cell r="C204" t="str">
            <v xml:space="preserve"> </v>
          </cell>
          <cell r="D204">
            <v>0</v>
          </cell>
          <cell r="E204">
            <v>0</v>
          </cell>
          <cell r="F204">
            <v>0</v>
          </cell>
          <cell r="G204" t="str">
            <v xml:space="preserve"> </v>
          </cell>
          <cell r="H204">
            <v>0</v>
          </cell>
        </row>
        <row r="205">
          <cell r="A205" t="str">
            <v>2102-007</v>
          </cell>
          <cell r="B205" t="str">
            <v>Servicio Hidalgo</v>
          </cell>
          <cell r="C205" t="str">
            <v xml:space="preserve"> </v>
          </cell>
          <cell r="D205">
            <v>0</v>
          </cell>
          <cell r="E205">
            <v>0</v>
          </cell>
          <cell r="F205">
            <v>0</v>
          </cell>
          <cell r="G205" t="str">
            <v xml:space="preserve"> </v>
          </cell>
          <cell r="H205">
            <v>0</v>
          </cell>
        </row>
        <row r="206">
          <cell r="A206" t="str">
            <v>2102-008</v>
          </cell>
          <cell r="B206" t="str">
            <v>Servicio Las Nieves</v>
          </cell>
          <cell r="C206" t="str">
            <v xml:space="preserve"> </v>
          </cell>
          <cell r="D206">
            <v>0</v>
          </cell>
          <cell r="E206">
            <v>0</v>
          </cell>
          <cell r="F206">
            <v>0</v>
          </cell>
          <cell r="G206" t="str">
            <v xml:space="preserve"> </v>
          </cell>
          <cell r="H206">
            <v>0</v>
          </cell>
        </row>
        <row r="207">
          <cell r="A207" t="str">
            <v>2102-009</v>
          </cell>
          <cell r="B207" t="str">
            <v>Gasolinera del Fresno S.A. de C.V.</v>
          </cell>
          <cell r="C207" t="str">
            <v xml:space="preserve"> </v>
          </cell>
          <cell r="D207">
            <v>0</v>
          </cell>
          <cell r="E207">
            <v>0</v>
          </cell>
          <cell r="F207">
            <v>0</v>
          </cell>
          <cell r="G207" t="str">
            <v xml:space="preserve"> </v>
          </cell>
          <cell r="H207">
            <v>0</v>
          </cell>
        </row>
        <row r="208">
          <cell r="A208" t="str">
            <v>2102-010</v>
          </cell>
          <cell r="B208" t="str">
            <v>Auto Servicios Turisticos S.A. de C.V.</v>
          </cell>
          <cell r="C208" t="str">
            <v xml:space="preserve"> </v>
          </cell>
          <cell r="D208">
            <v>0</v>
          </cell>
          <cell r="E208">
            <v>0</v>
          </cell>
          <cell r="F208">
            <v>0</v>
          </cell>
          <cell r="G208" t="str">
            <v xml:space="preserve"> </v>
          </cell>
          <cell r="H208">
            <v>0</v>
          </cell>
        </row>
        <row r="209">
          <cell r="A209" t="str">
            <v>2102-011</v>
          </cell>
          <cell r="B209" t="str">
            <v xml:space="preserve">Comercializadora de Inoxidables Hernandez S.A. de </v>
          </cell>
          <cell r="C209" t="str">
            <v xml:space="preserve"> </v>
          </cell>
          <cell r="D209">
            <v>0</v>
          </cell>
          <cell r="E209">
            <v>0</v>
          </cell>
          <cell r="F209">
            <v>0</v>
          </cell>
          <cell r="G209" t="str">
            <v xml:space="preserve"> </v>
          </cell>
          <cell r="H209">
            <v>0</v>
          </cell>
        </row>
        <row r="210">
          <cell r="A210" t="str">
            <v>2102-012</v>
          </cell>
          <cell r="B210" t="str">
            <v>Metropolitana de Talleres S.A. de C.V</v>
          </cell>
          <cell r="C210" t="str">
            <v xml:space="preserve"> </v>
          </cell>
          <cell r="D210">
            <v>4715</v>
          </cell>
          <cell r="E210">
            <v>0</v>
          </cell>
          <cell r="F210">
            <v>0</v>
          </cell>
          <cell r="G210" t="str">
            <v xml:space="preserve"> </v>
          </cell>
          <cell r="H210">
            <v>4715</v>
          </cell>
        </row>
        <row r="211">
          <cell r="A211" t="str">
            <v>2102-013</v>
          </cell>
          <cell r="B211" t="str">
            <v>Grupo Cany S.A. de C.V.</v>
          </cell>
          <cell r="C211" t="str">
            <v xml:space="preserve"> </v>
          </cell>
          <cell r="D211">
            <v>17678.95</v>
          </cell>
          <cell r="E211">
            <v>0</v>
          </cell>
          <cell r="F211">
            <v>0</v>
          </cell>
          <cell r="G211" t="str">
            <v xml:space="preserve"> </v>
          </cell>
          <cell r="H211">
            <v>17678.95</v>
          </cell>
        </row>
        <row r="212">
          <cell r="A212" t="str">
            <v>2102-014</v>
          </cell>
          <cell r="B212" t="str">
            <v>Motores y Equipos Elecrtricos de Chihuahua S.A. de</v>
          </cell>
          <cell r="C212" t="str">
            <v xml:space="preserve"> </v>
          </cell>
          <cell r="D212">
            <v>3680</v>
          </cell>
          <cell r="E212">
            <v>0</v>
          </cell>
          <cell r="F212">
            <v>0</v>
          </cell>
          <cell r="G212" t="str">
            <v xml:space="preserve"> </v>
          </cell>
          <cell r="H212">
            <v>3680</v>
          </cell>
        </row>
        <row r="213">
          <cell r="A213" t="str">
            <v>2102-015</v>
          </cell>
          <cell r="B213" t="str">
            <v>Baleros y Componentes Industriales S.A. de C.V.</v>
          </cell>
          <cell r="C213" t="str">
            <v xml:space="preserve"> </v>
          </cell>
          <cell r="D213">
            <v>0</v>
          </cell>
          <cell r="E213">
            <v>0</v>
          </cell>
          <cell r="F213">
            <v>0</v>
          </cell>
          <cell r="G213" t="str">
            <v xml:space="preserve"> </v>
          </cell>
          <cell r="H213">
            <v>0</v>
          </cell>
        </row>
        <row r="214">
          <cell r="A214" t="str">
            <v>2102-016</v>
          </cell>
          <cell r="B214" t="str">
            <v>Refaccionaria Motormax</v>
          </cell>
          <cell r="C214" t="str">
            <v xml:space="preserve"> </v>
          </cell>
          <cell r="D214">
            <v>0</v>
          </cell>
          <cell r="E214">
            <v>0</v>
          </cell>
          <cell r="F214">
            <v>0</v>
          </cell>
          <cell r="G214" t="str">
            <v xml:space="preserve"> </v>
          </cell>
          <cell r="H214">
            <v>0</v>
          </cell>
        </row>
        <row r="215">
          <cell r="A215" t="str">
            <v>2102-017</v>
          </cell>
          <cell r="B215" t="str">
            <v>Imagenologia Bolivar de Chihuahua</v>
          </cell>
          <cell r="C215" t="str">
            <v xml:space="preserve"> </v>
          </cell>
          <cell r="D215">
            <v>0</v>
          </cell>
          <cell r="E215">
            <v>0</v>
          </cell>
          <cell r="F215">
            <v>0</v>
          </cell>
          <cell r="G215" t="str">
            <v xml:space="preserve"> </v>
          </cell>
          <cell r="H215">
            <v>0</v>
          </cell>
        </row>
        <row r="216">
          <cell r="A216" t="str">
            <v>2102-018</v>
          </cell>
          <cell r="B216" t="str">
            <v>Hotel Barraza</v>
          </cell>
          <cell r="C216" t="str">
            <v xml:space="preserve"> </v>
          </cell>
          <cell r="D216">
            <v>0</v>
          </cell>
          <cell r="E216">
            <v>0</v>
          </cell>
          <cell r="F216">
            <v>0</v>
          </cell>
          <cell r="G216" t="str">
            <v xml:space="preserve"> </v>
          </cell>
          <cell r="H216">
            <v>0</v>
          </cell>
        </row>
        <row r="217">
          <cell r="A217" t="str">
            <v>2102-019</v>
          </cell>
          <cell r="B217" t="str">
            <v>Ferreteria Porras</v>
          </cell>
          <cell r="C217" t="str">
            <v xml:space="preserve"> </v>
          </cell>
          <cell r="D217">
            <v>0</v>
          </cell>
          <cell r="E217">
            <v>0</v>
          </cell>
          <cell r="F217">
            <v>0</v>
          </cell>
          <cell r="G217" t="str">
            <v xml:space="preserve"> </v>
          </cell>
          <cell r="H217">
            <v>0</v>
          </cell>
        </row>
        <row r="218">
          <cell r="A218" t="str">
            <v>2102-020</v>
          </cell>
          <cell r="B218" t="str">
            <v>Casa Myers S.A.</v>
          </cell>
          <cell r="C218" t="str">
            <v xml:space="preserve"> </v>
          </cell>
          <cell r="D218">
            <v>0</v>
          </cell>
          <cell r="E218">
            <v>0</v>
          </cell>
          <cell r="F218">
            <v>0</v>
          </cell>
          <cell r="G218" t="str">
            <v xml:space="preserve"> </v>
          </cell>
          <cell r="H218">
            <v>0</v>
          </cell>
        </row>
        <row r="219">
          <cell r="A219" t="str">
            <v>2102-021</v>
          </cell>
          <cell r="B219" t="str">
            <v>Jesus Rodriguez Trejo</v>
          </cell>
          <cell r="C219" t="str">
            <v xml:space="preserve"> </v>
          </cell>
          <cell r="D219">
            <v>0</v>
          </cell>
          <cell r="E219">
            <v>0</v>
          </cell>
          <cell r="F219">
            <v>0</v>
          </cell>
          <cell r="G219" t="str">
            <v xml:space="preserve"> </v>
          </cell>
          <cell r="H219">
            <v>0</v>
          </cell>
        </row>
        <row r="220">
          <cell r="A220" t="str">
            <v>2102-022</v>
          </cell>
          <cell r="B220" t="str">
            <v>Ferreteria y Refaccionaria Labins</v>
          </cell>
          <cell r="C220" t="str">
            <v xml:space="preserve"> </v>
          </cell>
          <cell r="D220">
            <v>0</v>
          </cell>
          <cell r="E220">
            <v>0</v>
          </cell>
          <cell r="F220">
            <v>0</v>
          </cell>
          <cell r="G220" t="str">
            <v xml:space="preserve"> </v>
          </cell>
          <cell r="H220">
            <v>0</v>
          </cell>
        </row>
        <row r="221">
          <cell r="A221" t="str">
            <v>2102-023</v>
          </cell>
          <cell r="B221" t="str">
            <v>Martin Armenta Prieto</v>
          </cell>
          <cell r="C221" t="str">
            <v xml:space="preserve"> </v>
          </cell>
          <cell r="D221">
            <v>0</v>
          </cell>
          <cell r="E221">
            <v>0</v>
          </cell>
          <cell r="F221">
            <v>0</v>
          </cell>
          <cell r="G221" t="str">
            <v xml:space="preserve"> </v>
          </cell>
          <cell r="H221">
            <v>0</v>
          </cell>
        </row>
        <row r="222">
          <cell r="A222" t="str">
            <v>2102-024</v>
          </cell>
          <cell r="B222" t="str">
            <v>Angel Ivan Lara Teran</v>
          </cell>
          <cell r="C222" t="str">
            <v xml:space="preserve"> </v>
          </cell>
          <cell r="D222">
            <v>3847.9</v>
          </cell>
          <cell r="E222">
            <v>0</v>
          </cell>
          <cell r="F222">
            <v>0</v>
          </cell>
          <cell r="G222" t="str">
            <v xml:space="preserve"> </v>
          </cell>
          <cell r="H222">
            <v>3847.9</v>
          </cell>
        </row>
        <row r="223">
          <cell r="A223" t="str">
            <v>2102-025</v>
          </cell>
          <cell r="B223" t="str">
            <v>Ferreteria la Cima</v>
          </cell>
          <cell r="C223" t="str">
            <v xml:space="preserve"> </v>
          </cell>
          <cell r="D223">
            <v>0</v>
          </cell>
          <cell r="E223">
            <v>0</v>
          </cell>
          <cell r="F223">
            <v>0</v>
          </cell>
          <cell r="G223" t="str">
            <v xml:space="preserve"> </v>
          </cell>
          <cell r="H223">
            <v>0</v>
          </cell>
        </row>
        <row r="224">
          <cell r="A224" t="str">
            <v>2102-026</v>
          </cell>
          <cell r="B224" t="str">
            <v>Combustibles y Lubricantes Independencia</v>
          </cell>
          <cell r="C224" t="str">
            <v xml:space="preserve"> </v>
          </cell>
          <cell r="D224">
            <v>0</v>
          </cell>
          <cell r="E224">
            <v>0</v>
          </cell>
          <cell r="F224">
            <v>0</v>
          </cell>
          <cell r="G224" t="str">
            <v xml:space="preserve"> </v>
          </cell>
          <cell r="H224">
            <v>0</v>
          </cell>
        </row>
        <row r="225">
          <cell r="A225" t="str">
            <v>2102-027</v>
          </cell>
          <cell r="B225" t="str">
            <v>Hotel Moreno</v>
          </cell>
          <cell r="C225" t="str">
            <v xml:space="preserve"> </v>
          </cell>
          <cell r="D225">
            <v>0</v>
          </cell>
          <cell r="E225">
            <v>0</v>
          </cell>
          <cell r="F225">
            <v>0</v>
          </cell>
          <cell r="G225" t="str">
            <v xml:space="preserve"> </v>
          </cell>
          <cell r="H225">
            <v>0</v>
          </cell>
        </row>
        <row r="226">
          <cell r="A226" t="str">
            <v>2102-028</v>
          </cell>
          <cell r="B226" t="str">
            <v>Restaurant La Cabaña</v>
          </cell>
          <cell r="C226" t="str">
            <v xml:space="preserve"> </v>
          </cell>
          <cell r="D226">
            <v>0</v>
          </cell>
          <cell r="E226">
            <v>0</v>
          </cell>
          <cell r="F226">
            <v>0</v>
          </cell>
          <cell r="G226" t="str">
            <v xml:space="preserve"> </v>
          </cell>
          <cell r="H226">
            <v>0</v>
          </cell>
        </row>
        <row r="227">
          <cell r="A227" t="str">
            <v>2102-029</v>
          </cell>
          <cell r="B227" t="str">
            <v>Hidrogas De Chihuahua</v>
          </cell>
          <cell r="C227" t="str">
            <v xml:space="preserve"> </v>
          </cell>
          <cell r="D227">
            <v>0</v>
          </cell>
          <cell r="E227">
            <v>0</v>
          </cell>
          <cell r="F227">
            <v>0</v>
          </cell>
          <cell r="G227" t="str">
            <v xml:space="preserve"> </v>
          </cell>
          <cell r="H227">
            <v>0</v>
          </cell>
        </row>
        <row r="228">
          <cell r="A228" t="str">
            <v>2102-030</v>
          </cell>
          <cell r="B228" t="str">
            <v>Heraldo de Chihuahua</v>
          </cell>
          <cell r="C228" t="str">
            <v xml:space="preserve"> </v>
          </cell>
          <cell r="D228">
            <v>0</v>
          </cell>
          <cell r="E228">
            <v>0</v>
          </cell>
          <cell r="F228">
            <v>0</v>
          </cell>
          <cell r="G228" t="str">
            <v xml:space="preserve"> </v>
          </cell>
          <cell r="H228">
            <v>0</v>
          </cell>
        </row>
        <row r="229">
          <cell r="A229" t="str">
            <v>2102-031</v>
          </cell>
          <cell r="B229" t="str">
            <v>Taller Elecrico Medina</v>
          </cell>
          <cell r="C229" t="str">
            <v xml:space="preserve"> </v>
          </cell>
          <cell r="D229">
            <v>0</v>
          </cell>
          <cell r="E229">
            <v>0</v>
          </cell>
          <cell r="F229">
            <v>0</v>
          </cell>
          <cell r="G229" t="str">
            <v xml:space="preserve"> </v>
          </cell>
          <cell r="H229">
            <v>0</v>
          </cell>
        </row>
        <row r="230">
          <cell r="A230" t="str">
            <v>2102-032</v>
          </cell>
          <cell r="B230" t="str">
            <v>Pollo Feliz</v>
          </cell>
          <cell r="C230" t="str">
            <v xml:space="preserve"> </v>
          </cell>
          <cell r="D230">
            <v>0</v>
          </cell>
          <cell r="E230">
            <v>0</v>
          </cell>
          <cell r="F230">
            <v>0</v>
          </cell>
          <cell r="G230" t="str">
            <v xml:space="preserve"> </v>
          </cell>
          <cell r="H230">
            <v>0</v>
          </cell>
        </row>
        <row r="231">
          <cell r="A231" t="str">
            <v>2102-033</v>
          </cell>
          <cell r="B231" t="str">
            <v>Servicio Madero</v>
          </cell>
          <cell r="C231" t="str">
            <v xml:space="preserve"> </v>
          </cell>
          <cell r="D231">
            <v>0</v>
          </cell>
          <cell r="E231">
            <v>0</v>
          </cell>
          <cell r="F231">
            <v>0</v>
          </cell>
          <cell r="G231" t="str">
            <v xml:space="preserve"> </v>
          </cell>
          <cell r="H231">
            <v>0</v>
          </cell>
        </row>
        <row r="232">
          <cell r="A232" t="str">
            <v>2102-034</v>
          </cell>
          <cell r="B232" t="str">
            <v>Alce Tornillos Materiales Industriales</v>
          </cell>
          <cell r="C232" t="str">
            <v xml:space="preserve"> </v>
          </cell>
          <cell r="D232">
            <v>0</v>
          </cell>
          <cell r="E232">
            <v>0</v>
          </cell>
          <cell r="F232">
            <v>0</v>
          </cell>
          <cell r="G232" t="str">
            <v xml:space="preserve"> </v>
          </cell>
          <cell r="H232">
            <v>0</v>
          </cell>
        </row>
        <row r="233">
          <cell r="A233" t="str">
            <v>2102-035</v>
          </cell>
          <cell r="B233" t="str">
            <v>Proveedora Motriz S.A. de C.V.</v>
          </cell>
          <cell r="C233" t="str">
            <v xml:space="preserve"> </v>
          </cell>
          <cell r="D233">
            <v>0</v>
          </cell>
          <cell r="E233">
            <v>0</v>
          </cell>
          <cell r="F233">
            <v>0</v>
          </cell>
          <cell r="G233" t="str">
            <v xml:space="preserve"> </v>
          </cell>
          <cell r="H233">
            <v>0</v>
          </cell>
        </row>
        <row r="234">
          <cell r="A234" t="str">
            <v>2102-036</v>
          </cell>
          <cell r="B234" t="str">
            <v>Servicio Famba S.A. de C.V.</v>
          </cell>
          <cell r="C234" t="str">
            <v xml:space="preserve"> </v>
          </cell>
          <cell r="D234">
            <v>0</v>
          </cell>
          <cell r="E234">
            <v>0</v>
          </cell>
          <cell r="F234">
            <v>0</v>
          </cell>
          <cell r="G234" t="str">
            <v xml:space="preserve"> </v>
          </cell>
          <cell r="H234">
            <v>0</v>
          </cell>
        </row>
        <row r="235">
          <cell r="A235" t="str">
            <v>2102-037</v>
          </cell>
          <cell r="B235" t="str">
            <v>Servicio Dublan</v>
          </cell>
          <cell r="C235" t="str">
            <v xml:space="preserve"> </v>
          </cell>
          <cell r="D235">
            <v>0</v>
          </cell>
          <cell r="E235">
            <v>0</v>
          </cell>
          <cell r="F235">
            <v>0</v>
          </cell>
          <cell r="G235" t="str">
            <v xml:space="preserve"> </v>
          </cell>
          <cell r="H235">
            <v>0</v>
          </cell>
        </row>
        <row r="236">
          <cell r="A236" t="str">
            <v>2102-038</v>
          </cell>
          <cell r="B236" t="str">
            <v>Gasolinera El Navegante</v>
          </cell>
          <cell r="C236" t="str">
            <v xml:space="preserve"> </v>
          </cell>
          <cell r="D236">
            <v>0</v>
          </cell>
          <cell r="E236">
            <v>0</v>
          </cell>
          <cell r="F236">
            <v>0</v>
          </cell>
          <cell r="G236" t="str">
            <v xml:space="preserve"> </v>
          </cell>
          <cell r="H236">
            <v>0</v>
          </cell>
        </row>
        <row r="237">
          <cell r="A237" t="str">
            <v>2102-039</v>
          </cell>
          <cell r="B237" t="str">
            <v>Maribel Mendoza Gutierrez</v>
          </cell>
          <cell r="C237" t="str">
            <v xml:space="preserve"> </v>
          </cell>
          <cell r="D237">
            <v>0</v>
          </cell>
          <cell r="E237">
            <v>0</v>
          </cell>
          <cell r="F237">
            <v>0</v>
          </cell>
          <cell r="G237" t="str">
            <v xml:space="preserve"> </v>
          </cell>
          <cell r="H237">
            <v>0</v>
          </cell>
        </row>
        <row r="238">
          <cell r="A238" t="str">
            <v>2102-040</v>
          </cell>
          <cell r="B238" t="str">
            <v>Servicio Los Iguales</v>
          </cell>
          <cell r="C238" t="str">
            <v xml:space="preserve"> </v>
          </cell>
          <cell r="D238">
            <v>0</v>
          </cell>
          <cell r="E238">
            <v>0</v>
          </cell>
          <cell r="F238">
            <v>0</v>
          </cell>
          <cell r="G238" t="str">
            <v xml:space="preserve"> </v>
          </cell>
          <cell r="H238">
            <v>0</v>
          </cell>
        </row>
        <row r="239">
          <cell r="A239" t="str">
            <v>2102-041</v>
          </cell>
          <cell r="B239" t="str">
            <v>Combustibles De Camargo</v>
          </cell>
          <cell r="C239" t="str">
            <v xml:space="preserve"> </v>
          </cell>
          <cell r="D239">
            <v>0</v>
          </cell>
          <cell r="E239">
            <v>0</v>
          </cell>
          <cell r="F239">
            <v>0</v>
          </cell>
          <cell r="G239" t="str">
            <v xml:space="preserve"> </v>
          </cell>
          <cell r="H239">
            <v>0</v>
          </cell>
        </row>
        <row r="240">
          <cell r="A240" t="str">
            <v>2102-042</v>
          </cell>
          <cell r="B240" t="str">
            <v>Sservicio Satevo</v>
          </cell>
          <cell r="C240" t="str">
            <v xml:space="preserve"> </v>
          </cell>
          <cell r="D240">
            <v>0</v>
          </cell>
          <cell r="E240">
            <v>0</v>
          </cell>
          <cell r="F240">
            <v>0</v>
          </cell>
          <cell r="G240" t="str">
            <v xml:space="preserve"> </v>
          </cell>
          <cell r="H240">
            <v>0</v>
          </cell>
        </row>
        <row r="241">
          <cell r="A241" t="str">
            <v>2102-043</v>
          </cell>
          <cell r="B241" t="str">
            <v>Servicio Camionero de Chihuahua</v>
          </cell>
          <cell r="C241" t="str">
            <v xml:space="preserve"> </v>
          </cell>
          <cell r="D241">
            <v>0</v>
          </cell>
          <cell r="E241">
            <v>0</v>
          </cell>
          <cell r="F241">
            <v>0</v>
          </cell>
          <cell r="G241" t="str">
            <v xml:space="preserve"> </v>
          </cell>
          <cell r="H241">
            <v>0</v>
          </cell>
        </row>
        <row r="242">
          <cell r="A242" t="str">
            <v>2102-044</v>
          </cell>
          <cell r="B242" t="str">
            <v>Taqueria Rosa</v>
          </cell>
          <cell r="C242" t="str">
            <v xml:space="preserve"> </v>
          </cell>
          <cell r="D242">
            <v>0</v>
          </cell>
          <cell r="E242">
            <v>0</v>
          </cell>
          <cell r="F242">
            <v>0</v>
          </cell>
          <cell r="G242" t="str">
            <v xml:space="preserve"> </v>
          </cell>
          <cell r="H242">
            <v>0</v>
          </cell>
        </row>
        <row r="243">
          <cell r="A243" t="str">
            <v>2102-045</v>
          </cell>
          <cell r="B243" t="str">
            <v>Comicion Federal de Electricidad</v>
          </cell>
          <cell r="C243" t="str">
            <v xml:space="preserve"> </v>
          </cell>
          <cell r="D243">
            <v>0</v>
          </cell>
          <cell r="E243">
            <v>0</v>
          </cell>
          <cell r="F243">
            <v>0</v>
          </cell>
          <cell r="G243" t="str">
            <v xml:space="preserve"> </v>
          </cell>
          <cell r="H243">
            <v>0</v>
          </cell>
        </row>
        <row r="244">
          <cell r="A244" t="str">
            <v>2102-046</v>
          </cell>
          <cell r="B244" t="str">
            <v>Chihuahua Diesel</v>
          </cell>
          <cell r="C244" t="str">
            <v xml:space="preserve"> </v>
          </cell>
          <cell r="D244">
            <v>0</v>
          </cell>
          <cell r="E244">
            <v>0</v>
          </cell>
          <cell r="F244">
            <v>0</v>
          </cell>
          <cell r="G244" t="str">
            <v xml:space="preserve"> </v>
          </cell>
          <cell r="H244">
            <v>0</v>
          </cell>
        </row>
        <row r="245">
          <cell r="A245" t="str">
            <v>2102-047</v>
          </cell>
          <cell r="B245" t="str">
            <v>Agencia Llantera S.A. de C.V.</v>
          </cell>
          <cell r="C245" t="str">
            <v xml:space="preserve"> </v>
          </cell>
          <cell r="D245">
            <v>32683.64</v>
          </cell>
          <cell r="E245">
            <v>0</v>
          </cell>
          <cell r="F245">
            <v>0</v>
          </cell>
          <cell r="G245" t="str">
            <v xml:space="preserve"> </v>
          </cell>
          <cell r="H245">
            <v>32683.64</v>
          </cell>
        </row>
        <row r="246">
          <cell r="A246" t="str">
            <v>2102-048</v>
          </cell>
          <cell r="B246" t="str">
            <v>Servicio Leyva</v>
          </cell>
          <cell r="C246" t="str">
            <v xml:space="preserve"> </v>
          </cell>
          <cell r="D246">
            <v>0</v>
          </cell>
          <cell r="E246">
            <v>0</v>
          </cell>
          <cell r="F246">
            <v>0</v>
          </cell>
          <cell r="G246" t="str">
            <v xml:space="preserve"> </v>
          </cell>
          <cell r="H246">
            <v>0</v>
          </cell>
        </row>
        <row r="247">
          <cell r="A247" t="str">
            <v>2102-049</v>
          </cell>
          <cell r="B247" t="str">
            <v>Servicio Ocampo</v>
          </cell>
          <cell r="C247" t="str">
            <v xml:space="preserve"> </v>
          </cell>
          <cell r="D247">
            <v>0</v>
          </cell>
          <cell r="E247">
            <v>0</v>
          </cell>
          <cell r="F247">
            <v>0</v>
          </cell>
          <cell r="G247" t="str">
            <v xml:space="preserve"> </v>
          </cell>
          <cell r="H247">
            <v>0</v>
          </cell>
        </row>
        <row r="248">
          <cell r="A248" t="str">
            <v>2102-050</v>
          </cell>
          <cell r="B248" t="str">
            <v>Servicio San Jeronimo</v>
          </cell>
          <cell r="C248" t="str">
            <v xml:space="preserve"> </v>
          </cell>
          <cell r="D248">
            <v>0</v>
          </cell>
          <cell r="E248">
            <v>0</v>
          </cell>
          <cell r="F248">
            <v>0</v>
          </cell>
          <cell r="G248" t="str">
            <v xml:space="preserve"> </v>
          </cell>
          <cell r="H248">
            <v>0</v>
          </cell>
        </row>
        <row r="249">
          <cell r="A249" t="str">
            <v>2102-051</v>
          </cell>
          <cell r="B249" t="str">
            <v>Cimarron</v>
          </cell>
          <cell r="C249" t="str">
            <v xml:space="preserve"> </v>
          </cell>
          <cell r="D249">
            <v>0</v>
          </cell>
          <cell r="E249">
            <v>0</v>
          </cell>
          <cell r="F249">
            <v>0</v>
          </cell>
          <cell r="G249" t="str">
            <v xml:space="preserve"> </v>
          </cell>
          <cell r="H249">
            <v>0</v>
          </cell>
        </row>
        <row r="250">
          <cell r="A250" t="str">
            <v>2102-052</v>
          </cell>
          <cell r="B250" t="str">
            <v>Mariscos Alameda</v>
          </cell>
          <cell r="C250" t="str">
            <v xml:space="preserve"> </v>
          </cell>
          <cell r="D250">
            <v>0</v>
          </cell>
          <cell r="E250">
            <v>0</v>
          </cell>
          <cell r="F250">
            <v>0</v>
          </cell>
          <cell r="G250" t="str">
            <v xml:space="preserve"> </v>
          </cell>
          <cell r="H250">
            <v>0</v>
          </cell>
        </row>
        <row r="251">
          <cell r="A251" t="str">
            <v>2102-053</v>
          </cell>
          <cell r="B251" t="str">
            <v>Servicio Aeropuerto</v>
          </cell>
          <cell r="C251" t="str">
            <v xml:space="preserve"> </v>
          </cell>
          <cell r="D251">
            <v>0</v>
          </cell>
          <cell r="E251">
            <v>0</v>
          </cell>
          <cell r="F251">
            <v>0</v>
          </cell>
          <cell r="G251" t="str">
            <v xml:space="preserve"> </v>
          </cell>
          <cell r="H251">
            <v>0</v>
          </cell>
        </row>
        <row r="252">
          <cell r="A252" t="str">
            <v>2102-054</v>
          </cell>
          <cell r="B252" t="str">
            <v>Restaurant El Bronco</v>
          </cell>
          <cell r="C252" t="str">
            <v xml:space="preserve"> </v>
          </cell>
          <cell r="D252">
            <v>0</v>
          </cell>
          <cell r="E252">
            <v>0</v>
          </cell>
          <cell r="F252">
            <v>0</v>
          </cell>
          <cell r="G252" t="str">
            <v xml:space="preserve"> </v>
          </cell>
          <cell r="H252">
            <v>0</v>
          </cell>
        </row>
        <row r="253">
          <cell r="A253" t="str">
            <v>2102-055</v>
          </cell>
          <cell r="B253" t="str">
            <v>Carlos Rafael Morales Morales</v>
          </cell>
          <cell r="C253" t="str">
            <v xml:space="preserve"> </v>
          </cell>
          <cell r="D253">
            <v>22718.16</v>
          </cell>
          <cell r="E253">
            <v>0</v>
          </cell>
          <cell r="F253">
            <v>0</v>
          </cell>
          <cell r="G253" t="str">
            <v xml:space="preserve"> </v>
          </cell>
          <cell r="H253">
            <v>22718.16</v>
          </cell>
        </row>
        <row r="254">
          <cell r="A254" t="str">
            <v>2102-056</v>
          </cell>
          <cell r="B254" t="str">
            <v>Operadora de Bocoyna S.A. de C.V.</v>
          </cell>
          <cell r="C254" t="str">
            <v xml:space="preserve"> </v>
          </cell>
          <cell r="D254">
            <v>0</v>
          </cell>
          <cell r="E254">
            <v>0</v>
          </cell>
          <cell r="F254">
            <v>0</v>
          </cell>
          <cell r="G254" t="str">
            <v xml:space="preserve"> </v>
          </cell>
          <cell r="H254">
            <v>0</v>
          </cell>
        </row>
        <row r="255">
          <cell r="A255" t="str">
            <v>2102-057</v>
          </cell>
          <cell r="B255" t="str">
            <v>Restaurant Centro Trailera El Chamuco</v>
          </cell>
          <cell r="C255" t="str">
            <v xml:space="preserve"> </v>
          </cell>
          <cell r="D255">
            <v>0</v>
          </cell>
          <cell r="E255">
            <v>0</v>
          </cell>
          <cell r="F255">
            <v>0</v>
          </cell>
          <cell r="G255" t="str">
            <v xml:space="preserve"> </v>
          </cell>
          <cell r="H255">
            <v>0</v>
          </cell>
        </row>
        <row r="256">
          <cell r="A256" t="str">
            <v>2102-058</v>
          </cell>
          <cell r="B256" t="str">
            <v>Parador Laguna</v>
          </cell>
          <cell r="C256" t="str">
            <v xml:space="preserve"> </v>
          </cell>
          <cell r="D256">
            <v>0</v>
          </cell>
          <cell r="E256">
            <v>0</v>
          </cell>
          <cell r="F256">
            <v>0</v>
          </cell>
          <cell r="G256" t="str">
            <v xml:space="preserve"> </v>
          </cell>
          <cell r="H256">
            <v>0</v>
          </cell>
        </row>
        <row r="257">
          <cell r="A257" t="str">
            <v>2102-059</v>
          </cell>
          <cell r="B257" t="str">
            <v>Grupo Majalca</v>
          </cell>
          <cell r="C257" t="str">
            <v xml:space="preserve"> </v>
          </cell>
          <cell r="D257">
            <v>0</v>
          </cell>
          <cell r="E257">
            <v>0</v>
          </cell>
          <cell r="F257">
            <v>0</v>
          </cell>
          <cell r="G257" t="str">
            <v xml:space="preserve"> </v>
          </cell>
          <cell r="H257">
            <v>0</v>
          </cell>
        </row>
        <row r="258">
          <cell r="A258" t="str">
            <v>2102-060</v>
          </cell>
          <cell r="B258" t="str">
            <v>Servicio de Muelles Zarco S.A. de C.V.</v>
          </cell>
          <cell r="C258" t="str">
            <v xml:space="preserve"> </v>
          </cell>
          <cell r="D258">
            <v>3277.5</v>
          </cell>
          <cell r="E258">
            <v>0</v>
          </cell>
          <cell r="F258">
            <v>0</v>
          </cell>
          <cell r="G258" t="str">
            <v xml:space="preserve"> </v>
          </cell>
          <cell r="H258">
            <v>3277.5</v>
          </cell>
        </row>
        <row r="259">
          <cell r="A259" t="str">
            <v>2102-061</v>
          </cell>
          <cell r="B259" t="str">
            <v>Eagle Importacion S.A. de C.V.</v>
          </cell>
          <cell r="C259" t="str">
            <v xml:space="preserve"> </v>
          </cell>
          <cell r="D259">
            <v>0</v>
          </cell>
          <cell r="E259">
            <v>0</v>
          </cell>
          <cell r="F259">
            <v>0</v>
          </cell>
          <cell r="G259" t="str">
            <v xml:space="preserve"> </v>
          </cell>
          <cell r="H259">
            <v>0</v>
          </cell>
        </row>
        <row r="260">
          <cell r="A260" t="str">
            <v>2102-062</v>
          </cell>
          <cell r="B260" t="str">
            <v>Lincoln de la Laguna</v>
          </cell>
          <cell r="C260" t="str">
            <v xml:space="preserve"> </v>
          </cell>
          <cell r="D260">
            <v>0</v>
          </cell>
          <cell r="E260">
            <v>0</v>
          </cell>
          <cell r="F260">
            <v>0</v>
          </cell>
          <cell r="G260" t="str">
            <v xml:space="preserve"> </v>
          </cell>
          <cell r="H260">
            <v>0</v>
          </cell>
        </row>
        <row r="261">
          <cell r="A261" t="str">
            <v>2102-063</v>
          </cell>
          <cell r="B261" t="str">
            <v>Gas Imperial</v>
          </cell>
          <cell r="C261" t="str">
            <v xml:space="preserve"> </v>
          </cell>
          <cell r="D261">
            <v>0</v>
          </cell>
          <cell r="E261">
            <v>0</v>
          </cell>
          <cell r="F261">
            <v>0</v>
          </cell>
          <cell r="G261" t="str">
            <v xml:space="preserve"> </v>
          </cell>
          <cell r="H261">
            <v>0</v>
          </cell>
        </row>
        <row r="262">
          <cell r="A262" t="str">
            <v>2102-064</v>
          </cell>
          <cell r="B262" t="str">
            <v>Centro de Atencion para las Adicciiones de Chihuah</v>
          </cell>
          <cell r="C262" t="str">
            <v xml:space="preserve"> </v>
          </cell>
          <cell r="D262">
            <v>0</v>
          </cell>
          <cell r="E262">
            <v>0</v>
          </cell>
          <cell r="F262">
            <v>0</v>
          </cell>
          <cell r="G262" t="str">
            <v xml:space="preserve"> </v>
          </cell>
          <cell r="H262">
            <v>0</v>
          </cell>
        </row>
        <row r="263">
          <cell r="A263" t="str">
            <v>2102-065</v>
          </cell>
          <cell r="B263" t="str">
            <v>Super Gas de Parral</v>
          </cell>
          <cell r="C263" t="str">
            <v xml:space="preserve"> </v>
          </cell>
          <cell r="D263">
            <v>0</v>
          </cell>
          <cell r="E263">
            <v>0</v>
          </cell>
          <cell r="F263">
            <v>0</v>
          </cell>
          <cell r="G263" t="str">
            <v xml:space="preserve"> </v>
          </cell>
          <cell r="H263">
            <v>0</v>
          </cell>
        </row>
        <row r="264">
          <cell r="A264" t="str">
            <v>2102-066</v>
          </cell>
          <cell r="B264" t="str">
            <v>Ferreteria Portillo</v>
          </cell>
          <cell r="C264" t="str">
            <v xml:space="preserve"> </v>
          </cell>
          <cell r="D264">
            <v>0</v>
          </cell>
          <cell r="E264">
            <v>0</v>
          </cell>
          <cell r="F264">
            <v>0</v>
          </cell>
          <cell r="G264" t="str">
            <v xml:space="preserve"> </v>
          </cell>
          <cell r="H264">
            <v>0</v>
          </cell>
        </row>
        <row r="265">
          <cell r="A265" t="str">
            <v>2102-067</v>
          </cell>
          <cell r="B265" t="str">
            <v>Recaudacion de Renta</v>
          </cell>
          <cell r="C265" t="str">
            <v xml:space="preserve"> </v>
          </cell>
          <cell r="D265">
            <v>0</v>
          </cell>
          <cell r="E265">
            <v>0</v>
          </cell>
          <cell r="F265">
            <v>0</v>
          </cell>
          <cell r="G265" t="str">
            <v xml:space="preserve"> </v>
          </cell>
          <cell r="H265">
            <v>0</v>
          </cell>
        </row>
        <row r="266">
          <cell r="A266" t="str">
            <v>2102-068</v>
          </cell>
          <cell r="B266" t="str">
            <v xml:space="preserve">Frenos  Clutch Servicio S.A. de C.V. </v>
          </cell>
          <cell r="C266" t="str">
            <v xml:space="preserve"> </v>
          </cell>
          <cell r="D266">
            <v>7501.45</v>
          </cell>
          <cell r="E266">
            <v>0</v>
          </cell>
          <cell r="F266">
            <v>0</v>
          </cell>
          <cell r="G266" t="str">
            <v xml:space="preserve"> </v>
          </cell>
          <cell r="H266">
            <v>7501.45</v>
          </cell>
        </row>
        <row r="267">
          <cell r="A267" t="str">
            <v>2102-069</v>
          </cell>
          <cell r="B267" t="str">
            <v>Pridisa S.A. de C.V.</v>
          </cell>
          <cell r="C267" t="str">
            <v xml:space="preserve"> </v>
          </cell>
          <cell r="D267">
            <v>0</v>
          </cell>
          <cell r="E267">
            <v>0</v>
          </cell>
          <cell r="F267">
            <v>0</v>
          </cell>
          <cell r="G267" t="str">
            <v xml:space="preserve"> </v>
          </cell>
          <cell r="H267">
            <v>0</v>
          </cell>
        </row>
        <row r="268">
          <cell r="A268" t="str">
            <v>2102-070</v>
          </cell>
          <cell r="B268" t="str">
            <v>Cesar H. Rodriguez Jacobo</v>
          </cell>
          <cell r="C268" t="str">
            <v xml:space="preserve"> </v>
          </cell>
          <cell r="D268">
            <v>17316</v>
          </cell>
          <cell r="E268">
            <v>0</v>
          </cell>
          <cell r="F268">
            <v>0</v>
          </cell>
          <cell r="G268" t="str">
            <v xml:space="preserve"> </v>
          </cell>
          <cell r="H268">
            <v>17316</v>
          </cell>
        </row>
        <row r="269">
          <cell r="A269" t="str">
            <v>2102-071</v>
          </cell>
          <cell r="B269" t="str">
            <v>***</v>
          </cell>
          <cell r="C269" t="str">
            <v xml:space="preserve"> </v>
          </cell>
          <cell r="D269">
            <v>0</v>
          </cell>
          <cell r="E269">
            <v>0</v>
          </cell>
          <cell r="F269">
            <v>0</v>
          </cell>
          <cell r="G269" t="str">
            <v xml:space="preserve"> </v>
          </cell>
          <cell r="H269">
            <v>0</v>
          </cell>
        </row>
        <row r="270">
          <cell r="A270" t="str">
            <v>2102-072</v>
          </cell>
          <cell r="B270" t="str">
            <v>Servicio Empresarial Automotriz Gaba</v>
          </cell>
          <cell r="C270" t="str">
            <v xml:space="preserve"> </v>
          </cell>
          <cell r="D270">
            <v>0</v>
          </cell>
          <cell r="E270">
            <v>0</v>
          </cell>
          <cell r="F270">
            <v>0</v>
          </cell>
          <cell r="G270" t="str">
            <v xml:space="preserve"> </v>
          </cell>
          <cell r="H270">
            <v>0</v>
          </cell>
        </row>
        <row r="271">
          <cell r="A271" t="str">
            <v>2102-073</v>
          </cell>
          <cell r="B271" t="str">
            <v>Restaurant La Joya</v>
          </cell>
          <cell r="C271" t="str">
            <v xml:space="preserve"> </v>
          </cell>
          <cell r="D271">
            <v>0</v>
          </cell>
          <cell r="E271">
            <v>0</v>
          </cell>
          <cell r="F271">
            <v>0</v>
          </cell>
          <cell r="G271" t="str">
            <v xml:space="preserve"> </v>
          </cell>
          <cell r="H271">
            <v>0</v>
          </cell>
        </row>
        <row r="272">
          <cell r="A272" t="str">
            <v>2102-074</v>
          </cell>
          <cell r="B272" t="str">
            <v>Comby Lub</v>
          </cell>
          <cell r="C272" t="str">
            <v xml:space="preserve"> </v>
          </cell>
          <cell r="D272">
            <v>0</v>
          </cell>
          <cell r="E272">
            <v>0</v>
          </cell>
          <cell r="F272">
            <v>0</v>
          </cell>
          <cell r="G272" t="str">
            <v xml:space="preserve"> </v>
          </cell>
          <cell r="H272">
            <v>0</v>
          </cell>
        </row>
        <row r="273">
          <cell r="A273" t="str">
            <v>2102-075</v>
          </cell>
          <cell r="B273" t="str">
            <v>Mario Diesel</v>
          </cell>
          <cell r="C273" t="str">
            <v xml:space="preserve"> </v>
          </cell>
          <cell r="D273">
            <v>0</v>
          </cell>
          <cell r="E273">
            <v>0</v>
          </cell>
          <cell r="F273">
            <v>0</v>
          </cell>
          <cell r="G273" t="str">
            <v xml:space="preserve"> </v>
          </cell>
          <cell r="H273">
            <v>0</v>
          </cell>
        </row>
        <row r="274">
          <cell r="A274" t="str">
            <v>2102-076</v>
          </cell>
          <cell r="B274" t="str">
            <v>Estacion de Servicios Pioneros S.A. de C.V.</v>
          </cell>
          <cell r="C274" t="str">
            <v xml:space="preserve"> </v>
          </cell>
          <cell r="D274">
            <v>0</v>
          </cell>
          <cell r="E274">
            <v>0</v>
          </cell>
          <cell r="F274">
            <v>0</v>
          </cell>
          <cell r="G274" t="str">
            <v xml:space="preserve"> </v>
          </cell>
          <cell r="H274">
            <v>0</v>
          </cell>
        </row>
        <row r="275">
          <cell r="A275" t="str">
            <v>2102-077</v>
          </cell>
          <cell r="B275" t="str">
            <v>Hotel Posada del Desierto</v>
          </cell>
          <cell r="C275" t="str">
            <v xml:space="preserve"> </v>
          </cell>
          <cell r="D275">
            <v>0</v>
          </cell>
          <cell r="E275">
            <v>0</v>
          </cell>
          <cell r="F275">
            <v>0</v>
          </cell>
          <cell r="G275" t="str">
            <v xml:space="preserve"> </v>
          </cell>
          <cell r="H275">
            <v>0</v>
          </cell>
        </row>
        <row r="276">
          <cell r="A276" t="str">
            <v>2102-078</v>
          </cell>
          <cell r="B276" t="str">
            <v>Estafeta</v>
          </cell>
          <cell r="C276" t="str">
            <v xml:space="preserve"> </v>
          </cell>
          <cell r="D276">
            <v>0</v>
          </cell>
          <cell r="E276">
            <v>0</v>
          </cell>
          <cell r="F276">
            <v>0</v>
          </cell>
          <cell r="G276" t="str">
            <v xml:space="preserve"> </v>
          </cell>
          <cell r="H276">
            <v>0</v>
          </cell>
        </row>
        <row r="277">
          <cell r="A277" t="str">
            <v>2102-079</v>
          </cell>
          <cell r="B277" t="str">
            <v>Kalich</v>
          </cell>
          <cell r="C277" t="str">
            <v xml:space="preserve"> </v>
          </cell>
          <cell r="D277">
            <v>0</v>
          </cell>
          <cell r="E277">
            <v>0</v>
          </cell>
          <cell r="F277">
            <v>0</v>
          </cell>
          <cell r="G277" t="str">
            <v xml:space="preserve"> </v>
          </cell>
          <cell r="H277">
            <v>0</v>
          </cell>
        </row>
        <row r="278">
          <cell r="A278" t="str">
            <v>2102-080</v>
          </cell>
          <cell r="B278" t="str">
            <v>Servicio RG S.A. de C.V.</v>
          </cell>
          <cell r="C278" t="str">
            <v xml:space="preserve"> </v>
          </cell>
          <cell r="D278">
            <v>0</v>
          </cell>
          <cell r="E278">
            <v>0</v>
          </cell>
          <cell r="F278">
            <v>0</v>
          </cell>
          <cell r="G278" t="str">
            <v xml:space="preserve"> </v>
          </cell>
          <cell r="H278">
            <v>0</v>
          </cell>
        </row>
        <row r="279">
          <cell r="A279" t="str">
            <v>2102-081</v>
          </cell>
          <cell r="B279" t="str">
            <v>Pedro Diesel</v>
          </cell>
          <cell r="C279" t="str">
            <v xml:space="preserve"> </v>
          </cell>
          <cell r="D279">
            <v>0</v>
          </cell>
          <cell r="E279">
            <v>0</v>
          </cell>
          <cell r="F279">
            <v>0</v>
          </cell>
          <cell r="G279" t="str">
            <v xml:space="preserve"> </v>
          </cell>
          <cell r="H279">
            <v>0</v>
          </cell>
        </row>
        <row r="280">
          <cell r="A280" t="str">
            <v>2102-082</v>
          </cell>
          <cell r="B280" t="str">
            <v>Autobuses Estrella Blanaca</v>
          </cell>
          <cell r="C280" t="str">
            <v xml:space="preserve"> </v>
          </cell>
          <cell r="D280">
            <v>0</v>
          </cell>
          <cell r="E280">
            <v>0</v>
          </cell>
          <cell r="F280">
            <v>0</v>
          </cell>
          <cell r="G280" t="str">
            <v xml:space="preserve"> </v>
          </cell>
          <cell r="H280">
            <v>0</v>
          </cell>
        </row>
        <row r="281">
          <cell r="A281" t="str">
            <v>2102-083</v>
          </cell>
          <cell r="B281" t="str">
            <v>Empresas Ibarrola Elias</v>
          </cell>
          <cell r="C281" t="str">
            <v xml:space="preserve"> </v>
          </cell>
          <cell r="D281">
            <v>0</v>
          </cell>
          <cell r="E281">
            <v>0</v>
          </cell>
          <cell r="F281">
            <v>0</v>
          </cell>
          <cell r="G281" t="str">
            <v xml:space="preserve"> </v>
          </cell>
          <cell r="H281">
            <v>0</v>
          </cell>
        </row>
        <row r="282">
          <cell r="A282" t="str">
            <v>2102-084</v>
          </cell>
          <cell r="B282" t="str">
            <v>Restaurant Hotel Avenida</v>
          </cell>
          <cell r="C282" t="str">
            <v xml:space="preserve"> </v>
          </cell>
          <cell r="D282">
            <v>0</v>
          </cell>
          <cell r="E282">
            <v>0</v>
          </cell>
          <cell r="F282">
            <v>0</v>
          </cell>
          <cell r="G282" t="str">
            <v xml:space="preserve"> </v>
          </cell>
          <cell r="H282">
            <v>0</v>
          </cell>
        </row>
        <row r="283">
          <cell r="A283" t="str">
            <v>2102-085</v>
          </cell>
          <cell r="B283" t="str">
            <v>Janos Comercial S.A.</v>
          </cell>
          <cell r="C283" t="str">
            <v xml:space="preserve"> </v>
          </cell>
          <cell r="D283">
            <v>0</v>
          </cell>
          <cell r="E283">
            <v>0</v>
          </cell>
          <cell r="F283">
            <v>0</v>
          </cell>
          <cell r="G283" t="str">
            <v xml:space="preserve"> </v>
          </cell>
          <cell r="H283">
            <v>0</v>
          </cell>
        </row>
        <row r="284">
          <cell r="A284" t="str">
            <v>2102-086</v>
          </cell>
          <cell r="B284" t="str">
            <v>Multiservicios El Granillo S.A. de C.V.</v>
          </cell>
          <cell r="C284" t="str">
            <v xml:space="preserve"> </v>
          </cell>
          <cell r="D284">
            <v>0</v>
          </cell>
          <cell r="E284">
            <v>0</v>
          </cell>
          <cell r="F284">
            <v>0</v>
          </cell>
          <cell r="G284" t="str">
            <v xml:space="preserve"> </v>
          </cell>
          <cell r="H284">
            <v>0</v>
          </cell>
        </row>
        <row r="285">
          <cell r="A285" t="str">
            <v>2102-087</v>
          </cell>
          <cell r="B285" t="str">
            <v>Petro Derivados San Jorge</v>
          </cell>
          <cell r="C285" t="str">
            <v xml:space="preserve"> </v>
          </cell>
          <cell r="D285">
            <v>0</v>
          </cell>
          <cell r="E285">
            <v>0</v>
          </cell>
          <cell r="F285">
            <v>0</v>
          </cell>
          <cell r="G285" t="str">
            <v xml:space="preserve"> </v>
          </cell>
          <cell r="H285">
            <v>0</v>
          </cell>
        </row>
        <row r="286">
          <cell r="A286" t="str">
            <v>2102-088</v>
          </cell>
          <cell r="B286" t="str">
            <v>Gasolinera Los Cachorros</v>
          </cell>
          <cell r="C286" t="str">
            <v xml:space="preserve"> </v>
          </cell>
          <cell r="D286">
            <v>0</v>
          </cell>
          <cell r="E286">
            <v>0</v>
          </cell>
          <cell r="F286">
            <v>0</v>
          </cell>
          <cell r="G286" t="str">
            <v xml:space="preserve"> </v>
          </cell>
          <cell r="H286">
            <v>0</v>
          </cell>
        </row>
        <row r="287">
          <cell r="A287" t="str">
            <v>2102-089</v>
          </cell>
          <cell r="B287" t="str">
            <v>Jesus Carlos Chavez Mena La Curva Llantera</v>
          </cell>
          <cell r="C287" t="str">
            <v xml:space="preserve"> </v>
          </cell>
          <cell r="D287">
            <v>0</v>
          </cell>
          <cell r="E287">
            <v>0</v>
          </cell>
          <cell r="F287">
            <v>0</v>
          </cell>
          <cell r="G287" t="str">
            <v xml:space="preserve"> </v>
          </cell>
          <cell r="H287">
            <v>0</v>
          </cell>
        </row>
        <row r="288">
          <cell r="A288" t="str">
            <v>2102-090</v>
          </cell>
          <cell r="B288" t="str">
            <v>Ferreteria Las Virginias</v>
          </cell>
          <cell r="C288" t="str">
            <v xml:space="preserve"> </v>
          </cell>
          <cell r="D288">
            <v>0</v>
          </cell>
          <cell r="E288">
            <v>0</v>
          </cell>
          <cell r="F288">
            <v>0</v>
          </cell>
          <cell r="G288" t="str">
            <v xml:space="preserve"> </v>
          </cell>
          <cell r="H288">
            <v>0</v>
          </cell>
        </row>
        <row r="289">
          <cell r="A289" t="str">
            <v>2102-091</v>
          </cell>
          <cell r="B289" t="str">
            <v>Comite Estatal de Sanidad Vegetal de Sonora</v>
          </cell>
          <cell r="C289" t="str">
            <v xml:space="preserve"> </v>
          </cell>
          <cell r="D289">
            <v>0</v>
          </cell>
          <cell r="E289">
            <v>0</v>
          </cell>
          <cell r="F289">
            <v>0</v>
          </cell>
          <cell r="G289" t="str">
            <v xml:space="preserve"> </v>
          </cell>
          <cell r="H289">
            <v>0</v>
          </cell>
        </row>
        <row r="290">
          <cell r="A290" t="str">
            <v>2102-092</v>
          </cell>
          <cell r="B290" t="str">
            <v>Estacion de Servicio Teika S.A. de C.V.</v>
          </cell>
          <cell r="C290" t="str">
            <v xml:space="preserve"> </v>
          </cell>
          <cell r="D290">
            <v>0</v>
          </cell>
          <cell r="E290">
            <v>0</v>
          </cell>
          <cell r="F290">
            <v>0</v>
          </cell>
          <cell r="G290" t="str">
            <v xml:space="preserve"> </v>
          </cell>
          <cell r="H290">
            <v>0</v>
          </cell>
        </row>
        <row r="291">
          <cell r="A291" t="str">
            <v>2102-093</v>
          </cell>
          <cell r="B291" t="str">
            <v>Servicio La Junta</v>
          </cell>
          <cell r="C291" t="str">
            <v xml:space="preserve"> </v>
          </cell>
          <cell r="D291">
            <v>0</v>
          </cell>
          <cell r="E291">
            <v>0</v>
          </cell>
          <cell r="F291">
            <v>0</v>
          </cell>
          <cell r="G291" t="str">
            <v xml:space="preserve"> </v>
          </cell>
          <cell r="H291">
            <v>0</v>
          </cell>
        </row>
        <row r="292">
          <cell r="A292" t="str">
            <v>2102-094</v>
          </cell>
          <cell r="B292" t="str">
            <v>Combustibles y Servicios Loma La Salle S.A. de C.V</v>
          </cell>
          <cell r="C292" t="str">
            <v xml:space="preserve"> </v>
          </cell>
          <cell r="D292">
            <v>0</v>
          </cell>
          <cell r="E292">
            <v>0</v>
          </cell>
          <cell r="F292">
            <v>0</v>
          </cell>
          <cell r="G292" t="str">
            <v xml:space="preserve"> </v>
          </cell>
          <cell r="H292">
            <v>0</v>
          </cell>
        </row>
        <row r="293">
          <cell r="A293" t="str">
            <v>2102-095</v>
          </cell>
          <cell r="B293" t="str">
            <v>Almacen de Rodamientos S.A. de C.V.</v>
          </cell>
          <cell r="C293" t="str">
            <v xml:space="preserve"> </v>
          </cell>
          <cell r="D293">
            <v>0</v>
          </cell>
          <cell r="E293">
            <v>0</v>
          </cell>
          <cell r="F293">
            <v>0</v>
          </cell>
          <cell r="G293" t="str">
            <v xml:space="preserve"> </v>
          </cell>
          <cell r="H293">
            <v>0</v>
          </cell>
        </row>
        <row r="294">
          <cell r="A294" t="str">
            <v>2102-096</v>
          </cell>
          <cell r="B294" t="str">
            <v>Gerardo R. Martinez Loredo</v>
          </cell>
          <cell r="C294" t="str">
            <v xml:space="preserve"> </v>
          </cell>
          <cell r="D294">
            <v>0</v>
          </cell>
          <cell r="E294">
            <v>0</v>
          </cell>
          <cell r="F294">
            <v>0</v>
          </cell>
          <cell r="G294" t="str">
            <v xml:space="preserve"> </v>
          </cell>
          <cell r="H294">
            <v>0</v>
          </cell>
        </row>
        <row r="295">
          <cell r="A295" t="str">
            <v>2102-097</v>
          </cell>
          <cell r="B295" t="str">
            <v>Taller de Frenos y Mofles</v>
          </cell>
          <cell r="C295" t="str">
            <v xml:space="preserve"> </v>
          </cell>
          <cell r="D295">
            <v>0</v>
          </cell>
          <cell r="E295">
            <v>0</v>
          </cell>
          <cell r="F295">
            <v>0</v>
          </cell>
          <cell r="G295" t="str">
            <v xml:space="preserve"> </v>
          </cell>
          <cell r="H295">
            <v>0</v>
          </cell>
        </row>
        <row r="296">
          <cell r="A296" t="str">
            <v>2102-098</v>
          </cell>
          <cell r="B296" t="str">
            <v>Farmacia del Ahorro de Chihuahua</v>
          </cell>
          <cell r="C296" t="str">
            <v xml:space="preserve"> </v>
          </cell>
          <cell r="D296">
            <v>0</v>
          </cell>
          <cell r="E296">
            <v>0</v>
          </cell>
          <cell r="F296">
            <v>0</v>
          </cell>
          <cell r="G296" t="str">
            <v xml:space="preserve"> </v>
          </cell>
          <cell r="H296">
            <v>0</v>
          </cell>
        </row>
        <row r="297">
          <cell r="A297" t="str">
            <v>2102-099</v>
          </cell>
          <cell r="B297" t="str">
            <v>Clinica Universidad S.A. de C.V.</v>
          </cell>
          <cell r="C297" t="str">
            <v xml:space="preserve"> </v>
          </cell>
          <cell r="D297">
            <v>0</v>
          </cell>
          <cell r="E297">
            <v>0</v>
          </cell>
          <cell r="F297">
            <v>0</v>
          </cell>
          <cell r="G297" t="str">
            <v xml:space="preserve"> </v>
          </cell>
          <cell r="H297">
            <v>0</v>
          </cell>
        </row>
        <row r="298">
          <cell r="A298" t="str">
            <v>2102-100</v>
          </cell>
          <cell r="B298" t="str">
            <v>Omnibus de Mexico</v>
          </cell>
          <cell r="C298" t="str">
            <v xml:space="preserve"> </v>
          </cell>
          <cell r="D298">
            <v>0</v>
          </cell>
          <cell r="E298">
            <v>0</v>
          </cell>
          <cell r="F298">
            <v>0</v>
          </cell>
          <cell r="G298" t="str">
            <v xml:space="preserve"> </v>
          </cell>
          <cell r="H298">
            <v>0</v>
          </cell>
        </row>
        <row r="299">
          <cell r="A299" t="str">
            <v>2102-101</v>
          </cell>
          <cell r="B299" t="str">
            <v>Servicio Chavo S.A. de C.V.</v>
          </cell>
          <cell r="C299" t="str">
            <v xml:space="preserve"> </v>
          </cell>
          <cell r="D299">
            <v>0</v>
          </cell>
          <cell r="E299">
            <v>0</v>
          </cell>
          <cell r="F299">
            <v>0</v>
          </cell>
          <cell r="G299" t="str">
            <v xml:space="preserve"> </v>
          </cell>
          <cell r="H299">
            <v>0</v>
          </cell>
        </row>
        <row r="300">
          <cell r="A300" t="str">
            <v>2102-102</v>
          </cell>
          <cell r="B300" t="str">
            <v>El Entronque y Servicio del Norte</v>
          </cell>
          <cell r="C300" t="str">
            <v xml:space="preserve"> </v>
          </cell>
          <cell r="D300">
            <v>0</v>
          </cell>
          <cell r="E300">
            <v>0</v>
          </cell>
          <cell r="F300">
            <v>0</v>
          </cell>
          <cell r="G300" t="str">
            <v xml:space="preserve"> </v>
          </cell>
          <cell r="H300">
            <v>0</v>
          </cell>
        </row>
        <row r="301">
          <cell r="A301" t="str">
            <v>2102-103</v>
          </cell>
          <cell r="B301" t="str">
            <v>Servicio Marvel</v>
          </cell>
          <cell r="C301" t="str">
            <v xml:space="preserve"> </v>
          </cell>
          <cell r="D301">
            <v>0</v>
          </cell>
          <cell r="E301">
            <v>0</v>
          </cell>
          <cell r="F301">
            <v>0</v>
          </cell>
          <cell r="G301" t="str">
            <v xml:space="preserve"> </v>
          </cell>
          <cell r="H301">
            <v>0</v>
          </cell>
        </row>
        <row r="302">
          <cell r="A302" t="str">
            <v>2102-104</v>
          </cell>
          <cell r="B302" t="str">
            <v>Hotel Turista</v>
          </cell>
          <cell r="C302" t="str">
            <v xml:space="preserve"> </v>
          </cell>
          <cell r="D302">
            <v>0</v>
          </cell>
          <cell r="E302">
            <v>0</v>
          </cell>
          <cell r="F302">
            <v>0</v>
          </cell>
          <cell r="G302" t="str">
            <v xml:space="preserve"> </v>
          </cell>
          <cell r="H302">
            <v>0</v>
          </cell>
        </row>
        <row r="303">
          <cell r="A303" t="str">
            <v>2102-105</v>
          </cell>
          <cell r="B303" t="str">
            <v>Hotel California</v>
          </cell>
          <cell r="C303" t="str">
            <v xml:space="preserve"> </v>
          </cell>
          <cell r="D303">
            <v>0</v>
          </cell>
          <cell r="E303">
            <v>0</v>
          </cell>
          <cell r="F303">
            <v>0</v>
          </cell>
          <cell r="G303" t="str">
            <v xml:space="preserve"> </v>
          </cell>
          <cell r="H303">
            <v>0</v>
          </cell>
        </row>
        <row r="304">
          <cell r="A304" t="str">
            <v>2102-106</v>
          </cell>
          <cell r="B304" t="str">
            <v>Hotel Victoria</v>
          </cell>
          <cell r="C304" t="str">
            <v xml:space="preserve"> </v>
          </cell>
          <cell r="D304">
            <v>0</v>
          </cell>
          <cell r="E304">
            <v>0</v>
          </cell>
          <cell r="F304">
            <v>0</v>
          </cell>
          <cell r="G304" t="str">
            <v xml:space="preserve"> </v>
          </cell>
          <cell r="H304">
            <v>0</v>
          </cell>
        </row>
        <row r="305">
          <cell r="A305" t="str">
            <v>2102-107</v>
          </cell>
          <cell r="B305" t="str">
            <v>Operadora Nacional de Personal S.A de C.V.</v>
          </cell>
          <cell r="C305" t="str">
            <v xml:space="preserve"> </v>
          </cell>
          <cell r="D305">
            <v>0</v>
          </cell>
          <cell r="E305">
            <v>0</v>
          </cell>
          <cell r="F305">
            <v>0</v>
          </cell>
          <cell r="G305" t="str">
            <v xml:space="preserve"> </v>
          </cell>
          <cell r="H305">
            <v>0</v>
          </cell>
        </row>
        <row r="306">
          <cell r="A306" t="str">
            <v>2102-108</v>
          </cell>
          <cell r="B306" t="str">
            <v>Gasolinera Soto</v>
          </cell>
          <cell r="C306" t="str">
            <v xml:space="preserve"> </v>
          </cell>
          <cell r="D306">
            <v>0</v>
          </cell>
          <cell r="E306">
            <v>0</v>
          </cell>
          <cell r="F306">
            <v>0</v>
          </cell>
          <cell r="G306" t="str">
            <v xml:space="preserve"> </v>
          </cell>
          <cell r="H306">
            <v>0</v>
          </cell>
        </row>
        <row r="307">
          <cell r="A307" t="str">
            <v>2102-109</v>
          </cell>
          <cell r="B307" t="str">
            <v>Servicio Palmilla</v>
          </cell>
          <cell r="C307" t="str">
            <v xml:space="preserve"> </v>
          </cell>
          <cell r="D307">
            <v>0</v>
          </cell>
          <cell r="E307">
            <v>0</v>
          </cell>
          <cell r="F307">
            <v>0</v>
          </cell>
          <cell r="G307" t="str">
            <v xml:space="preserve"> </v>
          </cell>
          <cell r="H307">
            <v>0</v>
          </cell>
        </row>
        <row r="308">
          <cell r="A308" t="str">
            <v>2102-110</v>
          </cell>
          <cell r="B308" t="str">
            <v>Super Servicio del Valle S.A. de C.V.</v>
          </cell>
          <cell r="C308" t="str">
            <v xml:space="preserve"> </v>
          </cell>
          <cell r="D308">
            <v>0</v>
          </cell>
          <cell r="E308">
            <v>0</v>
          </cell>
          <cell r="F308">
            <v>0</v>
          </cell>
          <cell r="G308" t="str">
            <v xml:space="preserve"> </v>
          </cell>
          <cell r="H308">
            <v>0</v>
          </cell>
        </row>
        <row r="309">
          <cell r="A309" t="str">
            <v>2102-111</v>
          </cell>
          <cell r="B309" t="str">
            <v>Gasolinera el Carrizo</v>
          </cell>
          <cell r="C309" t="str">
            <v xml:space="preserve"> </v>
          </cell>
          <cell r="D309">
            <v>0</v>
          </cell>
          <cell r="E309">
            <v>0</v>
          </cell>
          <cell r="F309">
            <v>0</v>
          </cell>
          <cell r="G309" t="str">
            <v xml:space="preserve"> </v>
          </cell>
          <cell r="H309">
            <v>0</v>
          </cell>
        </row>
        <row r="310">
          <cell r="A310" t="str">
            <v>2102-112</v>
          </cell>
          <cell r="B310" t="str">
            <v>Grupo J.V.</v>
          </cell>
          <cell r="C310" t="str">
            <v xml:space="preserve"> </v>
          </cell>
          <cell r="D310">
            <v>0</v>
          </cell>
          <cell r="E310">
            <v>0</v>
          </cell>
          <cell r="F310">
            <v>0</v>
          </cell>
          <cell r="G310" t="str">
            <v xml:space="preserve"> </v>
          </cell>
          <cell r="H310">
            <v>0</v>
          </cell>
        </row>
        <row r="311">
          <cell r="A311" t="str">
            <v>2102-113</v>
          </cell>
          <cell r="B311" t="str">
            <v>Desponchado Central</v>
          </cell>
          <cell r="C311" t="str">
            <v xml:space="preserve"> </v>
          </cell>
          <cell r="D311">
            <v>0</v>
          </cell>
          <cell r="E311">
            <v>0</v>
          </cell>
          <cell r="F311">
            <v>0</v>
          </cell>
          <cell r="G311" t="str">
            <v xml:space="preserve"> </v>
          </cell>
          <cell r="H311">
            <v>0</v>
          </cell>
        </row>
        <row r="312">
          <cell r="A312" t="str">
            <v>2102-114</v>
          </cell>
          <cell r="B312" t="str">
            <v>Combylub S.A. de C.V.</v>
          </cell>
          <cell r="C312" t="str">
            <v xml:space="preserve"> </v>
          </cell>
          <cell r="D312">
            <v>0</v>
          </cell>
          <cell r="E312">
            <v>0</v>
          </cell>
          <cell r="F312">
            <v>0</v>
          </cell>
          <cell r="G312" t="str">
            <v xml:space="preserve"> </v>
          </cell>
          <cell r="H312">
            <v>0</v>
          </cell>
        </row>
        <row r="313">
          <cell r="A313" t="str">
            <v>2102-115</v>
          </cell>
          <cell r="B313" t="str">
            <v>Electrica Simon</v>
          </cell>
          <cell r="C313" t="str">
            <v xml:space="preserve"> </v>
          </cell>
          <cell r="D313">
            <v>0</v>
          </cell>
          <cell r="E313">
            <v>0</v>
          </cell>
          <cell r="F313">
            <v>0</v>
          </cell>
          <cell r="G313" t="str">
            <v xml:space="preserve"> </v>
          </cell>
          <cell r="H313">
            <v>0</v>
          </cell>
        </row>
        <row r="314">
          <cell r="A314" t="str">
            <v>2102-116</v>
          </cell>
          <cell r="B314" t="str">
            <v>Manufacturas Fehr S.A. de C.V.</v>
          </cell>
          <cell r="C314" t="str">
            <v xml:space="preserve"> </v>
          </cell>
          <cell r="D314">
            <v>0</v>
          </cell>
          <cell r="E314">
            <v>0</v>
          </cell>
          <cell r="F314">
            <v>0</v>
          </cell>
          <cell r="G314" t="str">
            <v xml:space="preserve"> </v>
          </cell>
          <cell r="H314">
            <v>0</v>
          </cell>
        </row>
        <row r="315">
          <cell r="A315" t="str">
            <v>2102-117</v>
          </cell>
          <cell r="B315" t="str">
            <v>Apymsa</v>
          </cell>
          <cell r="C315" t="str">
            <v xml:space="preserve"> </v>
          </cell>
          <cell r="D315">
            <v>0</v>
          </cell>
          <cell r="E315">
            <v>0</v>
          </cell>
          <cell r="F315">
            <v>0</v>
          </cell>
          <cell r="G315" t="str">
            <v xml:space="preserve"> </v>
          </cell>
          <cell r="H315">
            <v>0</v>
          </cell>
        </row>
        <row r="316">
          <cell r="A316" t="str">
            <v>2102-118</v>
          </cell>
          <cell r="B316" t="str">
            <v>Myers</v>
          </cell>
          <cell r="C316" t="str">
            <v xml:space="preserve"> </v>
          </cell>
          <cell r="D316">
            <v>0</v>
          </cell>
          <cell r="E316">
            <v>0</v>
          </cell>
          <cell r="F316">
            <v>0</v>
          </cell>
          <cell r="G316" t="str">
            <v xml:space="preserve"> </v>
          </cell>
          <cell r="H316">
            <v>0</v>
          </cell>
        </row>
        <row r="317">
          <cell r="A317" t="str">
            <v>2102-119</v>
          </cell>
          <cell r="B317" t="str">
            <v>Sigma Fuentes Mares</v>
          </cell>
          <cell r="C317" t="str">
            <v xml:space="preserve"> </v>
          </cell>
          <cell r="D317">
            <v>0</v>
          </cell>
          <cell r="E317">
            <v>0</v>
          </cell>
          <cell r="F317">
            <v>0</v>
          </cell>
          <cell r="G317" t="str">
            <v xml:space="preserve"> </v>
          </cell>
          <cell r="H317">
            <v>0</v>
          </cell>
        </row>
        <row r="318">
          <cell r="A318" t="str">
            <v>2102-120</v>
          </cell>
          <cell r="B318" t="str">
            <v>Lidia Juarez Portillo</v>
          </cell>
          <cell r="C318" t="str">
            <v xml:space="preserve"> </v>
          </cell>
          <cell r="D318">
            <v>0</v>
          </cell>
          <cell r="E318">
            <v>0</v>
          </cell>
          <cell r="F318">
            <v>0</v>
          </cell>
          <cell r="G318" t="str">
            <v xml:space="preserve"> </v>
          </cell>
          <cell r="H318">
            <v>0</v>
          </cell>
        </row>
        <row r="319">
          <cell r="A319" t="str">
            <v>2102-121</v>
          </cell>
          <cell r="B319" t="str">
            <v>Refacciones y Servicios Mecanicos Aga</v>
          </cell>
          <cell r="C319" t="str">
            <v xml:space="preserve"> </v>
          </cell>
          <cell r="D319">
            <v>0</v>
          </cell>
          <cell r="E319">
            <v>0</v>
          </cell>
          <cell r="F319">
            <v>0</v>
          </cell>
          <cell r="G319" t="str">
            <v xml:space="preserve"> </v>
          </cell>
          <cell r="H319">
            <v>0</v>
          </cell>
        </row>
        <row r="320">
          <cell r="A320" t="str">
            <v>2102-122</v>
          </cell>
          <cell r="B320" t="str">
            <v>Gas Mart S.A. de C.V.</v>
          </cell>
          <cell r="C320" t="str">
            <v xml:space="preserve"> </v>
          </cell>
          <cell r="D320">
            <v>0</v>
          </cell>
          <cell r="E320">
            <v>0</v>
          </cell>
          <cell r="F320">
            <v>0</v>
          </cell>
          <cell r="G320" t="str">
            <v xml:space="preserve"> </v>
          </cell>
          <cell r="H320">
            <v>0</v>
          </cell>
        </row>
        <row r="321">
          <cell r="A321" t="str">
            <v>2102-123</v>
          </cell>
          <cell r="B321" t="str">
            <v>Gasolinera Elizabeth S.A. de C.V.</v>
          </cell>
          <cell r="C321" t="str">
            <v xml:space="preserve"> </v>
          </cell>
          <cell r="D321">
            <v>0</v>
          </cell>
          <cell r="E321">
            <v>0</v>
          </cell>
          <cell r="F321">
            <v>0</v>
          </cell>
          <cell r="G321" t="str">
            <v xml:space="preserve"> </v>
          </cell>
          <cell r="H321">
            <v>0</v>
          </cell>
        </row>
        <row r="322">
          <cell r="A322" t="str">
            <v>2102-124</v>
          </cell>
          <cell r="B322" t="str">
            <v>Servicio GF44 S.A. de C.V.</v>
          </cell>
          <cell r="C322" t="str">
            <v xml:space="preserve"> </v>
          </cell>
          <cell r="D322">
            <v>0</v>
          </cell>
          <cell r="E322">
            <v>0</v>
          </cell>
          <cell r="F322">
            <v>0</v>
          </cell>
          <cell r="G322" t="str">
            <v xml:space="preserve"> </v>
          </cell>
          <cell r="H322">
            <v>0</v>
          </cell>
        </row>
        <row r="323">
          <cell r="A323" t="str">
            <v>2102-125</v>
          </cell>
          <cell r="B323" t="str">
            <v>Servicio Guerrero</v>
          </cell>
          <cell r="C323" t="str">
            <v xml:space="preserve"> </v>
          </cell>
          <cell r="D323">
            <v>0</v>
          </cell>
          <cell r="E323">
            <v>0</v>
          </cell>
          <cell r="F323">
            <v>0</v>
          </cell>
          <cell r="G323" t="str">
            <v xml:space="preserve"> </v>
          </cell>
          <cell r="H323">
            <v>0</v>
          </cell>
        </row>
        <row r="324">
          <cell r="A324" t="str">
            <v>2102-126</v>
          </cell>
          <cell r="B324" t="str">
            <v>Centro de Verificacion de Transporte Terrestre</v>
          </cell>
          <cell r="C324" t="str">
            <v xml:space="preserve"> </v>
          </cell>
          <cell r="D324">
            <v>0</v>
          </cell>
          <cell r="E324">
            <v>0</v>
          </cell>
          <cell r="F324">
            <v>0</v>
          </cell>
          <cell r="G324" t="str">
            <v xml:space="preserve"> </v>
          </cell>
          <cell r="H324">
            <v>0</v>
          </cell>
        </row>
        <row r="325">
          <cell r="A325" t="str">
            <v>2102-127</v>
          </cell>
          <cell r="B325" t="str">
            <v>La Joya de los Mariscos</v>
          </cell>
          <cell r="C325" t="str">
            <v xml:space="preserve"> </v>
          </cell>
          <cell r="D325">
            <v>0</v>
          </cell>
          <cell r="E325">
            <v>0</v>
          </cell>
          <cell r="F325">
            <v>0</v>
          </cell>
          <cell r="G325" t="str">
            <v xml:space="preserve"> </v>
          </cell>
          <cell r="H325">
            <v>0</v>
          </cell>
        </row>
        <row r="326">
          <cell r="A326" t="str">
            <v>2102-128</v>
          </cell>
          <cell r="B326" t="str">
            <v>Alineaciones Luevano</v>
          </cell>
          <cell r="C326" t="str">
            <v xml:space="preserve"> </v>
          </cell>
          <cell r="D326">
            <v>0</v>
          </cell>
          <cell r="E326">
            <v>0</v>
          </cell>
          <cell r="F326">
            <v>0</v>
          </cell>
          <cell r="G326" t="str">
            <v xml:space="preserve"> </v>
          </cell>
          <cell r="H326">
            <v>0</v>
          </cell>
        </row>
        <row r="327">
          <cell r="A327" t="str">
            <v>2102-129</v>
          </cell>
          <cell r="B327" t="str">
            <v>Aguila 19</v>
          </cell>
          <cell r="C327" t="str">
            <v xml:space="preserve"> </v>
          </cell>
          <cell r="D327">
            <v>0</v>
          </cell>
          <cell r="E327">
            <v>0</v>
          </cell>
          <cell r="F327">
            <v>0</v>
          </cell>
          <cell r="G327" t="str">
            <v xml:space="preserve"> </v>
          </cell>
          <cell r="H327">
            <v>0</v>
          </cell>
        </row>
        <row r="328">
          <cell r="A328" t="str">
            <v>2102-130</v>
          </cell>
          <cell r="B328" t="str">
            <v>Red Gasolin</v>
          </cell>
          <cell r="C328" t="str">
            <v xml:space="preserve"> </v>
          </cell>
          <cell r="D328">
            <v>0</v>
          </cell>
          <cell r="E328">
            <v>0</v>
          </cell>
          <cell r="F328">
            <v>0</v>
          </cell>
          <cell r="G328" t="str">
            <v xml:space="preserve"> </v>
          </cell>
          <cell r="H328">
            <v>0</v>
          </cell>
        </row>
        <row r="329">
          <cell r="A329" t="str">
            <v>2102-131</v>
          </cell>
          <cell r="B329" t="str">
            <v>Chavez Refaccionaria</v>
          </cell>
          <cell r="C329" t="str">
            <v xml:space="preserve"> </v>
          </cell>
          <cell r="D329">
            <v>0</v>
          </cell>
          <cell r="E329">
            <v>0</v>
          </cell>
          <cell r="F329">
            <v>0</v>
          </cell>
          <cell r="G329" t="str">
            <v xml:space="preserve"> </v>
          </cell>
          <cell r="H329">
            <v>0</v>
          </cell>
        </row>
        <row r="330">
          <cell r="A330" t="str">
            <v>2102-132</v>
          </cell>
          <cell r="B330" t="str">
            <v>Raymundo Corral Montañez</v>
          </cell>
          <cell r="C330" t="str">
            <v xml:space="preserve"> </v>
          </cell>
          <cell r="D330">
            <v>2564.5</v>
          </cell>
          <cell r="E330">
            <v>0</v>
          </cell>
          <cell r="F330">
            <v>0</v>
          </cell>
          <cell r="G330" t="str">
            <v xml:space="preserve"> </v>
          </cell>
          <cell r="H330">
            <v>2564.5</v>
          </cell>
        </row>
        <row r="331">
          <cell r="A331" t="str">
            <v>2102-133</v>
          </cell>
          <cell r="B331" t="str">
            <v>Truck Zone</v>
          </cell>
          <cell r="C331" t="str">
            <v xml:space="preserve"> </v>
          </cell>
          <cell r="D331">
            <v>0</v>
          </cell>
          <cell r="E331">
            <v>0</v>
          </cell>
          <cell r="F331">
            <v>0</v>
          </cell>
          <cell r="G331" t="str">
            <v xml:space="preserve"> </v>
          </cell>
          <cell r="H331">
            <v>0</v>
          </cell>
        </row>
        <row r="332">
          <cell r="A332" t="str">
            <v>2102-134</v>
          </cell>
          <cell r="B332" t="str">
            <v>Servicio La Junta</v>
          </cell>
          <cell r="C332" t="str">
            <v xml:space="preserve"> </v>
          </cell>
          <cell r="D332">
            <v>0</v>
          </cell>
          <cell r="E332">
            <v>0</v>
          </cell>
          <cell r="F332">
            <v>0</v>
          </cell>
          <cell r="G332" t="str">
            <v xml:space="preserve"> </v>
          </cell>
          <cell r="H332">
            <v>0</v>
          </cell>
        </row>
        <row r="333">
          <cell r="A333" t="str">
            <v>2102-135</v>
          </cell>
          <cell r="B333" t="str">
            <v>Gasolinera Servicios Ara Ser S.A de C.V.</v>
          </cell>
          <cell r="C333" t="str">
            <v xml:space="preserve"> </v>
          </cell>
          <cell r="D333">
            <v>0</v>
          </cell>
          <cell r="E333">
            <v>0</v>
          </cell>
          <cell r="F333">
            <v>0</v>
          </cell>
          <cell r="G333" t="str">
            <v xml:space="preserve"> </v>
          </cell>
          <cell r="H333">
            <v>0</v>
          </cell>
        </row>
        <row r="334">
          <cell r="A334" t="str">
            <v>2102-136</v>
          </cell>
          <cell r="B334" t="str">
            <v>Auto Zone de Mexico S. de R.L de C.V.</v>
          </cell>
          <cell r="C334" t="str">
            <v xml:space="preserve"> </v>
          </cell>
          <cell r="D334">
            <v>0</v>
          </cell>
          <cell r="E334">
            <v>0</v>
          </cell>
          <cell r="F334">
            <v>0</v>
          </cell>
          <cell r="G334" t="str">
            <v xml:space="preserve"> </v>
          </cell>
          <cell r="H334">
            <v>0</v>
          </cell>
        </row>
        <row r="335">
          <cell r="A335" t="str">
            <v>2102-137</v>
          </cell>
          <cell r="B335" t="str">
            <v>Rolcar</v>
          </cell>
          <cell r="C335" t="str">
            <v xml:space="preserve"> </v>
          </cell>
          <cell r="D335">
            <v>0</v>
          </cell>
          <cell r="E335">
            <v>0</v>
          </cell>
          <cell r="F335">
            <v>0</v>
          </cell>
          <cell r="G335" t="str">
            <v xml:space="preserve"> </v>
          </cell>
          <cell r="H335">
            <v>0</v>
          </cell>
        </row>
        <row r="336">
          <cell r="A336" t="str">
            <v>2102-138</v>
          </cell>
          <cell r="B336" t="str">
            <v>Birrieria Jaramilla</v>
          </cell>
          <cell r="C336" t="str">
            <v xml:space="preserve"> </v>
          </cell>
          <cell r="D336">
            <v>0</v>
          </cell>
          <cell r="E336">
            <v>0</v>
          </cell>
          <cell r="F336">
            <v>0</v>
          </cell>
          <cell r="G336" t="str">
            <v xml:space="preserve"> </v>
          </cell>
          <cell r="H336">
            <v>0</v>
          </cell>
        </row>
        <row r="337">
          <cell r="A337" t="str">
            <v>2102-139</v>
          </cell>
          <cell r="B337" t="str">
            <v>Productos de Hule Marfil</v>
          </cell>
          <cell r="C337" t="str">
            <v xml:space="preserve"> </v>
          </cell>
          <cell r="D337">
            <v>0</v>
          </cell>
          <cell r="E337">
            <v>0</v>
          </cell>
          <cell r="F337">
            <v>0</v>
          </cell>
          <cell r="G337" t="str">
            <v xml:space="preserve"> </v>
          </cell>
          <cell r="H337">
            <v>0</v>
          </cell>
        </row>
        <row r="338">
          <cell r="A338" t="str">
            <v>2102-140</v>
          </cell>
          <cell r="B338" t="str">
            <v>Distribuidora Agricola del Norte</v>
          </cell>
          <cell r="C338" t="str">
            <v xml:space="preserve"> </v>
          </cell>
          <cell r="D338">
            <v>0</v>
          </cell>
          <cell r="E338">
            <v>0</v>
          </cell>
          <cell r="F338">
            <v>0</v>
          </cell>
          <cell r="G338" t="str">
            <v xml:space="preserve"> </v>
          </cell>
          <cell r="H338">
            <v>0</v>
          </cell>
        </row>
        <row r="339">
          <cell r="A339" t="str">
            <v>2102-141</v>
          </cell>
          <cell r="B339" t="str">
            <v>Marco y Centro Acumuladores</v>
          </cell>
          <cell r="C339" t="str">
            <v xml:space="preserve"> </v>
          </cell>
          <cell r="D339">
            <v>0</v>
          </cell>
          <cell r="E339">
            <v>0</v>
          </cell>
          <cell r="F339">
            <v>0</v>
          </cell>
          <cell r="G339" t="str">
            <v xml:space="preserve"> </v>
          </cell>
          <cell r="H339">
            <v>0</v>
          </cell>
        </row>
        <row r="340">
          <cell r="A340" t="str">
            <v>2102-142</v>
          </cell>
          <cell r="B340" t="str">
            <v>Universal de Plasticos</v>
          </cell>
          <cell r="C340" t="str">
            <v xml:space="preserve"> </v>
          </cell>
          <cell r="D340">
            <v>0</v>
          </cell>
          <cell r="E340">
            <v>0</v>
          </cell>
          <cell r="F340">
            <v>0</v>
          </cell>
          <cell r="G340" t="str">
            <v xml:space="preserve"> </v>
          </cell>
          <cell r="H340">
            <v>0</v>
          </cell>
        </row>
        <row r="341">
          <cell r="A341" t="str">
            <v>2102-143</v>
          </cell>
          <cell r="B341" t="str">
            <v>Car Auto Partes de Colision S.A. de C.V.</v>
          </cell>
          <cell r="C341" t="str">
            <v xml:space="preserve"> </v>
          </cell>
          <cell r="D341">
            <v>0</v>
          </cell>
          <cell r="E341">
            <v>0</v>
          </cell>
          <cell r="F341">
            <v>0</v>
          </cell>
          <cell r="G341" t="str">
            <v xml:space="preserve"> </v>
          </cell>
          <cell r="H341">
            <v>0</v>
          </cell>
        </row>
        <row r="342">
          <cell r="A342" t="str">
            <v>2102-144</v>
          </cell>
          <cell r="B342" t="str">
            <v>Auto Neon Accesorios Automotrices</v>
          </cell>
          <cell r="C342" t="str">
            <v xml:space="preserve"> </v>
          </cell>
          <cell r="D342">
            <v>0</v>
          </cell>
          <cell r="E342">
            <v>0</v>
          </cell>
          <cell r="F342">
            <v>0</v>
          </cell>
          <cell r="G342" t="str">
            <v xml:space="preserve"> </v>
          </cell>
          <cell r="H342">
            <v>0</v>
          </cell>
        </row>
        <row r="343">
          <cell r="A343" t="str">
            <v>2102-145</v>
          </cell>
          <cell r="B343" t="str">
            <v>Servicio Lerdo</v>
          </cell>
          <cell r="C343" t="str">
            <v xml:space="preserve"> </v>
          </cell>
          <cell r="D343">
            <v>0</v>
          </cell>
          <cell r="E343">
            <v>0</v>
          </cell>
          <cell r="F343">
            <v>0</v>
          </cell>
          <cell r="G343" t="str">
            <v xml:space="preserve"> </v>
          </cell>
          <cell r="H343">
            <v>0</v>
          </cell>
        </row>
        <row r="344">
          <cell r="A344" t="str">
            <v>2102-146</v>
          </cell>
          <cell r="B344" t="str">
            <v>Taller Galvez</v>
          </cell>
          <cell r="C344" t="str">
            <v xml:space="preserve"> </v>
          </cell>
          <cell r="D344">
            <v>0</v>
          </cell>
          <cell r="E344">
            <v>0</v>
          </cell>
          <cell r="F344">
            <v>0</v>
          </cell>
          <cell r="G344" t="str">
            <v xml:space="preserve"> </v>
          </cell>
          <cell r="H344">
            <v>0</v>
          </cell>
        </row>
        <row r="345">
          <cell r="A345" t="str">
            <v>2102-147</v>
          </cell>
          <cell r="B345" t="str">
            <v>Oasis</v>
          </cell>
          <cell r="C345" t="str">
            <v xml:space="preserve"> </v>
          </cell>
          <cell r="D345">
            <v>0</v>
          </cell>
          <cell r="E345">
            <v>0</v>
          </cell>
          <cell r="F345">
            <v>0</v>
          </cell>
          <cell r="G345" t="str">
            <v xml:space="preserve"> </v>
          </cell>
          <cell r="H345">
            <v>0</v>
          </cell>
        </row>
        <row r="346">
          <cell r="A346" t="str">
            <v>2102-148</v>
          </cell>
          <cell r="B346" t="str">
            <v>Super Servicio 4 Hermanos</v>
          </cell>
          <cell r="C346" t="str">
            <v xml:space="preserve"> </v>
          </cell>
          <cell r="D346">
            <v>0</v>
          </cell>
          <cell r="E346">
            <v>0</v>
          </cell>
          <cell r="F346">
            <v>0</v>
          </cell>
          <cell r="G346" t="str">
            <v xml:space="preserve"> </v>
          </cell>
          <cell r="H346">
            <v>0</v>
          </cell>
        </row>
        <row r="347">
          <cell r="A347" t="str">
            <v>2102-149</v>
          </cell>
          <cell r="B347" t="str">
            <v>Tornillos Torre Fuerte</v>
          </cell>
          <cell r="C347" t="str">
            <v xml:space="preserve"> </v>
          </cell>
          <cell r="D347">
            <v>0</v>
          </cell>
          <cell r="E347">
            <v>0</v>
          </cell>
          <cell r="F347">
            <v>0</v>
          </cell>
          <cell r="G347" t="str">
            <v xml:space="preserve"> </v>
          </cell>
          <cell r="H347">
            <v>0</v>
          </cell>
        </row>
        <row r="348">
          <cell r="A348" t="str">
            <v>2102-150</v>
          </cell>
          <cell r="B348" t="str">
            <v>Vidrios y Aluminios El Minuto</v>
          </cell>
          <cell r="C348" t="str">
            <v xml:space="preserve"> </v>
          </cell>
          <cell r="D348">
            <v>0</v>
          </cell>
          <cell r="E348">
            <v>0</v>
          </cell>
          <cell r="F348">
            <v>0</v>
          </cell>
          <cell r="G348" t="str">
            <v xml:space="preserve"> </v>
          </cell>
          <cell r="H348">
            <v>0</v>
          </cell>
        </row>
        <row r="349">
          <cell r="A349" t="str">
            <v>2102-151</v>
          </cell>
          <cell r="B349" t="str">
            <v>Refaccionaria Octavio Vazquez</v>
          </cell>
          <cell r="C349" t="str">
            <v xml:space="preserve"> </v>
          </cell>
          <cell r="D349">
            <v>0</v>
          </cell>
          <cell r="E349">
            <v>0</v>
          </cell>
          <cell r="F349">
            <v>0</v>
          </cell>
          <cell r="G349" t="str">
            <v xml:space="preserve"> </v>
          </cell>
          <cell r="H349">
            <v>0</v>
          </cell>
        </row>
        <row r="350">
          <cell r="A350" t="str">
            <v>2102-152</v>
          </cell>
          <cell r="B350" t="str">
            <v>Ferreteria Sur</v>
          </cell>
          <cell r="C350" t="str">
            <v xml:space="preserve"> </v>
          </cell>
          <cell r="D350">
            <v>0</v>
          </cell>
          <cell r="E350">
            <v>0</v>
          </cell>
          <cell r="F350">
            <v>0</v>
          </cell>
          <cell r="G350" t="str">
            <v xml:space="preserve"> </v>
          </cell>
          <cell r="H350">
            <v>0</v>
          </cell>
        </row>
        <row r="351">
          <cell r="A351" t="str">
            <v>2102-153</v>
          </cell>
          <cell r="B351" t="str">
            <v>Optica Record</v>
          </cell>
          <cell r="C351" t="str">
            <v xml:space="preserve"> </v>
          </cell>
          <cell r="D351">
            <v>0</v>
          </cell>
          <cell r="E351">
            <v>0</v>
          </cell>
          <cell r="F351">
            <v>0</v>
          </cell>
          <cell r="G351" t="str">
            <v xml:space="preserve"> </v>
          </cell>
          <cell r="H351">
            <v>0</v>
          </cell>
        </row>
        <row r="352">
          <cell r="A352" t="str">
            <v>2102-154</v>
          </cell>
          <cell r="B352" t="str">
            <v>Dr. Nabor B. Lara Ramos</v>
          </cell>
          <cell r="C352" t="str">
            <v xml:space="preserve"> </v>
          </cell>
          <cell r="D352">
            <v>0</v>
          </cell>
          <cell r="E352">
            <v>0</v>
          </cell>
          <cell r="F352">
            <v>0</v>
          </cell>
          <cell r="G352" t="str">
            <v xml:space="preserve"> </v>
          </cell>
          <cell r="H352">
            <v>0</v>
          </cell>
        </row>
        <row r="353">
          <cell r="A353" t="str">
            <v>2102-155</v>
          </cell>
          <cell r="B353" t="str">
            <v>Estacion de Servicios Feres S.A. de C.V.</v>
          </cell>
          <cell r="C353" t="str">
            <v xml:space="preserve"> </v>
          </cell>
          <cell r="D353">
            <v>0</v>
          </cell>
          <cell r="E353">
            <v>0</v>
          </cell>
          <cell r="F353">
            <v>0</v>
          </cell>
          <cell r="G353" t="str">
            <v xml:space="preserve"> </v>
          </cell>
          <cell r="H353">
            <v>0</v>
          </cell>
        </row>
        <row r="354">
          <cell r="A354" t="str">
            <v>2102-156</v>
          </cell>
          <cell r="B354" t="str">
            <v>Aluminio y Vidrio Corral</v>
          </cell>
          <cell r="C354" t="str">
            <v xml:space="preserve"> </v>
          </cell>
          <cell r="D354">
            <v>0</v>
          </cell>
          <cell r="E354">
            <v>0</v>
          </cell>
          <cell r="F354">
            <v>0</v>
          </cell>
          <cell r="G354" t="str">
            <v xml:space="preserve"> </v>
          </cell>
          <cell r="H354">
            <v>0</v>
          </cell>
        </row>
        <row r="355">
          <cell r="A355" t="str">
            <v>2102-157</v>
          </cell>
          <cell r="B355" t="str">
            <v>Servicio Rodriguez</v>
          </cell>
          <cell r="C355" t="str">
            <v xml:space="preserve"> </v>
          </cell>
          <cell r="D355">
            <v>0</v>
          </cell>
          <cell r="E355">
            <v>0</v>
          </cell>
          <cell r="F355">
            <v>0</v>
          </cell>
          <cell r="G355" t="str">
            <v xml:space="preserve"> </v>
          </cell>
          <cell r="H355">
            <v>0</v>
          </cell>
        </row>
        <row r="356">
          <cell r="A356" t="str">
            <v>2102-158</v>
          </cell>
          <cell r="B356" t="str">
            <v>Refaccionaria Dominguez</v>
          </cell>
          <cell r="C356" t="str">
            <v xml:space="preserve"> </v>
          </cell>
          <cell r="D356">
            <v>0</v>
          </cell>
          <cell r="E356">
            <v>0</v>
          </cell>
          <cell r="F356">
            <v>0</v>
          </cell>
          <cell r="G356" t="str">
            <v xml:space="preserve"> </v>
          </cell>
          <cell r="H356">
            <v>0</v>
          </cell>
        </row>
        <row r="357">
          <cell r="A357" t="str">
            <v>2102-159</v>
          </cell>
          <cell r="B357" t="str">
            <v>Comex</v>
          </cell>
          <cell r="C357" t="str">
            <v xml:space="preserve"> </v>
          </cell>
          <cell r="D357">
            <v>0</v>
          </cell>
          <cell r="E357">
            <v>0</v>
          </cell>
          <cell r="F357">
            <v>0</v>
          </cell>
          <cell r="G357" t="str">
            <v xml:space="preserve"> </v>
          </cell>
          <cell r="H357">
            <v>0</v>
          </cell>
        </row>
        <row r="358">
          <cell r="A358" t="str">
            <v>2102-160</v>
          </cell>
          <cell r="B358" t="str">
            <v>Gasolinera la Joya</v>
          </cell>
          <cell r="C358" t="str">
            <v xml:space="preserve"> </v>
          </cell>
          <cell r="D358">
            <v>0</v>
          </cell>
          <cell r="E358">
            <v>0</v>
          </cell>
          <cell r="F358">
            <v>0</v>
          </cell>
          <cell r="G358" t="str">
            <v xml:space="preserve"> </v>
          </cell>
          <cell r="H358">
            <v>0</v>
          </cell>
        </row>
        <row r="359">
          <cell r="A359" t="str">
            <v>2102-161</v>
          </cell>
          <cell r="B359" t="str">
            <v xml:space="preserve">Combustibles Sur de Chihuahua </v>
          </cell>
          <cell r="C359" t="str">
            <v xml:space="preserve"> </v>
          </cell>
          <cell r="D359">
            <v>0</v>
          </cell>
          <cell r="E359">
            <v>0</v>
          </cell>
          <cell r="F359">
            <v>0</v>
          </cell>
          <cell r="G359" t="str">
            <v xml:space="preserve"> </v>
          </cell>
          <cell r="H359">
            <v>0</v>
          </cell>
        </row>
        <row r="360">
          <cell r="A360" t="str">
            <v>2102-162</v>
          </cell>
          <cell r="B360" t="str">
            <v xml:space="preserve">Saza Yapor </v>
          </cell>
          <cell r="C360" t="str">
            <v xml:space="preserve"> </v>
          </cell>
          <cell r="D360">
            <v>0</v>
          </cell>
          <cell r="E360">
            <v>0</v>
          </cell>
          <cell r="F360">
            <v>0</v>
          </cell>
          <cell r="G360" t="str">
            <v xml:space="preserve"> </v>
          </cell>
          <cell r="H360">
            <v>0</v>
          </cell>
        </row>
        <row r="361">
          <cell r="A361" t="str">
            <v>2102-163</v>
          </cell>
          <cell r="B361" t="str">
            <v>Ferreteria Portillo</v>
          </cell>
          <cell r="C361" t="str">
            <v xml:space="preserve"> </v>
          </cell>
          <cell r="D361">
            <v>0</v>
          </cell>
          <cell r="E361">
            <v>0</v>
          </cell>
          <cell r="F361">
            <v>0</v>
          </cell>
          <cell r="G361" t="str">
            <v xml:space="preserve"> </v>
          </cell>
          <cell r="H361">
            <v>0</v>
          </cell>
        </row>
        <row r="362">
          <cell r="A362" t="str">
            <v>2102-164</v>
          </cell>
          <cell r="B362" t="str">
            <v>Derecho de Uso de Carreteras de Cuota</v>
          </cell>
          <cell r="C362" t="str">
            <v xml:space="preserve"> </v>
          </cell>
          <cell r="D362">
            <v>0</v>
          </cell>
          <cell r="E362">
            <v>0</v>
          </cell>
          <cell r="F362">
            <v>0</v>
          </cell>
          <cell r="G362" t="str">
            <v xml:space="preserve"> </v>
          </cell>
          <cell r="H362">
            <v>0</v>
          </cell>
        </row>
        <row r="363">
          <cell r="A363" t="str">
            <v>2102-165</v>
          </cell>
          <cell r="B363" t="str">
            <v>Servicio Satevo</v>
          </cell>
          <cell r="C363" t="str">
            <v xml:space="preserve"> </v>
          </cell>
          <cell r="D363">
            <v>0</v>
          </cell>
          <cell r="E363">
            <v>0</v>
          </cell>
          <cell r="F363">
            <v>0</v>
          </cell>
          <cell r="G363" t="str">
            <v xml:space="preserve"> </v>
          </cell>
          <cell r="H363">
            <v>0</v>
          </cell>
        </row>
        <row r="364">
          <cell r="A364" t="str">
            <v>2102-166</v>
          </cell>
          <cell r="B364" t="str">
            <v>Ferreterama del Sur</v>
          </cell>
          <cell r="C364" t="str">
            <v xml:space="preserve"> </v>
          </cell>
          <cell r="D364">
            <v>0</v>
          </cell>
          <cell r="E364">
            <v>0</v>
          </cell>
          <cell r="F364">
            <v>0</v>
          </cell>
          <cell r="G364" t="str">
            <v xml:space="preserve"> </v>
          </cell>
          <cell r="H364">
            <v>0</v>
          </cell>
        </row>
        <row r="365">
          <cell r="A365" t="str">
            <v>2102-167</v>
          </cell>
          <cell r="B365" t="str">
            <v>Torres Caballero S.A DE C.V.</v>
          </cell>
          <cell r="C365" t="str">
            <v xml:space="preserve"> </v>
          </cell>
          <cell r="D365">
            <v>0</v>
          </cell>
          <cell r="E365">
            <v>0</v>
          </cell>
          <cell r="F365">
            <v>0</v>
          </cell>
          <cell r="G365" t="str">
            <v xml:space="preserve"> </v>
          </cell>
          <cell r="H365">
            <v>0</v>
          </cell>
        </row>
        <row r="366">
          <cell r="A366" t="str">
            <v>2102-168</v>
          </cell>
          <cell r="B366" t="str">
            <v>Seguro de Vida</v>
          </cell>
          <cell r="C366" t="str">
            <v xml:space="preserve"> </v>
          </cell>
          <cell r="D366">
            <v>0</v>
          </cell>
          <cell r="E366">
            <v>0</v>
          </cell>
          <cell r="F366">
            <v>0</v>
          </cell>
          <cell r="G366" t="str">
            <v xml:space="preserve"> </v>
          </cell>
          <cell r="H366">
            <v>0</v>
          </cell>
        </row>
        <row r="367">
          <cell r="A367" t="str">
            <v>2102-169</v>
          </cell>
          <cell r="B367" t="str">
            <v>Gasolineras Eliezer</v>
          </cell>
          <cell r="C367" t="str">
            <v xml:space="preserve"> </v>
          </cell>
          <cell r="D367">
            <v>0</v>
          </cell>
          <cell r="E367">
            <v>0</v>
          </cell>
          <cell r="F367">
            <v>0</v>
          </cell>
          <cell r="G367" t="str">
            <v xml:space="preserve"> </v>
          </cell>
          <cell r="H367">
            <v>0</v>
          </cell>
        </row>
        <row r="368">
          <cell r="A368" t="str">
            <v>2102-170</v>
          </cell>
          <cell r="B368" t="str">
            <v>Marybel Mendoza Gutierrez</v>
          </cell>
          <cell r="C368" t="str">
            <v xml:space="preserve"> </v>
          </cell>
          <cell r="D368">
            <v>0</v>
          </cell>
          <cell r="E368">
            <v>0</v>
          </cell>
          <cell r="F368">
            <v>0</v>
          </cell>
          <cell r="G368" t="str">
            <v xml:space="preserve"> </v>
          </cell>
          <cell r="H368">
            <v>0</v>
          </cell>
        </row>
        <row r="369">
          <cell r="A369" t="str">
            <v>2102-171</v>
          </cell>
          <cell r="B369" t="str">
            <v>Hotel Avenida Rosa Isela Cordero Perez</v>
          </cell>
          <cell r="C369" t="str">
            <v xml:space="preserve"> </v>
          </cell>
          <cell r="D369">
            <v>0</v>
          </cell>
          <cell r="E369">
            <v>0</v>
          </cell>
          <cell r="F369">
            <v>0</v>
          </cell>
          <cell r="G369" t="str">
            <v xml:space="preserve"> </v>
          </cell>
          <cell r="H369">
            <v>0</v>
          </cell>
        </row>
        <row r="370">
          <cell r="A370" t="str">
            <v>2102-172</v>
          </cell>
          <cell r="B370" t="str">
            <v>Sueldos por Pagar</v>
          </cell>
          <cell r="C370" t="str">
            <v xml:space="preserve"> </v>
          </cell>
          <cell r="D370">
            <v>23269.72</v>
          </cell>
          <cell r="E370">
            <v>18887.48</v>
          </cell>
          <cell r="F370">
            <v>8766</v>
          </cell>
          <cell r="G370" t="str">
            <v xml:space="preserve"> </v>
          </cell>
          <cell r="H370">
            <v>13148.24</v>
          </cell>
        </row>
        <row r="371">
          <cell r="A371" t="str">
            <v>2102-173</v>
          </cell>
          <cell r="B371" t="str">
            <v>Claudia Angelica Rodriguez Montes</v>
          </cell>
          <cell r="C371" t="str">
            <v xml:space="preserve"> </v>
          </cell>
          <cell r="D371">
            <v>0</v>
          </cell>
          <cell r="E371">
            <v>0</v>
          </cell>
          <cell r="F371">
            <v>0</v>
          </cell>
          <cell r="G371" t="str">
            <v xml:space="preserve"> </v>
          </cell>
          <cell r="H371">
            <v>0</v>
          </cell>
        </row>
        <row r="372">
          <cell r="A372" t="str">
            <v>2102-174</v>
          </cell>
          <cell r="B372" t="str">
            <v>Banco Santander SA</v>
          </cell>
          <cell r="C372" t="str">
            <v xml:space="preserve"> </v>
          </cell>
          <cell r="D372">
            <v>0</v>
          </cell>
          <cell r="E372">
            <v>0</v>
          </cell>
          <cell r="F372">
            <v>0</v>
          </cell>
          <cell r="G372" t="str">
            <v xml:space="preserve"> </v>
          </cell>
          <cell r="H372">
            <v>0</v>
          </cell>
        </row>
        <row r="373">
          <cell r="A373" t="str">
            <v>2102-175</v>
          </cell>
          <cell r="B373" t="str">
            <v>Laura Guadalupe Castillo Fernandez</v>
          </cell>
          <cell r="C373" t="str">
            <v xml:space="preserve"> </v>
          </cell>
          <cell r="D373">
            <v>0</v>
          </cell>
          <cell r="E373">
            <v>0</v>
          </cell>
          <cell r="F373">
            <v>0</v>
          </cell>
          <cell r="G373" t="str">
            <v xml:space="preserve"> </v>
          </cell>
          <cell r="H373">
            <v>0</v>
          </cell>
        </row>
        <row r="374">
          <cell r="A374" t="str">
            <v>2102-176</v>
          </cell>
          <cell r="B374" t="str">
            <v>Ramon Fernando Fernandez Lara</v>
          </cell>
          <cell r="C374" t="str">
            <v xml:space="preserve"> </v>
          </cell>
          <cell r="D374">
            <v>10510</v>
          </cell>
          <cell r="E374">
            <v>10510</v>
          </cell>
          <cell r="F374">
            <v>0</v>
          </cell>
          <cell r="G374" t="str">
            <v xml:space="preserve"> </v>
          </cell>
          <cell r="H374">
            <v>0</v>
          </cell>
        </row>
        <row r="375">
          <cell r="A375" t="str">
            <v>2102-177</v>
          </cell>
          <cell r="B375" t="str">
            <v>Veronica Prieto Medrano</v>
          </cell>
          <cell r="C375" t="str">
            <v xml:space="preserve"> </v>
          </cell>
          <cell r="D375">
            <v>702.75</v>
          </cell>
          <cell r="E375">
            <v>702.75</v>
          </cell>
          <cell r="F375">
            <v>0</v>
          </cell>
          <cell r="G375" t="str">
            <v xml:space="preserve"> </v>
          </cell>
          <cell r="H375">
            <v>0</v>
          </cell>
        </row>
        <row r="376">
          <cell r="A376" t="str">
            <v>2103-000</v>
          </cell>
          <cell r="B376" t="str">
            <v>IMPUESTOS POR PAGAR</v>
          </cell>
          <cell r="C376" t="str">
            <v xml:space="preserve"> </v>
          </cell>
          <cell r="D376">
            <v>10432.120000000001</v>
          </cell>
          <cell r="E376">
            <v>214.65</v>
          </cell>
          <cell r="F376">
            <v>2656.49</v>
          </cell>
          <cell r="G376" t="str">
            <v xml:space="preserve"> </v>
          </cell>
          <cell r="H376">
            <v>12873.96</v>
          </cell>
        </row>
        <row r="377">
          <cell r="A377" t="str">
            <v>2103-001</v>
          </cell>
          <cell r="B377" t="str">
            <v>Retencion 2/3 de IVA</v>
          </cell>
          <cell r="C377" t="str">
            <v xml:space="preserve"> </v>
          </cell>
          <cell r="D377">
            <v>4500</v>
          </cell>
          <cell r="E377">
            <v>0</v>
          </cell>
          <cell r="F377">
            <v>0</v>
          </cell>
          <cell r="G377" t="str">
            <v xml:space="preserve"> </v>
          </cell>
          <cell r="H377">
            <v>4500</v>
          </cell>
        </row>
        <row r="378">
          <cell r="A378" t="str">
            <v>2103-002</v>
          </cell>
          <cell r="B378" t="str">
            <v>Retencion 10% de ISR</v>
          </cell>
          <cell r="C378" t="str">
            <v xml:space="preserve"> </v>
          </cell>
          <cell r="D378">
            <v>4500</v>
          </cell>
          <cell r="E378">
            <v>0</v>
          </cell>
          <cell r="F378">
            <v>0</v>
          </cell>
          <cell r="G378" t="str">
            <v xml:space="preserve"> </v>
          </cell>
          <cell r="H378">
            <v>4500</v>
          </cell>
        </row>
        <row r="379">
          <cell r="A379" t="str">
            <v>2103-003</v>
          </cell>
          <cell r="B379" t="str">
            <v>Retencion 4% Fletes</v>
          </cell>
          <cell r="C379" t="str">
            <v xml:space="preserve"> </v>
          </cell>
          <cell r="D379">
            <v>1259.1600000000001</v>
          </cell>
          <cell r="E379">
            <v>0</v>
          </cell>
          <cell r="F379">
            <v>0</v>
          </cell>
          <cell r="G379" t="str">
            <v xml:space="preserve"> </v>
          </cell>
          <cell r="H379">
            <v>1259.1600000000001</v>
          </cell>
        </row>
        <row r="380">
          <cell r="A380" t="str">
            <v>2103-004</v>
          </cell>
          <cell r="B380" t="str">
            <v>IMSS</v>
          </cell>
          <cell r="C380" t="str">
            <v xml:space="preserve"> </v>
          </cell>
          <cell r="D380">
            <v>172.96</v>
          </cell>
          <cell r="E380">
            <v>214.65</v>
          </cell>
          <cell r="F380">
            <v>128.16999999999999</v>
          </cell>
          <cell r="G380" t="str">
            <v xml:space="preserve"> </v>
          </cell>
          <cell r="H380">
            <v>86.48</v>
          </cell>
        </row>
        <row r="381">
          <cell r="A381" t="str">
            <v>2103-005</v>
          </cell>
          <cell r="B381" t="str">
            <v>Provision de IMSS</v>
          </cell>
          <cell r="C381" t="str">
            <v xml:space="preserve"> </v>
          </cell>
          <cell r="D381">
            <v>0</v>
          </cell>
          <cell r="E381">
            <v>0</v>
          </cell>
          <cell r="F381">
            <v>2258.79</v>
          </cell>
          <cell r="G381" t="str">
            <v xml:space="preserve"> </v>
          </cell>
          <cell r="H381">
            <v>2258.79</v>
          </cell>
        </row>
        <row r="382">
          <cell r="A382" t="str">
            <v>2103-006</v>
          </cell>
          <cell r="B382" t="str">
            <v>ISN por Pagar</v>
          </cell>
          <cell r="C382" t="str">
            <v xml:space="preserve"> </v>
          </cell>
          <cell r="D382">
            <v>0</v>
          </cell>
          <cell r="E382">
            <v>0</v>
          </cell>
          <cell r="F382">
            <v>269.52999999999997</v>
          </cell>
          <cell r="G382" t="str">
            <v xml:space="preserve"> </v>
          </cell>
          <cell r="H382">
            <v>269.52999999999997</v>
          </cell>
        </row>
        <row r="383">
          <cell r="A383" t="str">
            <v>2104-000</v>
          </cell>
          <cell r="B383" t="str">
            <v>IVA CAUSADO</v>
          </cell>
          <cell r="C383" t="str">
            <v xml:space="preserve"> </v>
          </cell>
          <cell r="D383">
            <v>0</v>
          </cell>
          <cell r="E383">
            <v>0</v>
          </cell>
          <cell r="F383">
            <v>0</v>
          </cell>
          <cell r="G383" t="str">
            <v xml:space="preserve"> </v>
          </cell>
          <cell r="H383">
            <v>0</v>
          </cell>
        </row>
        <row r="384">
          <cell r="A384" t="str">
            <v>2104-001</v>
          </cell>
          <cell r="B384" t="str">
            <v>Iva Causado Efectivamente Cobrado</v>
          </cell>
          <cell r="C384" t="str">
            <v xml:space="preserve"> </v>
          </cell>
          <cell r="D384">
            <v>0</v>
          </cell>
          <cell r="E384">
            <v>0</v>
          </cell>
          <cell r="F384">
            <v>0</v>
          </cell>
          <cell r="G384" t="str">
            <v xml:space="preserve"> </v>
          </cell>
          <cell r="H384">
            <v>0</v>
          </cell>
        </row>
        <row r="385">
          <cell r="A385" t="str">
            <v>2104-002</v>
          </cell>
          <cell r="B385" t="str">
            <v>Iva Causado Pendiente de Cobro</v>
          </cell>
          <cell r="C385" t="str">
            <v xml:space="preserve"> </v>
          </cell>
          <cell r="D385">
            <v>0</v>
          </cell>
          <cell r="E385">
            <v>0</v>
          </cell>
          <cell r="F385">
            <v>0</v>
          </cell>
          <cell r="G385" t="str">
            <v xml:space="preserve"> </v>
          </cell>
          <cell r="H385">
            <v>0</v>
          </cell>
        </row>
        <row r="386">
          <cell r="A386" t="str">
            <v>2105-000</v>
          </cell>
          <cell r="B386" t="str">
            <v>ANTICIPO DE CLIENTES</v>
          </cell>
          <cell r="C386" t="str">
            <v xml:space="preserve"> </v>
          </cell>
          <cell r="D386">
            <v>150000</v>
          </cell>
          <cell r="E386">
            <v>442050</v>
          </cell>
          <cell r="F386">
            <v>292050</v>
          </cell>
          <cell r="G386" t="str">
            <v xml:space="preserve"> </v>
          </cell>
          <cell r="H386">
            <v>0</v>
          </cell>
        </row>
        <row r="387">
          <cell r="A387" t="str">
            <v>2105-001</v>
          </cell>
          <cell r="B387" t="str">
            <v>Gonzalo Gallegos Montes</v>
          </cell>
          <cell r="C387" t="str">
            <v xml:space="preserve"> </v>
          </cell>
          <cell r="D387">
            <v>150000</v>
          </cell>
          <cell r="E387">
            <v>150000</v>
          </cell>
          <cell r="F387">
            <v>0</v>
          </cell>
          <cell r="G387" t="str">
            <v xml:space="preserve"> </v>
          </cell>
          <cell r="H387">
            <v>0</v>
          </cell>
        </row>
        <row r="388">
          <cell r="A388" t="str">
            <v>2105-002</v>
          </cell>
          <cell r="B388" t="str">
            <v>Consorcio Abarrotero Mexicano SA DE CV</v>
          </cell>
          <cell r="C388" t="str">
            <v xml:space="preserve"> </v>
          </cell>
          <cell r="D388">
            <v>0</v>
          </cell>
          <cell r="E388">
            <v>0</v>
          </cell>
          <cell r="F388">
            <v>0</v>
          </cell>
          <cell r="G388" t="str">
            <v xml:space="preserve"> </v>
          </cell>
          <cell r="H388">
            <v>0</v>
          </cell>
        </row>
        <row r="389">
          <cell r="A389" t="str">
            <v>2105-003</v>
          </cell>
          <cell r="B389" t="str">
            <v>Amaya Comercial SA DE CV</v>
          </cell>
          <cell r="C389" t="str">
            <v xml:space="preserve"> </v>
          </cell>
          <cell r="D389">
            <v>0</v>
          </cell>
          <cell r="E389">
            <v>0</v>
          </cell>
          <cell r="F389">
            <v>0</v>
          </cell>
          <cell r="G389" t="str">
            <v xml:space="preserve"> </v>
          </cell>
          <cell r="H389">
            <v>0</v>
          </cell>
        </row>
        <row r="390">
          <cell r="A390" t="str">
            <v>2105-004</v>
          </cell>
          <cell r="B390" t="str">
            <v>Grupo Ozuna SA DE CV</v>
          </cell>
          <cell r="C390" t="str">
            <v xml:space="preserve"> </v>
          </cell>
          <cell r="D390">
            <v>0</v>
          </cell>
          <cell r="E390">
            <v>0</v>
          </cell>
          <cell r="F390">
            <v>0</v>
          </cell>
          <cell r="G390" t="str">
            <v xml:space="preserve"> </v>
          </cell>
          <cell r="H390">
            <v>0</v>
          </cell>
        </row>
        <row r="391">
          <cell r="A391" t="str">
            <v>2105-005</v>
          </cell>
          <cell r="B391" t="str">
            <v>Noel Rodriguez Fernandez</v>
          </cell>
          <cell r="C391" t="str">
            <v xml:space="preserve"> </v>
          </cell>
          <cell r="D391">
            <v>0</v>
          </cell>
          <cell r="E391">
            <v>0</v>
          </cell>
          <cell r="F391">
            <v>0</v>
          </cell>
          <cell r="G391" t="str">
            <v xml:space="preserve"> </v>
          </cell>
          <cell r="H391">
            <v>0</v>
          </cell>
        </row>
        <row r="392">
          <cell r="A392" t="str">
            <v>2105-006</v>
          </cell>
          <cell r="B392" t="str">
            <v>Distribuidora de Granos y Semillas Baca SA DE CV</v>
          </cell>
          <cell r="C392" t="str">
            <v xml:space="preserve"> </v>
          </cell>
          <cell r="D392">
            <v>0</v>
          </cell>
          <cell r="E392">
            <v>292050</v>
          </cell>
          <cell r="F392">
            <v>292050</v>
          </cell>
          <cell r="G392" t="str">
            <v xml:space="preserve"> </v>
          </cell>
          <cell r="H392">
            <v>0</v>
          </cell>
        </row>
        <row r="393">
          <cell r="A393" t="str">
            <v>2105-007</v>
          </cell>
          <cell r="B393" t="str">
            <v>Adrian Alberto Gaxilola Rosas</v>
          </cell>
          <cell r="C393" t="str">
            <v xml:space="preserve"> </v>
          </cell>
          <cell r="D393">
            <v>0</v>
          </cell>
          <cell r="E393">
            <v>0</v>
          </cell>
          <cell r="F393">
            <v>0</v>
          </cell>
          <cell r="G393" t="str">
            <v xml:space="preserve"> </v>
          </cell>
          <cell r="H393">
            <v>0</v>
          </cell>
        </row>
        <row r="394">
          <cell r="A394" t="str">
            <v>3000-000</v>
          </cell>
          <cell r="B394" t="str">
            <v>CAPITAL CONTABLE</v>
          </cell>
          <cell r="C394" t="str">
            <v xml:space="preserve"> </v>
          </cell>
          <cell r="D394">
            <v>275484.75</v>
          </cell>
          <cell r="E394">
            <v>0</v>
          </cell>
          <cell r="F394">
            <v>0</v>
          </cell>
          <cell r="G394" t="str">
            <v xml:space="preserve"> </v>
          </cell>
          <cell r="H394">
            <v>275484.75</v>
          </cell>
        </row>
        <row r="395">
          <cell r="A395" t="str">
            <v>3100-000</v>
          </cell>
          <cell r="B395" t="str">
            <v>CAPITAL SOCIAL</v>
          </cell>
          <cell r="C395" t="str">
            <v xml:space="preserve"> </v>
          </cell>
          <cell r="D395">
            <v>275484.75</v>
          </cell>
          <cell r="E395">
            <v>0</v>
          </cell>
          <cell r="F395">
            <v>0</v>
          </cell>
          <cell r="G395" t="str">
            <v xml:space="preserve"> </v>
          </cell>
          <cell r="H395">
            <v>275484.75</v>
          </cell>
        </row>
        <row r="396">
          <cell r="A396" t="str">
            <v>4000-000</v>
          </cell>
          <cell r="B396" t="str">
            <v>INGRESOS</v>
          </cell>
          <cell r="C396" t="str">
            <v xml:space="preserve"> </v>
          </cell>
          <cell r="D396">
            <v>10746437.720000001</v>
          </cell>
          <cell r="E396">
            <v>0</v>
          </cell>
          <cell r="F396">
            <v>515751.25</v>
          </cell>
          <cell r="G396" t="str">
            <v xml:space="preserve"> </v>
          </cell>
          <cell r="H396">
            <v>11262188.970000001</v>
          </cell>
        </row>
        <row r="397">
          <cell r="A397" t="str">
            <v>4100-000</v>
          </cell>
          <cell r="B397" t="str">
            <v>VENTAS</v>
          </cell>
          <cell r="C397" t="str">
            <v xml:space="preserve"> </v>
          </cell>
          <cell r="D397">
            <v>10722748</v>
          </cell>
          <cell r="E397">
            <v>0</v>
          </cell>
          <cell r="F397">
            <v>515750</v>
          </cell>
          <cell r="G397" t="str">
            <v xml:space="preserve"> </v>
          </cell>
          <cell r="H397">
            <v>11238498</v>
          </cell>
        </row>
        <row r="398">
          <cell r="A398" t="str">
            <v>4100-001</v>
          </cell>
          <cell r="B398" t="str">
            <v>Venta de Frijol</v>
          </cell>
          <cell r="C398" t="str">
            <v xml:space="preserve"> </v>
          </cell>
          <cell r="D398">
            <v>9405533</v>
          </cell>
          <cell r="E398">
            <v>0</v>
          </cell>
          <cell r="F398">
            <v>515750</v>
          </cell>
          <cell r="G398" t="str">
            <v xml:space="preserve"> </v>
          </cell>
          <cell r="H398">
            <v>9921283</v>
          </cell>
        </row>
        <row r="399">
          <cell r="A399" t="str">
            <v>4100-002</v>
          </cell>
          <cell r="B399" t="str">
            <v>Venta de Maiz</v>
          </cell>
          <cell r="C399" t="str">
            <v xml:space="preserve"> </v>
          </cell>
          <cell r="D399">
            <v>1317215</v>
          </cell>
          <cell r="E399">
            <v>0</v>
          </cell>
          <cell r="F399">
            <v>0</v>
          </cell>
          <cell r="G399" t="str">
            <v xml:space="preserve"> </v>
          </cell>
          <cell r="H399">
            <v>1317215</v>
          </cell>
        </row>
        <row r="400">
          <cell r="A400" t="str">
            <v>4200-000</v>
          </cell>
          <cell r="B400" t="str">
            <v>PRODUCTOS FINANCIEROS</v>
          </cell>
          <cell r="C400" t="str">
            <v xml:space="preserve"> </v>
          </cell>
          <cell r="D400">
            <v>0</v>
          </cell>
          <cell r="E400">
            <v>0</v>
          </cell>
          <cell r="F400">
            <v>0</v>
          </cell>
          <cell r="G400" t="str">
            <v xml:space="preserve"> </v>
          </cell>
          <cell r="H400">
            <v>0</v>
          </cell>
        </row>
        <row r="401">
          <cell r="A401" t="str">
            <v>4200-001</v>
          </cell>
          <cell r="B401" t="str">
            <v>Intereses a favor</v>
          </cell>
          <cell r="C401" t="str">
            <v xml:space="preserve"> </v>
          </cell>
          <cell r="D401">
            <v>0</v>
          </cell>
          <cell r="E401">
            <v>0</v>
          </cell>
          <cell r="F401">
            <v>0</v>
          </cell>
          <cell r="G401" t="str">
            <v xml:space="preserve"> </v>
          </cell>
          <cell r="H401">
            <v>0</v>
          </cell>
        </row>
        <row r="402">
          <cell r="A402" t="str">
            <v>4300-000</v>
          </cell>
          <cell r="B402" t="str">
            <v>OTROS PRODUCTOS</v>
          </cell>
          <cell r="C402" t="str">
            <v xml:space="preserve"> </v>
          </cell>
          <cell r="D402">
            <v>3.72</v>
          </cell>
          <cell r="E402">
            <v>0</v>
          </cell>
          <cell r="F402">
            <v>1.25</v>
          </cell>
          <cell r="G402" t="str">
            <v xml:space="preserve"> </v>
          </cell>
          <cell r="H402">
            <v>4.97</v>
          </cell>
        </row>
        <row r="403">
          <cell r="A403" t="str">
            <v>4300-001</v>
          </cell>
          <cell r="B403" t="str">
            <v>Ganancia por redondeo</v>
          </cell>
          <cell r="C403" t="str">
            <v xml:space="preserve"> </v>
          </cell>
          <cell r="D403">
            <v>3.72</v>
          </cell>
          <cell r="E403">
            <v>0</v>
          </cell>
          <cell r="F403">
            <v>1.25</v>
          </cell>
          <cell r="G403" t="str">
            <v xml:space="preserve"> </v>
          </cell>
          <cell r="H403">
            <v>4.97</v>
          </cell>
        </row>
        <row r="404">
          <cell r="A404" t="str">
            <v>4300-002</v>
          </cell>
          <cell r="B404" t="str">
            <v>Ganancia Cambiaria</v>
          </cell>
          <cell r="C404" t="str">
            <v xml:space="preserve"> </v>
          </cell>
          <cell r="D404">
            <v>0</v>
          </cell>
          <cell r="E404">
            <v>0</v>
          </cell>
          <cell r="F404">
            <v>0</v>
          </cell>
          <cell r="G404" t="str">
            <v xml:space="preserve"> </v>
          </cell>
          <cell r="H404">
            <v>0</v>
          </cell>
        </row>
        <row r="405">
          <cell r="A405" t="str">
            <v>4300-003</v>
          </cell>
          <cell r="B405" t="str">
            <v>Diversos</v>
          </cell>
          <cell r="C405" t="str">
            <v xml:space="preserve"> </v>
          </cell>
          <cell r="D405">
            <v>0</v>
          </cell>
          <cell r="E405">
            <v>0</v>
          </cell>
          <cell r="F405">
            <v>0</v>
          </cell>
          <cell r="G405" t="str">
            <v xml:space="preserve"> </v>
          </cell>
          <cell r="H405">
            <v>0</v>
          </cell>
        </row>
        <row r="406">
          <cell r="A406" t="str">
            <v>4400-000</v>
          </cell>
          <cell r="B406" t="str">
            <v>OTROS INGRESOS</v>
          </cell>
          <cell r="C406" t="str">
            <v xml:space="preserve"> </v>
          </cell>
          <cell r="D406">
            <v>23686</v>
          </cell>
          <cell r="E406">
            <v>0</v>
          </cell>
          <cell r="F406">
            <v>0</v>
          </cell>
          <cell r="G406" t="str">
            <v xml:space="preserve"> </v>
          </cell>
          <cell r="H406">
            <v>23686</v>
          </cell>
        </row>
        <row r="407">
          <cell r="A407" t="str">
            <v>4500-000</v>
          </cell>
          <cell r="B407" t="str">
            <v>DESCTOS S/COMPRAS</v>
          </cell>
          <cell r="C407" t="str">
            <v xml:space="preserve"> </v>
          </cell>
          <cell r="D407">
            <v>0</v>
          </cell>
          <cell r="E407">
            <v>0</v>
          </cell>
          <cell r="F407">
            <v>0</v>
          </cell>
          <cell r="G407" t="str">
            <v xml:space="preserve"> </v>
          </cell>
          <cell r="H407">
            <v>0</v>
          </cell>
        </row>
        <row r="408">
          <cell r="A408" t="str">
            <v>5000-000</v>
          </cell>
          <cell r="B408" t="str">
            <v>EGRESOS</v>
          </cell>
          <cell r="C408">
            <v>12907954.800000001</v>
          </cell>
          <cell r="D408" t="str">
            <v xml:space="preserve"> </v>
          </cell>
          <cell r="E408">
            <v>468055.44</v>
          </cell>
          <cell r="F408">
            <v>0</v>
          </cell>
          <cell r="G408">
            <v>13376010.24</v>
          </cell>
          <cell r="H408" t="str">
            <v xml:space="preserve"> </v>
          </cell>
        </row>
        <row r="409">
          <cell r="A409" t="str">
            <v>5100-000</v>
          </cell>
          <cell r="B409" t="str">
            <v>COMPRAS</v>
          </cell>
          <cell r="C409">
            <v>12598761.880000001</v>
          </cell>
          <cell r="D409" t="str">
            <v xml:space="preserve"> </v>
          </cell>
          <cell r="E409">
            <v>441202.8</v>
          </cell>
          <cell r="F409">
            <v>0</v>
          </cell>
          <cell r="G409">
            <v>13039964.68</v>
          </cell>
          <cell r="H409" t="str">
            <v xml:space="preserve"> </v>
          </cell>
        </row>
        <row r="410">
          <cell r="A410" t="str">
            <v>5100-001</v>
          </cell>
          <cell r="B410" t="str">
            <v>Compra de Maiz</v>
          </cell>
          <cell r="C410">
            <v>1048893.6000000001</v>
          </cell>
          <cell r="D410" t="str">
            <v xml:space="preserve"> </v>
          </cell>
          <cell r="E410">
            <v>441202.8</v>
          </cell>
          <cell r="F410">
            <v>0</v>
          </cell>
          <cell r="G410">
            <v>1490096.4</v>
          </cell>
          <cell r="H410" t="str">
            <v xml:space="preserve"> </v>
          </cell>
        </row>
        <row r="411">
          <cell r="A411" t="str">
            <v>5100-002</v>
          </cell>
          <cell r="B411" t="str">
            <v>Compra de Frijol</v>
          </cell>
          <cell r="C411">
            <v>11522868.279999999</v>
          </cell>
          <cell r="D411" t="str">
            <v xml:space="preserve"> </v>
          </cell>
          <cell r="E411">
            <v>0</v>
          </cell>
          <cell r="F411">
            <v>0</v>
          </cell>
          <cell r="G411">
            <v>11522868.279999999</v>
          </cell>
          <cell r="H411" t="str">
            <v xml:space="preserve"> </v>
          </cell>
        </row>
        <row r="412">
          <cell r="A412" t="str">
            <v>5100-003</v>
          </cell>
          <cell r="B412" t="str">
            <v>Compra de Garbanzo</v>
          </cell>
          <cell r="C412">
            <v>27000</v>
          </cell>
          <cell r="D412" t="str">
            <v xml:space="preserve"> </v>
          </cell>
          <cell r="E412">
            <v>0</v>
          </cell>
          <cell r="F412">
            <v>0</v>
          </cell>
          <cell r="G412">
            <v>27000</v>
          </cell>
          <cell r="H412" t="str">
            <v xml:space="preserve"> </v>
          </cell>
        </row>
        <row r="413">
          <cell r="A413" t="str">
            <v>5200-000</v>
          </cell>
          <cell r="B413" t="str">
            <v>GASTOS GENERALES</v>
          </cell>
          <cell r="C413">
            <v>275945.27</v>
          </cell>
          <cell r="D413" t="str">
            <v xml:space="preserve"> </v>
          </cell>
          <cell r="E413">
            <v>23876.799999999999</v>
          </cell>
          <cell r="F413">
            <v>0</v>
          </cell>
          <cell r="G413">
            <v>299822.07</v>
          </cell>
          <cell r="H413" t="str">
            <v xml:space="preserve"> </v>
          </cell>
        </row>
        <row r="414">
          <cell r="A414" t="str">
            <v>5200-100</v>
          </cell>
          <cell r="B414" t="str">
            <v>PERSONAL</v>
          </cell>
          <cell r="C414">
            <v>23340.14</v>
          </cell>
          <cell r="D414" t="str">
            <v xml:space="preserve"> </v>
          </cell>
          <cell r="E414">
            <v>11352.6</v>
          </cell>
          <cell r="F414">
            <v>0</v>
          </cell>
          <cell r="G414">
            <v>34692.74</v>
          </cell>
          <cell r="H414" t="str">
            <v xml:space="preserve"> </v>
          </cell>
        </row>
        <row r="415">
          <cell r="A415" t="str">
            <v>5200-101</v>
          </cell>
          <cell r="B415" t="str">
            <v>Cuotas Patronales Imss</v>
          </cell>
          <cell r="C415">
            <v>1577.51</v>
          </cell>
          <cell r="D415" t="str">
            <v xml:space="preserve"> </v>
          </cell>
          <cell r="E415">
            <v>2055.06</v>
          </cell>
          <cell r="F415">
            <v>0</v>
          </cell>
          <cell r="G415">
            <v>3632.57</v>
          </cell>
          <cell r="H415" t="str">
            <v xml:space="preserve"> </v>
          </cell>
        </row>
        <row r="416">
          <cell r="A416" t="str">
            <v>5200-102</v>
          </cell>
          <cell r="B416" t="str">
            <v>Infonavit y Afores</v>
          </cell>
          <cell r="C416">
            <v>358.39</v>
          </cell>
          <cell r="D416" t="str">
            <v xml:space="preserve"> </v>
          </cell>
          <cell r="E416">
            <v>996.72</v>
          </cell>
          <cell r="F416">
            <v>0</v>
          </cell>
          <cell r="G416">
            <v>1355.11</v>
          </cell>
          <cell r="H416" t="str">
            <v xml:space="preserve"> </v>
          </cell>
        </row>
        <row r="417">
          <cell r="A417" t="str">
            <v>5200-103</v>
          </cell>
          <cell r="B417" t="str">
            <v>Sueldos y Salarios</v>
          </cell>
          <cell r="C417">
            <v>13617.42</v>
          </cell>
          <cell r="D417" t="str">
            <v xml:space="preserve"> </v>
          </cell>
          <cell r="E417">
            <v>5223.96</v>
          </cell>
          <cell r="F417">
            <v>0</v>
          </cell>
          <cell r="G417">
            <v>18841.38</v>
          </cell>
          <cell r="H417" t="str">
            <v xml:space="preserve"> </v>
          </cell>
        </row>
        <row r="418">
          <cell r="A418" t="str">
            <v>5200-104</v>
          </cell>
          <cell r="B418" t="str">
            <v>Bono de Puntualidad</v>
          </cell>
          <cell r="C418">
            <v>1361.65</v>
          </cell>
          <cell r="D418" t="str">
            <v xml:space="preserve"> </v>
          </cell>
          <cell r="E418">
            <v>522.36</v>
          </cell>
          <cell r="F418">
            <v>0</v>
          </cell>
          <cell r="G418">
            <v>1884.01</v>
          </cell>
          <cell r="H418" t="str">
            <v xml:space="preserve"> </v>
          </cell>
        </row>
        <row r="419">
          <cell r="A419" t="str">
            <v>5200-105</v>
          </cell>
          <cell r="B419" t="str">
            <v>Bono de Asistencia</v>
          </cell>
          <cell r="C419">
            <v>1361.65</v>
          </cell>
          <cell r="D419" t="str">
            <v xml:space="preserve"> </v>
          </cell>
          <cell r="E419">
            <v>522.36</v>
          </cell>
          <cell r="F419">
            <v>0</v>
          </cell>
          <cell r="G419">
            <v>1884.01</v>
          </cell>
          <cell r="H419" t="str">
            <v xml:space="preserve"> </v>
          </cell>
        </row>
        <row r="420">
          <cell r="A420" t="str">
            <v>5200-106</v>
          </cell>
          <cell r="B420" t="str">
            <v>Despensa</v>
          </cell>
          <cell r="C420">
            <v>5063.5200000000004</v>
          </cell>
          <cell r="D420" t="str">
            <v xml:space="preserve"> </v>
          </cell>
          <cell r="E420">
            <v>1841.28</v>
          </cell>
          <cell r="F420">
            <v>0</v>
          </cell>
          <cell r="G420">
            <v>6904.8</v>
          </cell>
          <cell r="H420" t="str">
            <v xml:space="preserve"> </v>
          </cell>
        </row>
        <row r="421">
          <cell r="A421" t="str">
            <v>5200-107</v>
          </cell>
          <cell r="B421" t="str">
            <v>Impuesto Sobre Nomina</v>
          </cell>
          <cell r="C421">
            <v>0</v>
          </cell>
          <cell r="D421" t="str">
            <v xml:space="preserve"> </v>
          </cell>
          <cell r="E421">
            <v>190.86</v>
          </cell>
          <cell r="F421">
            <v>0</v>
          </cell>
          <cell r="G421">
            <v>190.86</v>
          </cell>
          <cell r="H421" t="str">
            <v xml:space="preserve"> </v>
          </cell>
        </row>
        <row r="422">
          <cell r="A422" t="str">
            <v>5200-200</v>
          </cell>
          <cell r="B422" t="str">
            <v>SERVICIOS</v>
          </cell>
          <cell r="C422">
            <v>47139.49</v>
          </cell>
          <cell r="D422" t="str">
            <v xml:space="preserve"> </v>
          </cell>
          <cell r="E422">
            <v>128.66999999999999</v>
          </cell>
          <cell r="F422">
            <v>0</v>
          </cell>
          <cell r="G422">
            <v>47268.160000000003</v>
          </cell>
          <cell r="H422" t="str">
            <v xml:space="preserve"> </v>
          </cell>
        </row>
        <row r="423">
          <cell r="A423" t="str">
            <v>5200-201</v>
          </cell>
          <cell r="B423" t="str">
            <v>Agua</v>
          </cell>
          <cell r="C423">
            <v>0</v>
          </cell>
          <cell r="D423" t="str">
            <v xml:space="preserve"> </v>
          </cell>
          <cell r="E423">
            <v>0</v>
          </cell>
          <cell r="F423">
            <v>0</v>
          </cell>
          <cell r="G423">
            <v>0</v>
          </cell>
          <cell r="H423" t="str">
            <v xml:space="preserve"> </v>
          </cell>
        </row>
        <row r="424">
          <cell r="A424" t="str">
            <v>5200-202</v>
          </cell>
          <cell r="B424" t="str">
            <v>Telefono</v>
          </cell>
          <cell r="C424">
            <v>0</v>
          </cell>
          <cell r="D424" t="str">
            <v xml:space="preserve"> </v>
          </cell>
          <cell r="E424">
            <v>0</v>
          </cell>
          <cell r="F424">
            <v>0</v>
          </cell>
          <cell r="G424">
            <v>0</v>
          </cell>
          <cell r="H424" t="str">
            <v xml:space="preserve"> </v>
          </cell>
        </row>
        <row r="425">
          <cell r="A425" t="str">
            <v>5200-203</v>
          </cell>
          <cell r="B425" t="str">
            <v>Telefono Celular</v>
          </cell>
          <cell r="C425">
            <v>0</v>
          </cell>
          <cell r="D425" t="str">
            <v xml:space="preserve"> </v>
          </cell>
          <cell r="E425">
            <v>0</v>
          </cell>
          <cell r="F425">
            <v>0</v>
          </cell>
          <cell r="G425">
            <v>0</v>
          </cell>
          <cell r="H425" t="str">
            <v xml:space="preserve"> </v>
          </cell>
        </row>
        <row r="426">
          <cell r="A426" t="str">
            <v>5200-204</v>
          </cell>
          <cell r="B426" t="str">
            <v>Papaeleria y Art. de Oficina</v>
          </cell>
          <cell r="C426">
            <v>440</v>
          </cell>
          <cell r="D426" t="str">
            <v xml:space="preserve"> </v>
          </cell>
          <cell r="E426">
            <v>0</v>
          </cell>
          <cell r="F426">
            <v>0</v>
          </cell>
          <cell r="G426">
            <v>440</v>
          </cell>
          <cell r="H426" t="str">
            <v xml:space="preserve"> </v>
          </cell>
        </row>
        <row r="427">
          <cell r="A427" t="str">
            <v>5200-205</v>
          </cell>
          <cell r="B427" t="str">
            <v>Arreandamiento de Bienes Inmuebles</v>
          </cell>
          <cell r="C427">
            <v>0</v>
          </cell>
          <cell r="D427" t="str">
            <v xml:space="preserve"> </v>
          </cell>
          <cell r="E427">
            <v>0</v>
          </cell>
          <cell r="F427">
            <v>0</v>
          </cell>
          <cell r="G427">
            <v>0</v>
          </cell>
          <cell r="H427" t="str">
            <v xml:space="preserve"> </v>
          </cell>
        </row>
        <row r="428">
          <cell r="A428" t="str">
            <v>5200-206</v>
          </cell>
          <cell r="B428" t="str">
            <v>Luz</v>
          </cell>
          <cell r="C428">
            <v>0</v>
          </cell>
          <cell r="D428" t="str">
            <v xml:space="preserve"> </v>
          </cell>
          <cell r="E428">
            <v>0</v>
          </cell>
          <cell r="F428">
            <v>0</v>
          </cell>
          <cell r="G428">
            <v>0</v>
          </cell>
          <cell r="H428" t="str">
            <v xml:space="preserve"> </v>
          </cell>
        </row>
        <row r="429">
          <cell r="A429" t="str">
            <v>5200-207</v>
          </cell>
          <cell r="B429" t="str">
            <v>Combustibles y Lubricantes</v>
          </cell>
          <cell r="C429">
            <v>3609.36</v>
          </cell>
          <cell r="D429" t="str">
            <v xml:space="preserve"> </v>
          </cell>
          <cell r="E429">
            <v>0</v>
          </cell>
          <cell r="F429">
            <v>0</v>
          </cell>
          <cell r="G429">
            <v>3609.36</v>
          </cell>
          <cell r="H429" t="str">
            <v xml:space="preserve"> </v>
          </cell>
        </row>
        <row r="430">
          <cell r="A430" t="str">
            <v>5200-208</v>
          </cell>
          <cell r="B430" t="str">
            <v>Honorarios Personas Fisicas</v>
          </cell>
          <cell r="C430">
            <v>0</v>
          </cell>
          <cell r="D430" t="str">
            <v xml:space="preserve"> </v>
          </cell>
          <cell r="E430">
            <v>0</v>
          </cell>
          <cell r="F430">
            <v>0</v>
          </cell>
          <cell r="G430">
            <v>0</v>
          </cell>
          <cell r="H430" t="str">
            <v xml:space="preserve"> </v>
          </cell>
        </row>
        <row r="431">
          <cell r="A431" t="str">
            <v>5200-209</v>
          </cell>
          <cell r="B431" t="str">
            <v>Gas</v>
          </cell>
          <cell r="C431">
            <v>0</v>
          </cell>
          <cell r="D431" t="str">
            <v xml:space="preserve"> </v>
          </cell>
          <cell r="E431">
            <v>0</v>
          </cell>
          <cell r="F431">
            <v>0</v>
          </cell>
          <cell r="G431">
            <v>0</v>
          </cell>
          <cell r="H431" t="str">
            <v xml:space="preserve"> </v>
          </cell>
        </row>
        <row r="432">
          <cell r="A432" t="str">
            <v>5200-210</v>
          </cell>
          <cell r="B432" t="str">
            <v>Propaganda y Publicidad</v>
          </cell>
          <cell r="C432">
            <v>0</v>
          </cell>
          <cell r="D432" t="str">
            <v xml:space="preserve"> </v>
          </cell>
          <cell r="E432">
            <v>0</v>
          </cell>
          <cell r="F432">
            <v>0</v>
          </cell>
          <cell r="G432">
            <v>0</v>
          </cell>
          <cell r="H432" t="str">
            <v xml:space="preserve"> </v>
          </cell>
        </row>
        <row r="433">
          <cell r="A433" t="str">
            <v>5200-211</v>
          </cell>
          <cell r="B433" t="str">
            <v>Otros Impuestos y Derechos Estatales</v>
          </cell>
          <cell r="C433">
            <v>102.5</v>
          </cell>
          <cell r="D433" t="str">
            <v xml:space="preserve"> </v>
          </cell>
          <cell r="E433">
            <v>78.67</v>
          </cell>
          <cell r="F433">
            <v>0</v>
          </cell>
          <cell r="G433">
            <v>181.17</v>
          </cell>
          <cell r="H433" t="str">
            <v xml:space="preserve"> </v>
          </cell>
        </row>
        <row r="434">
          <cell r="A434" t="str">
            <v>5200-212</v>
          </cell>
          <cell r="B434" t="str">
            <v>Fletes y Acarreos</v>
          </cell>
          <cell r="C434">
            <v>39638.550000000003</v>
          </cell>
          <cell r="D434" t="str">
            <v xml:space="preserve"> </v>
          </cell>
          <cell r="E434">
            <v>0</v>
          </cell>
          <cell r="F434">
            <v>0</v>
          </cell>
          <cell r="G434">
            <v>39638.550000000003</v>
          </cell>
          <cell r="H434" t="str">
            <v xml:space="preserve"> </v>
          </cell>
        </row>
        <row r="435">
          <cell r="A435" t="str">
            <v>5200-213</v>
          </cell>
          <cell r="B435" t="str">
            <v>Mensajeria</v>
          </cell>
          <cell r="C435">
            <v>246.33</v>
          </cell>
          <cell r="D435" t="str">
            <v xml:space="preserve"> </v>
          </cell>
          <cell r="E435">
            <v>0</v>
          </cell>
          <cell r="F435">
            <v>0</v>
          </cell>
          <cell r="G435">
            <v>246.33</v>
          </cell>
          <cell r="H435" t="str">
            <v xml:space="preserve"> </v>
          </cell>
        </row>
        <row r="436">
          <cell r="A436" t="str">
            <v>5200-214</v>
          </cell>
          <cell r="B436" t="str">
            <v>Gastos Varios</v>
          </cell>
          <cell r="C436">
            <v>2498.75</v>
          </cell>
          <cell r="D436" t="str">
            <v xml:space="preserve"> </v>
          </cell>
          <cell r="E436">
            <v>50</v>
          </cell>
          <cell r="F436">
            <v>0</v>
          </cell>
          <cell r="G436">
            <v>2548.75</v>
          </cell>
          <cell r="H436" t="str">
            <v xml:space="preserve"> </v>
          </cell>
        </row>
        <row r="437">
          <cell r="A437" t="str">
            <v>5200-215</v>
          </cell>
          <cell r="B437" t="str">
            <v>Multas y Recargos</v>
          </cell>
          <cell r="C437">
            <v>604</v>
          </cell>
          <cell r="D437" t="str">
            <v xml:space="preserve"> </v>
          </cell>
          <cell r="E437">
            <v>0</v>
          </cell>
          <cell r="F437">
            <v>0</v>
          </cell>
          <cell r="G437">
            <v>604</v>
          </cell>
          <cell r="H437" t="str">
            <v xml:space="preserve"> </v>
          </cell>
        </row>
        <row r="438">
          <cell r="A438" t="str">
            <v>5200-300</v>
          </cell>
          <cell r="B438" t="str">
            <v>MANTENIMIENTOS</v>
          </cell>
          <cell r="C438">
            <v>116307.45</v>
          </cell>
          <cell r="D438" t="str">
            <v xml:space="preserve"> </v>
          </cell>
          <cell r="E438">
            <v>2975.57</v>
          </cell>
          <cell r="F438">
            <v>0</v>
          </cell>
          <cell r="G438">
            <v>119283.02</v>
          </cell>
          <cell r="H438" t="str">
            <v xml:space="preserve"> </v>
          </cell>
        </row>
        <row r="439">
          <cell r="A439" t="str">
            <v>5200-301</v>
          </cell>
          <cell r="B439" t="str">
            <v>Mtto. de equipo de transporte</v>
          </cell>
          <cell r="C439">
            <v>116307.45</v>
          </cell>
          <cell r="D439" t="str">
            <v xml:space="preserve"> </v>
          </cell>
          <cell r="E439">
            <v>2975.57</v>
          </cell>
          <cell r="F439">
            <v>0</v>
          </cell>
          <cell r="G439">
            <v>119283.02</v>
          </cell>
          <cell r="H439" t="str">
            <v xml:space="preserve"> </v>
          </cell>
        </row>
        <row r="440">
          <cell r="A440" t="str">
            <v>5200-400</v>
          </cell>
          <cell r="B440" t="str">
            <v>GASTOS DE VIAJE</v>
          </cell>
          <cell r="C440">
            <v>76878.16</v>
          </cell>
          <cell r="D440" t="str">
            <v xml:space="preserve"> </v>
          </cell>
          <cell r="E440">
            <v>9419.9599999999991</v>
          </cell>
          <cell r="F440">
            <v>0</v>
          </cell>
          <cell r="G440">
            <v>86298.12</v>
          </cell>
          <cell r="H440" t="str">
            <v xml:space="preserve"> </v>
          </cell>
        </row>
        <row r="441">
          <cell r="A441" t="str">
            <v>5200-401</v>
          </cell>
          <cell r="B441" t="str">
            <v>Viaticos</v>
          </cell>
          <cell r="C441">
            <v>0</v>
          </cell>
          <cell r="D441" t="str">
            <v xml:space="preserve"> </v>
          </cell>
          <cell r="E441">
            <v>0</v>
          </cell>
          <cell r="F441">
            <v>0</v>
          </cell>
          <cell r="G441">
            <v>0</v>
          </cell>
          <cell r="H441" t="str">
            <v xml:space="preserve"> </v>
          </cell>
        </row>
        <row r="442">
          <cell r="A442" t="str">
            <v>5200-402</v>
          </cell>
          <cell r="B442" t="str">
            <v>Cuotas de Peaje</v>
          </cell>
          <cell r="C442">
            <v>18267.37</v>
          </cell>
          <cell r="D442" t="str">
            <v xml:space="preserve"> </v>
          </cell>
          <cell r="E442">
            <v>408</v>
          </cell>
          <cell r="F442">
            <v>0</v>
          </cell>
          <cell r="G442">
            <v>18675.37</v>
          </cell>
          <cell r="H442" t="str">
            <v xml:space="preserve"> </v>
          </cell>
        </row>
        <row r="443">
          <cell r="A443" t="str">
            <v>5200-403</v>
          </cell>
          <cell r="B443" t="str">
            <v>Combustibles y Lubricantes</v>
          </cell>
          <cell r="C443">
            <v>53592.77</v>
          </cell>
          <cell r="D443" t="str">
            <v xml:space="preserve"> </v>
          </cell>
          <cell r="E443">
            <v>8771.9599999999991</v>
          </cell>
          <cell r="F443">
            <v>0</v>
          </cell>
          <cell r="G443">
            <v>62364.73</v>
          </cell>
          <cell r="H443" t="str">
            <v xml:space="preserve"> </v>
          </cell>
        </row>
        <row r="444">
          <cell r="A444" t="str">
            <v>5200-404</v>
          </cell>
          <cell r="B444" t="str">
            <v>Hospedaje</v>
          </cell>
          <cell r="C444">
            <v>3860.63</v>
          </cell>
          <cell r="D444" t="str">
            <v xml:space="preserve"> </v>
          </cell>
          <cell r="E444">
            <v>0</v>
          </cell>
          <cell r="F444">
            <v>0</v>
          </cell>
          <cell r="G444">
            <v>3860.63</v>
          </cell>
          <cell r="H444" t="str">
            <v xml:space="preserve"> </v>
          </cell>
        </row>
        <row r="445">
          <cell r="A445" t="str">
            <v>5200-405</v>
          </cell>
          <cell r="B445" t="str">
            <v>Consumo</v>
          </cell>
          <cell r="C445">
            <v>1157.3900000000001</v>
          </cell>
          <cell r="D445" t="str">
            <v xml:space="preserve"> </v>
          </cell>
          <cell r="E445">
            <v>240</v>
          </cell>
          <cell r="F445">
            <v>0</v>
          </cell>
          <cell r="G445">
            <v>1397.39</v>
          </cell>
          <cell r="H445" t="str">
            <v xml:space="preserve"> </v>
          </cell>
        </row>
        <row r="446">
          <cell r="A446" t="str">
            <v>5200-500</v>
          </cell>
          <cell r="B446" t="str">
            <v>MATERIALES DE TRABAJO</v>
          </cell>
          <cell r="C446">
            <v>12280.03</v>
          </cell>
          <cell r="D446" t="str">
            <v xml:space="preserve"> </v>
          </cell>
          <cell r="E446">
            <v>0</v>
          </cell>
          <cell r="F446">
            <v>0</v>
          </cell>
          <cell r="G446">
            <v>12280.03</v>
          </cell>
          <cell r="H446" t="str">
            <v xml:space="preserve"> </v>
          </cell>
        </row>
        <row r="447">
          <cell r="A447" t="str">
            <v>5300-000</v>
          </cell>
          <cell r="B447" t="str">
            <v>GASTOS FINANCIEROS</v>
          </cell>
          <cell r="C447">
            <v>6838</v>
          </cell>
          <cell r="D447" t="str">
            <v xml:space="preserve"> </v>
          </cell>
          <cell r="E447">
            <v>2924</v>
          </cell>
          <cell r="F447">
            <v>0</v>
          </cell>
          <cell r="G447">
            <v>9762</v>
          </cell>
          <cell r="H447" t="str">
            <v xml:space="preserve"> </v>
          </cell>
        </row>
        <row r="448">
          <cell r="A448" t="str">
            <v>5300-001</v>
          </cell>
          <cell r="B448" t="str">
            <v>Comisiones Bancarias</v>
          </cell>
          <cell r="C448">
            <v>6838</v>
          </cell>
          <cell r="D448" t="str">
            <v xml:space="preserve"> </v>
          </cell>
          <cell r="E448">
            <v>2924</v>
          </cell>
          <cell r="F448">
            <v>0</v>
          </cell>
          <cell r="G448">
            <v>9762</v>
          </cell>
          <cell r="H448" t="str">
            <v xml:space="preserve"> </v>
          </cell>
        </row>
        <row r="449">
          <cell r="A449" t="str">
            <v>5300-002</v>
          </cell>
          <cell r="B449" t="str">
            <v>Intereses a Cargo</v>
          </cell>
          <cell r="C449">
            <v>0</v>
          </cell>
          <cell r="D449" t="str">
            <v xml:space="preserve"> </v>
          </cell>
          <cell r="E449">
            <v>0</v>
          </cell>
          <cell r="F449">
            <v>0</v>
          </cell>
          <cell r="G449">
            <v>0</v>
          </cell>
          <cell r="H449" t="str">
            <v xml:space="preserve"> </v>
          </cell>
        </row>
        <row r="450">
          <cell r="A450" t="str">
            <v>5400-000</v>
          </cell>
          <cell r="B450" t="str">
            <v>OTROS GASTOS</v>
          </cell>
          <cell r="C450">
            <v>1.29</v>
          </cell>
          <cell r="D450" t="str">
            <v xml:space="preserve"> </v>
          </cell>
          <cell r="E450">
            <v>0.34</v>
          </cell>
          <cell r="F450">
            <v>0</v>
          </cell>
          <cell r="G450">
            <v>1.63</v>
          </cell>
          <cell r="H450" t="str">
            <v xml:space="preserve"> </v>
          </cell>
        </row>
        <row r="451">
          <cell r="A451" t="str">
            <v>5400-001</v>
          </cell>
          <cell r="B451" t="str">
            <v>Perdida por redondeo</v>
          </cell>
          <cell r="C451">
            <v>1.29</v>
          </cell>
          <cell r="D451" t="str">
            <v xml:space="preserve"> </v>
          </cell>
          <cell r="E451">
            <v>0.34</v>
          </cell>
          <cell r="F451">
            <v>0</v>
          </cell>
          <cell r="G451">
            <v>1.63</v>
          </cell>
          <cell r="H451" t="str">
            <v xml:space="preserve"> </v>
          </cell>
        </row>
        <row r="452">
          <cell r="A452" t="str">
            <v>5400-002</v>
          </cell>
          <cell r="B452" t="str">
            <v>Perdida Cambiaria</v>
          </cell>
          <cell r="C452">
            <v>0</v>
          </cell>
          <cell r="D452" t="str">
            <v xml:space="preserve"> </v>
          </cell>
          <cell r="E452">
            <v>0</v>
          </cell>
          <cell r="F452">
            <v>0</v>
          </cell>
          <cell r="G452">
            <v>0</v>
          </cell>
          <cell r="H452" t="str">
            <v xml:space="preserve"> </v>
          </cell>
        </row>
        <row r="453">
          <cell r="A453" t="str">
            <v>5500-000</v>
          </cell>
          <cell r="B453" t="str">
            <v>GASTOS NO DEDUCIBLES</v>
          </cell>
          <cell r="C453">
            <v>26408.36</v>
          </cell>
          <cell r="D453" t="str">
            <v xml:space="preserve"> </v>
          </cell>
          <cell r="E453">
            <v>51.5</v>
          </cell>
          <cell r="F453">
            <v>0</v>
          </cell>
          <cell r="G453">
            <v>26459.86</v>
          </cell>
          <cell r="H453" t="str">
            <v xml:space="preserve"> </v>
          </cell>
        </row>
        <row r="454">
          <cell r="A454" t="str">
            <v>5500-001</v>
          </cell>
          <cell r="B454" t="str">
            <v>No Comprobados</v>
          </cell>
          <cell r="C454">
            <v>23981.86</v>
          </cell>
          <cell r="D454" t="str">
            <v xml:space="preserve"> </v>
          </cell>
          <cell r="E454">
            <v>51.5</v>
          </cell>
          <cell r="F454">
            <v>0</v>
          </cell>
          <cell r="G454">
            <v>24033.360000000001</v>
          </cell>
          <cell r="H454" t="str">
            <v xml:space="preserve"> </v>
          </cell>
        </row>
        <row r="455">
          <cell r="A455" t="str">
            <v>5500-002</v>
          </cell>
          <cell r="B455" t="str">
            <v>No Reunen Requisitos Fiscales</v>
          </cell>
          <cell r="C455">
            <v>2426.5</v>
          </cell>
          <cell r="D455" t="str">
            <v xml:space="preserve"> </v>
          </cell>
          <cell r="E455">
            <v>0</v>
          </cell>
          <cell r="F455">
            <v>0</v>
          </cell>
          <cell r="G455">
            <v>2426.5</v>
          </cell>
          <cell r="H455" t="str">
            <v xml:space="preserve"> </v>
          </cell>
        </row>
        <row r="456">
          <cell r="A456" t="str">
            <v xml:space="preserve"> </v>
          </cell>
        </row>
        <row r="457">
          <cell r="B457" t="str">
            <v>Total cuentas no impresas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B458" t="str">
            <v xml:space="preserve"> </v>
          </cell>
          <cell r="D458">
            <v>0</v>
          </cell>
          <cell r="H458">
            <v>0</v>
          </cell>
        </row>
        <row r="459">
          <cell r="A459" t="str">
            <v xml:space="preserve"> </v>
          </cell>
        </row>
        <row r="461">
          <cell r="B461" t="str">
            <v xml:space="preserve">Sumas Iguales: </v>
          </cell>
          <cell r="C461">
            <v>13458755.029999999</v>
          </cell>
          <cell r="E461">
            <v>1400588.61</v>
          </cell>
          <cell r="F461">
            <v>1400588.61</v>
          </cell>
          <cell r="G461">
            <v>13821777.890000001</v>
          </cell>
        </row>
        <row r="462">
          <cell r="D462">
            <v>13516315.300000001</v>
          </cell>
          <cell r="H462">
            <v>13879338.16</v>
          </cell>
        </row>
      </sheetData>
      <sheetData sheetId="3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801344.71</v>
          </cell>
          <cell r="D8" t="str">
            <v xml:space="preserve"> </v>
          </cell>
          <cell r="E8">
            <v>3019172.14</v>
          </cell>
          <cell r="F8">
            <v>2581879.1</v>
          </cell>
          <cell r="G8">
            <v>1238637.75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801344.71</v>
          </cell>
          <cell r="D9" t="str">
            <v xml:space="preserve"> </v>
          </cell>
          <cell r="E9">
            <v>3019172.14</v>
          </cell>
          <cell r="F9">
            <v>2581879.1</v>
          </cell>
          <cell r="G9">
            <v>1238637.75</v>
          </cell>
          <cell r="H9" t="str">
            <v xml:space="preserve"> </v>
          </cell>
        </row>
        <row r="10">
          <cell r="A10" t="str">
            <v>1101-000</v>
          </cell>
          <cell r="B10" t="str">
            <v xml:space="preserve">CAJA </v>
          </cell>
          <cell r="C10">
            <v>3656.5</v>
          </cell>
          <cell r="D10" t="str">
            <v xml:space="preserve"> </v>
          </cell>
          <cell r="E10">
            <v>0</v>
          </cell>
          <cell r="F10">
            <v>635</v>
          </cell>
          <cell r="G10">
            <v>3021.5</v>
          </cell>
          <cell r="H10" t="str">
            <v xml:space="preserve"> </v>
          </cell>
        </row>
        <row r="11">
          <cell r="A11" t="str">
            <v>1101-001</v>
          </cell>
          <cell r="B11" t="str">
            <v>Fondo Fijo</v>
          </cell>
          <cell r="C11">
            <v>3656.5</v>
          </cell>
          <cell r="D11" t="str">
            <v xml:space="preserve"> </v>
          </cell>
          <cell r="E11">
            <v>0</v>
          </cell>
          <cell r="F11">
            <v>635</v>
          </cell>
          <cell r="G11">
            <v>3021.5</v>
          </cell>
          <cell r="H11" t="str">
            <v xml:space="preserve"> </v>
          </cell>
        </row>
        <row r="12">
          <cell r="A12" t="str">
            <v>1102-000</v>
          </cell>
          <cell r="B12" t="str">
            <v>BANCOS</v>
          </cell>
          <cell r="C12">
            <v>1309.81</v>
          </cell>
          <cell r="D12" t="str">
            <v xml:space="preserve"> </v>
          </cell>
          <cell r="E12">
            <v>1129411.08</v>
          </cell>
          <cell r="F12">
            <v>1129539.2</v>
          </cell>
          <cell r="G12">
            <v>1181.69</v>
          </cell>
          <cell r="H12" t="str">
            <v xml:space="preserve"> </v>
          </cell>
        </row>
        <row r="13">
          <cell r="A13" t="str">
            <v>1102-001</v>
          </cell>
          <cell r="B13" t="str">
            <v>Santander Cta: 92001131081</v>
          </cell>
          <cell r="C13">
            <v>1309.81</v>
          </cell>
          <cell r="D13" t="str">
            <v xml:space="preserve"> </v>
          </cell>
          <cell r="E13">
            <v>1129411.08</v>
          </cell>
          <cell r="F13">
            <v>1129539.2</v>
          </cell>
          <cell r="G13">
            <v>1181.69</v>
          </cell>
          <cell r="H13" t="str">
            <v xml:space="preserve"> </v>
          </cell>
        </row>
        <row r="14">
          <cell r="A14" t="str">
            <v>1103-000</v>
          </cell>
          <cell r="B14" t="str">
            <v>CLIENTES</v>
          </cell>
          <cell r="C14">
            <v>606147.5</v>
          </cell>
          <cell r="D14" t="str">
            <v xml:space="preserve"> </v>
          </cell>
          <cell r="E14">
            <v>1036411</v>
          </cell>
          <cell r="F14">
            <v>1129411</v>
          </cell>
          <cell r="G14">
            <v>513147.5</v>
          </cell>
          <cell r="H14" t="str">
            <v xml:space="preserve"> </v>
          </cell>
        </row>
        <row r="15">
          <cell r="A15" t="str">
            <v>1103-002</v>
          </cell>
          <cell r="B15" t="str">
            <v>Distribuidora de Granos Alimenticios SA DE CV</v>
          </cell>
          <cell r="C15">
            <v>0</v>
          </cell>
          <cell r="D15" t="str">
            <v xml:space="preserve"> </v>
          </cell>
          <cell r="E15">
            <v>29620</v>
          </cell>
          <cell r="F15">
            <v>29620</v>
          </cell>
          <cell r="G15">
            <v>0</v>
          </cell>
          <cell r="H15" t="str">
            <v xml:space="preserve"> </v>
          </cell>
        </row>
        <row r="16">
          <cell r="A16" t="str">
            <v>1103-003</v>
          </cell>
          <cell r="B16" t="str">
            <v>Abastecedora Coemrcial de Parral S.A. de C.V.</v>
          </cell>
          <cell r="C16">
            <v>31000</v>
          </cell>
          <cell r="D16" t="str">
            <v xml:space="preserve"> </v>
          </cell>
          <cell r="E16">
            <v>123750</v>
          </cell>
          <cell r="F16">
            <v>31000</v>
          </cell>
          <cell r="G16">
            <v>123750</v>
          </cell>
          <cell r="H16" t="str">
            <v xml:space="preserve"> </v>
          </cell>
        </row>
        <row r="17">
          <cell r="A17" t="str">
            <v>1103-005</v>
          </cell>
          <cell r="B17" t="str">
            <v>Amaya Comercial S.A. DE C.V.</v>
          </cell>
          <cell r="C17">
            <v>65250</v>
          </cell>
          <cell r="D17" t="str">
            <v xml:space="preserve"> </v>
          </cell>
          <cell r="E17">
            <v>278327</v>
          </cell>
          <cell r="F17">
            <v>343577</v>
          </cell>
          <cell r="G17">
            <v>0</v>
          </cell>
          <cell r="H17" t="str">
            <v xml:space="preserve"> </v>
          </cell>
        </row>
        <row r="18">
          <cell r="A18" t="str">
            <v>1103-007</v>
          </cell>
          <cell r="B18" t="str">
            <v>Distribuidora de Granos y Semillas Baca S.A. de C.</v>
          </cell>
          <cell r="C18">
            <v>50020</v>
          </cell>
          <cell r="D18" t="str">
            <v xml:space="preserve"> </v>
          </cell>
          <cell r="E18">
            <v>189000</v>
          </cell>
          <cell r="F18">
            <v>189000</v>
          </cell>
          <cell r="G18">
            <v>50020</v>
          </cell>
          <cell r="H18" t="str">
            <v xml:space="preserve"> </v>
          </cell>
        </row>
        <row r="19">
          <cell r="A19" t="str">
            <v>1103-008</v>
          </cell>
          <cell r="B19" t="str">
            <v>Alonso Pacheco Garcia</v>
          </cell>
          <cell r="C19">
            <v>65250</v>
          </cell>
          <cell r="D19" t="str">
            <v xml:space="preserve"> </v>
          </cell>
          <cell r="E19">
            <v>130500</v>
          </cell>
          <cell r="F19">
            <v>195750</v>
          </cell>
          <cell r="G19">
            <v>0</v>
          </cell>
          <cell r="H19" t="str">
            <v xml:space="preserve"> </v>
          </cell>
        </row>
        <row r="20">
          <cell r="A20" t="str">
            <v>1103-011</v>
          </cell>
          <cell r="B20" t="str">
            <v>Gonzalo Gallegos Montes</v>
          </cell>
          <cell r="C20">
            <v>190251.5</v>
          </cell>
          <cell r="D20" t="str">
            <v xml:space="preserve"> </v>
          </cell>
          <cell r="E20">
            <v>102714</v>
          </cell>
          <cell r="F20">
            <v>102714</v>
          </cell>
          <cell r="G20">
            <v>190251.5</v>
          </cell>
          <cell r="H20" t="str">
            <v xml:space="preserve"> </v>
          </cell>
        </row>
        <row r="21">
          <cell r="A21" t="str">
            <v>1103-014</v>
          </cell>
          <cell r="B21" t="str">
            <v>Maria de Jesus Cadena Payan</v>
          </cell>
          <cell r="C21">
            <v>0</v>
          </cell>
          <cell r="D21" t="str">
            <v xml:space="preserve"> </v>
          </cell>
          <cell r="E21">
            <v>10000</v>
          </cell>
          <cell r="F21">
            <v>0</v>
          </cell>
          <cell r="G21">
            <v>10000</v>
          </cell>
          <cell r="H21" t="str">
            <v xml:space="preserve"> </v>
          </cell>
        </row>
        <row r="22">
          <cell r="A22" t="str">
            <v>1103-015</v>
          </cell>
          <cell r="B22" t="str">
            <v>Super Comercial Arrellanos S de R.L. de C.V.</v>
          </cell>
          <cell r="C22">
            <v>0</v>
          </cell>
          <cell r="D22" t="str">
            <v xml:space="preserve"> </v>
          </cell>
          <cell r="E22">
            <v>6000</v>
          </cell>
          <cell r="F22">
            <v>6000</v>
          </cell>
          <cell r="G22">
            <v>0</v>
          </cell>
          <cell r="H22" t="str">
            <v xml:space="preserve"> </v>
          </cell>
        </row>
        <row r="23">
          <cell r="A23" t="str">
            <v>1103-016</v>
          </cell>
          <cell r="B23" t="str">
            <v>Gloria Alicia Ramirez Hernandez</v>
          </cell>
          <cell r="C23">
            <v>36000</v>
          </cell>
          <cell r="D23" t="str">
            <v xml:space="preserve"> </v>
          </cell>
          <cell r="E23">
            <v>0</v>
          </cell>
          <cell r="F23">
            <v>22200</v>
          </cell>
          <cell r="G23">
            <v>13800</v>
          </cell>
          <cell r="H23" t="str">
            <v xml:space="preserve"> </v>
          </cell>
        </row>
        <row r="24">
          <cell r="A24" t="str">
            <v>1103-018</v>
          </cell>
          <cell r="B24" t="str">
            <v>Consorcio Abarrotero Mexicano S.A de C.V.</v>
          </cell>
          <cell r="C24">
            <v>0</v>
          </cell>
          <cell r="D24" t="str">
            <v xml:space="preserve"> </v>
          </cell>
          <cell r="E24">
            <v>128700</v>
          </cell>
          <cell r="F24">
            <v>128700</v>
          </cell>
          <cell r="G24">
            <v>0</v>
          </cell>
          <cell r="H24" t="str">
            <v xml:space="preserve"> </v>
          </cell>
        </row>
        <row r="25">
          <cell r="A25" t="str">
            <v>1103-019</v>
          </cell>
          <cell r="B25" t="str">
            <v>Sergio Balderrama</v>
          </cell>
          <cell r="C25">
            <v>3000</v>
          </cell>
          <cell r="D25" t="str">
            <v xml:space="preserve"> </v>
          </cell>
          <cell r="E25">
            <v>0</v>
          </cell>
          <cell r="F25">
            <v>3000</v>
          </cell>
          <cell r="G25">
            <v>0</v>
          </cell>
          <cell r="H25" t="str">
            <v xml:space="preserve"> </v>
          </cell>
        </row>
        <row r="26">
          <cell r="A26" t="str">
            <v>1103-021</v>
          </cell>
          <cell r="B26" t="str">
            <v>Sonia Latife</v>
          </cell>
          <cell r="C26">
            <v>26100</v>
          </cell>
          <cell r="D26" t="str">
            <v xml:space="preserve"> </v>
          </cell>
          <cell r="E26">
            <v>12600</v>
          </cell>
          <cell r="F26">
            <v>38700</v>
          </cell>
          <cell r="G26">
            <v>0</v>
          </cell>
          <cell r="H26" t="str">
            <v xml:space="preserve"> </v>
          </cell>
        </row>
        <row r="27">
          <cell r="A27" t="str">
            <v>1103-023</v>
          </cell>
          <cell r="B27" t="str">
            <v>Abarrotes del Norte de la Sierra S.A DE C.V.</v>
          </cell>
          <cell r="C27">
            <v>39150</v>
          </cell>
          <cell r="D27" t="str">
            <v xml:space="preserve"> </v>
          </cell>
          <cell r="E27">
            <v>25200</v>
          </cell>
          <cell r="F27">
            <v>39150</v>
          </cell>
          <cell r="G27">
            <v>25200</v>
          </cell>
          <cell r="H27" t="str">
            <v xml:space="preserve"> </v>
          </cell>
        </row>
        <row r="28">
          <cell r="A28" t="str">
            <v>1104-000</v>
          </cell>
          <cell r="B28" t="str">
            <v>DEUDORES DIVERSOS</v>
          </cell>
          <cell r="C28">
            <v>63293.26</v>
          </cell>
          <cell r="D28" t="str">
            <v xml:space="preserve"> </v>
          </cell>
          <cell r="E28">
            <v>0</v>
          </cell>
          <cell r="F28">
            <v>12293.9</v>
          </cell>
          <cell r="G28">
            <v>50999.360000000001</v>
          </cell>
          <cell r="H28" t="str">
            <v xml:space="preserve"> </v>
          </cell>
        </row>
        <row r="29">
          <cell r="A29" t="str">
            <v>1104-001</v>
          </cell>
          <cell r="B29" t="str">
            <v>Veronica Prieto Medrano</v>
          </cell>
          <cell r="C29">
            <v>63293.26</v>
          </cell>
          <cell r="D29" t="str">
            <v xml:space="preserve"> </v>
          </cell>
          <cell r="E29">
            <v>0</v>
          </cell>
          <cell r="F29">
            <v>12293.9</v>
          </cell>
          <cell r="G29">
            <v>50999.360000000001</v>
          </cell>
          <cell r="H29" t="str">
            <v xml:space="preserve"> </v>
          </cell>
        </row>
        <row r="30">
          <cell r="A30" t="str">
            <v>1105-000</v>
          </cell>
          <cell r="B30" t="str">
            <v>IVA ACREDITABLE</v>
          </cell>
          <cell r="C30">
            <v>41083.94</v>
          </cell>
          <cell r="D30" t="str">
            <v xml:space="preserve"> </v>
          </cell>
          <cell r="E30">
            <v>3641.13</v>
          </cell>
          <cell r="F30">
            <v>0</v>
          </cell>
          <cell r="G30">
            <v>44725.07</v>
          </cell>
          <cell r="H30" t="str">
            <v xml:space="preserve"> </v>
          </cell>
        </row>
        <row r="31">
          <cell r="A31" t="str">
            <v>1105-001</v>
          </cell>
          <cell r="B31" t="str">
            <v>Iva Acreditable Pend. de Pago</v>
          </cell>
          <cell r="C31">
            <v>9643.82</v>
          </cell>
          <cell r="D31" t="str">
            <v xml:space="preserve"> </v>
          </cell>
          <cell r="E31">
            <v>427.5</v>
          </cell>
          <cell r="F31">
            <v>0</v>
          </cell>
          <cell r="G31">
            <v>10071.32</v>
          </cell>
          <cell r="H31" t="str">
            <v xml:space="preserve"> </v>
          </cell>
        </row>
        <row r="32">
          <cell r="A32" t="str">
            <v>1105-002</v>
          </cell>
          <cell r="B32" t="str">
            <v>Iva  Acreditable Efect. Pagado</v>
          </cell>
          <cell r="C32">
            <v>31440.12</v>
          </cell>
          <cell r="D32" t="str">
            <v xml:space="preserve"> </v>
          </cell>
          <cell r="E32">
            <v>3213.63</v>
          </cell>
          <cell r="F32">
            <v>0</v>
          </cell>
          <cell r="G32">
            <v>34653.75</v>
          </cell>
          <cell r="H32" t="str">
            <v xml:space="preserve"> </v>
          </cell>
        </row>
        <row r="33">
          <cell r="A33" t="str">
            <v>1107-000</v>
          </cell>
          <cell r="B33" t="str">
            <v>ANTICIPO A PROVEEDORES</v>
          </cell>
          <cell r="C33">
            <v>83120</v>
          </cell>
          <cell r="D33" t="str">
            <v xml:space="preserve"> </v>
          </cell>
          <cell r="E33">
            <v>849186.05</v>
          </cell>
          <cell r="F33">
            <v>310000</v>
          </cell>
          <cell r="G33">
            <v>622306.05000000005</v>
          </cell>
          <cell r="H33" t="str">
            <v xml:space="preserve"> </v>
          </cell>
        </row>
        <row r="34">
          <cell r="A34" t="str">
            <v>1107-023</v>
          </cell>
          <cell r="B34" t="str">
            <v>Servicio Perisur Del Real SA DE CV</v>
          </cell>
          <cell r="C34">
            <v>0</v>
          </cell>
          <cell r="D34" t="str">
            <v xml:space="preserve"> </v>
          </cell>
          <cell r="E34">
            <v>2186.0500000000002</v>
          </cell>
          <cell r="F34">
            <v>0</v>
          </cell>
          <cell r="G34">
            <v>2186.0500000000002</v>
          </cell>
          <cell r="H34" t="str">
            <v xml:space="preserve"> </v>
          </cell>
        </row>
        <row r="35">
          <cell r="A35" t="str">
            <v>1107-036</v>
          </cell>
          <cell r="B35" t="str">
            <v>Enrique Armando Rodriguez Aguilar</v>
          </cell>
          <cell r="C35">
            <v>0</v>
          </cell>
          <cell r="D35" t="str">
            <v xml:space="preserve"> </v>
          </cell>
          <cell r="E35">
            <v>150000</v>
          </cell>
          <cell r="F35">
            <v>0</v>
          </cell>
          <cell r="G35">
            <v>150000</v>
          </cell>
          <cell r="H35" t="str">
            <v xml:space="preserve"> </v>
          </cell>
        </row>
        <row r="36">
          <cell r="A36" t="str">
            <v>1107-037</v>
          </cell>
          <cell r="B36" t="str">
            <v>Sergio Ramirez Zubia</v>
          </cell>
          <cell r="C36">
            <v>0</v>
          </cell>
          <cell r="D36" t="str">
            <v xml:space="preserve"> </v>
          </cell>
          <cell r="E36">
            <v>200000</v>
          </cell>
          <cell r="F36">
            <v>0</v>
          </cell>
          <cell r="G36">
            <v>200000</v>
          </cell>
          <cell r="H36" t="str">
            <v xml:space="preserve"> </v>
          </cell>
        </row>
        <row r="37">
          <cell r="A37" t="str">
            <v>1107-040</v>
          </cell>
          <cell r="B37" t="str">
            <v>Jacob Hiebert Wiebe</v>
          </cell>
          <cell r="C37">
            <v>0</v>
          </cell>
          <cell r="D37" t="str">
            <v xml:space="preserve"> </v>
          </cell>
          <cell r="E37">
            <v>180000</v>
          </cell>
          <cell r="F37">
            <v>180000</v>
          </cell>
          <cell r="G37">
            <v>0</v>
          </cell>
          <cell r="H37" t="str">
            <v xml:space="preserve"> </v>
          </cell>
        </row>
        <row r="38">
          <cell r="A38" t="str">
            <v>1107-044</v>
          </cell>
          <cell r="B38" t="str">
            <v>Bernhard Rempel Blatz</v>
          </cell>
          <cell r="C38">
            <v>81120</v>
          </cell>
          <cell r="D38" t="str">
            <v xml:space="preserve"> </v>
          </cell>
          <cell r="E38">
            <v>187000</v>
          </cell>
          <cell r="F38">
            <v>0</v>
          </cell>
          <cell r="G38">
            <v>268120</v>
          </cell>
          <cell r="H38" t="str">
            <v xml:space="preserve"> </v>
          </cell>
        </row>
        <row r="39">
          <cell r="A39" t="str">
            <v>1107-048</v>
          </cell>
          <cell r="B39" t="str">
            <v>Gerhard Rempel Wall</v>
          </cell>
          <cell r="C39">
            <v>0</v>
          </cell>
          <cell r="D39" t="str">
            <v xml:space="preserve"> </v>
          </cell>
          <cell r="E39">
            <v>130000</v>
          </cell>
          <cell r="F39">
            <v>130000</v>
          </cell>
          <cell r="G39">
            <v>0</v>
          </cell>
          <cell r="H39" t="str">
            <v xml:space="preserve"> </v>
          </cell>
        </row>
        <row r="40">
          <cell r="A40" t="str">
            <v>1108-000</v>
          </cell>
          <cell r="B40" t="str">
            <v>SUBSIDIO AL EMPLEO</v>
          </cell>
          <cell r="C40">
            <v>1160.7</v>
          </cell>
          <cell r="D40" t="str">
            <v xml:space="preserve"> </v>
          </cell>
          <cell r="E40">
            <v>522.88</v>
          </cell>
          <cell r="F40">
            <v>0</v>
          </cell>
          <cell r="G40">
            <v>1683.58</v>
          </cell>
          <cell r="H40" t="str">
            <v xml:space="preserve"> </v>
          </cell>
        </row>
        <row r="41">
          <cell r="A41" t="str">
            <v>2000-000</v>
          </cell>
          <cell r="B41" t="str">
            <v>PASIVO</v>
          </cell>
          <cell r="C41" t="str">
            <v xml:space="preserve"> </v>
          </cell>
          <cell r="D41">
            <v>1405943.73</v>
          </cell>
          <cell r="E41">
            <v>267490.59999999998</v>
          </cell>
          <cell r="F41">
            <v>1053839.8</v>
          </cell>
          <cell r="G41" t="str">
            <v xml:space="preserve"> </v>
          </cell>
          <cell r="H41">
            <v>2192292.9300000002</v>
          </cell>
        </row>
        <row r="42">
          <cell r="A42" t="str">
            <v>2100-000</v>
          </cell>
          <cell r="B42" t="str">
            <v>PASIVO A CORTO PLAZO</v>
          </cell>
          <cell r="C42" t="str">
            <v xml:space="preserve"> </v>
          </cell>
          <cell r="D42">
            <v>1405943.73</v>
          </cell>
          <cell r="E42">
            <v>267490.59999999998</v>
          </cell>
          <cell r="F42">
            <v>1053839.8</v>
          </cell>
          <cell r="G42" t="str">
            <v xml:space="preserve"> </v>
          </cell>
          <cell r="H42">
            <v>2192292.9300000002</v>
          </cell>
        </row>
        <row r="43">
          <cell r="A43" t="str">
            <v>2101-000</v>
          </cell>
          <cell r="B43" t="str">
            <v>PROVEEDORES</v>
          </cell>
          <cell r="C43" t="str">
            <v xml:space="preserve"> </v>
          </cell>
          <cell r="D43">
            <v>1309978.83</v>
          </cell>
          <cell r="E43">
            <v>267490.59999999998</v>
          </cell>
          <cell r="F43">
            <v>1044632.7</v>
          </cell>
          <cell r="G43" t="str">
            <v xml:space="preserve"> </v>
          </cell>
          <cell r="H43">
            <v>2087120.93</v>
          </cell>
        </row>
        <row r="44">
          <cell r="A44" t="str">
            <v>2101-016</v>
          </cell>
          <cell r="B44" t="str">
            <v>Jacob Hiebert Wiebe</v>
          </cell>
          <cell r="C44" t="str">
            <v xml:space="preserve"> </v>
          </cell>
          <cell r="D44">
            <v>0</v>
          </cell>
          <cell r="E44">
            <v>635</v>
          </cell>
          <cell r="F44">
            <v>635</v>
          </cell>
          <cell r="G44" t="str">
            <v xml:space="preserve"> </v>
          </cell>
          <cell r="H44">
            <v>0</v>
          </cell>
        </row>
        <row r="45">
          <cell r="A45" t="str">
            <v>2101-024</v>
          </cell>
          <cell r="B45" t="str">
            <v>Gerhard Rempel Wall</v>
          </cell>
          <cell r="C45" t="str">
            <v xml:space="preserve"> </v>
          </cell>
          <cell r="D45">
            <v>0</v>
          </cell>
          <cell r="E45">
            <v>0</v>
          </cell>
          <cell r="F45">
            <v>214084</v>
          </cell>
          <cell r="G45" t="str">
            <v xml:space="preserve"> </v>
          </cell>
          <cell r="H45">
            <v>214084</v>
          </cell>
        </row>
        <row r="46">
          <cell r="A46" t="str">
            <v>2101-033</v>
          </cell>
          <cell r="B46" t="str">
            <v>Abraham Krahn Giesbrecht</v>
          </cell>
          <cell r="C46" t="str">
            <v xml:space="preserve"> </v>
          </cell>
          <cell r="D46">
            <v>0</v>
          </cell>
          <cell r="E46">
            <v>0</v>
          </cell>
          <cell r="F46">
            <v>26000</v>
          </cell>
          <cell r="G46" t="str">
            <v xml:space="preserve"> </v>
          </cell>
          <cell r="H46">
            <v>26000</v>
          </cell>
        </row>
        <row r="47">
          <cell r="A47" t="str">
            <v>2101-034</v>
          </cell>
          <cell r="B47" t="str">
            <v>Jacobo Krahn Hildebrand</v>
          </cell>
          <cell r="C47" t="str">
            <v xml:space="preserve"> </v>
          </cell>
          <cell r="D47">
            <v>0</v>
          </cell>
          <cell r="E47">
            <v>0</v>
          </cell>
          <cell r="F47">
            <v>52787.5</v>
          </cell>
          <cell r="G47" t="str">
            <v xml:space="preserve"> </v>
          </cell>
          <cell r="H47">
            <v>52787.5</v>
          </cell>
        </row>
        <row r="48">
          <cell r="A48" t="str">
            <v>2101-038</v>
          </cell>
          <cell r="B48" t="str">
            <v>Jacobo Wiebe Martens</v>
          </cell>
          <cell r="C48" t="str">
            <v xml:space="preserve"> </v>
          </cell>
          <cell r="D48">
            <v>20000</v>
          </cell>
          <cell r="E48">
            <v>20000</v>
          </cell>
          <cell r="F48">
            <v>0</v>
          </cell>
          <cell r="G48" t="str">
            <v xml:space="preserve"> </v>
          </cell>
          <cell r="H48">
            <v>0</v>
          </cell>
        </row>
        <row r="49">
          <cell r="A49" t="str">
            <v>2101-039</v>
          </cell>
          <cell r="B49" t="str">
            <v>Catarina Fher Wiebe</v>
          </cell>
          <cell r="C49" t="str">
            <v xml:space="preserve"> </v>
          </cell>
          <cell r="D49">
            <v>136200</v>
          </cell>
          <cell r="E49">
            <v>0</v>
          </cell>
          <cell r="F49">
            <v>248352</v>
          </cell>
          <cell r="G49" t="str">
            <v xml:space="preserve"> </v>
          </cell>
          <cell r="H49">
            <v>384552</v>
          </cell>
        </row>
        <row r="50">
          <cell r="A50" t="str">
            <v>2101-043</v>
          </cell>
          <cell r="B50" t="str">
            <v>Heinrich Wiebe Fehr</v>
          </cell>
          <cell r="C50" t="str">
            <v xml:space="preserve"> </v>
          </cell>
          <cell r="D50">
            <v>106306.2</v>
          </cell>
          <cell r="E50">
            <v>100000</v>
          </cell>
          <cell r="F50">
            <v>0</v>
          </cell>
          <cell r="G50" t="str">
            <v xml:space="preserve"> </v>
          </cell>
          <cell r="H50">
            <v>6306.2</v>
          </cell>
        </row>
        <row r="51">
          <cell r="A51" t="str">
            <v>2101-044</v>
          </cell>
          <cell r="B51" t="str">
            <v>Anna Friessen Peters</v>
          </cell>
          <cell r="C51" t="str">
            <v xml:space="preserve"> </v>
          </cell>
          <cell r="D51">
            <v>117993.60000000001</v>
          </cell>
          <cell r="E51">
            <v>116855.6</v>
          </cell>
          <cell r="F51">
            <v>0</v>
          </cell>
          <cell r="G51" t="str">
            <v xml:space="preserve"> </v>
          </cell>
          <cell r="H51">
            <v>1138</v>
          </cell>
        </row>
        <row r="52">
          <cell r="A52" t="str">
            <v>2101-047</v>
          </cell>
          <cell r="B52" t="str">
            <v>Peter Wall Buekert</v>
          </cell>
          <cell r="C52" t="str">
            <v xml:space="preserve"> </v>
          </cell>
          <cell r="D52">
            <v>0</v>
          </cell>
          <cell r="E52">
            <v>0</v>
          </cell>
          <cell r="F52">
            <v>502774.2</v>
          </cell>
          <cell r="G52" t="str">
            <v xml:space="preserve"> </v>
          </cell>
          <cell r="H52">
            <v>502774.2</v>
          </cell>
        </row>
        <row r="53">
          <cell r="A53" t="str">
            <v>2101-065</v>
          </cell>
          <cell r="B53" t="str">
            <v>Noel Rodriguez Fernandez</v>
          </cell>
          <cell r="C53" t="str">
            <v xml:space="preserve"> </v>
          </cell>
          <cell r="D53">
            <v>30000</v>
          </cell>
          <cell r="E53">
            <v>30000</v>
          </cell>
          <cell r="F53">
            <v>0</v>
          </cell>
          <cell r="G53" t="str">
            <v xml:space="preserve"> </v>
          </cell>
          <cell r="H53">
            <v>0</v>
          </cell>
        </row>
        <row r="54">
          <cell r="A54" t="str">
            <v>2102-000</v>
          </cell>
          <cell r="B54" t="str">
            <v>ACREEDORES DIVERSOS</v>
          </cell>
          <cell r="C54" t="str">
            <v xml:space="preserve"> </v>
          </cell>
          <cell r="D54">
            <v>86221.64</v>
          </cell>
          <cell r="E54">
            <v>0</v>
          </cell>
          <cell r="F54">
            <v>9120.6200000000008</v>
          </cell>
          <cell r="G54" t="str">
            <v xml:space="preserve"> </v>
          </cell>
          <cell r="H54">
            <v>95342.26</v>
          </cell>
        </row>
        <row r="55">
          <cell r="A55" t="str">
            <v>2102-060</v>
          </cell>
          <cell r="B55" t="str">
            <v>Servicio de Muelles Zarco S.A. de C.V.</v>
          </cell>
          <cell r="C55" t="str">
            <v xml:space="preserve"> </v>
          </cell>
          <cell r="D55">
            <v>0</v>
          </cell>
          <cell r="E55">
            <v>0</v>
          </cell>
          <cell r="F55">
            <v>3277.5</v>
          </cell>
          <cell r="G55" t="str">
            <v xml:space="preserve"> </v>
          </cell>
          <cell r="H55">
            <v>3277.5</v>
          </cell>
        </row>
        <row r="56">
          <cell r="A56" t="str">
            <v>2102-172</v>
          </cell>
          <cell r="B56" t="str">
            <v>Sueldos por Pagar</v>
          </cell>
          <cell r="C56" t="str">
            <v xml:space="preserve"> </v>
          </cell>
          <cell r="D56">
            <v>11583.48</v>
          </cell>
          <cell r="E56">
            <v>0</v>
          </cell>
          <cell r="F56">
            <v>5843.12</v>
          </cell>
          <cell r="G56" t="str">
            <v xml:space="preserve"> </v>
          </cell>
          <cell r="H56">
            <v>17426.599999999999</v>
          </cell>
        </row>
        <row r="57">
          <cell r="A57" t="str">
            <v>2103-000</v>
          </cell>
          <cell r="B57" t="str">
            <v>IMPUESTOS POR PAGAR</v>
          </cell>
          <cell r="C57" t="str">
            <v xml:space="preserve"> </v>
          </cell>
          <cell r="D57">
            <v>9743.26</v>
          </cell>
          <cell r="E57">
            <v>0</v>
          </cell>
          <cell r="F57">
            <v>86.48</v>
          </cell>
          <cell r="G57" t="str">
            <v xml:space="preserve"> </v>
          </cell>
          <cell r="H57">
            <v>9829.74</v>
          </cell>
        </row>
        <row r="58">
          <cell r="A58" t="str">
            <v>2103-004</v>
          </cell>
          <cell r="B58" t="str">
            <v>IMSS</v>
          </cell>
          <cell r="C58" t="str">
            <v xml:space="preserve"> </v>
          </cell>
          <cell r="D58">
            <v>108.1</v>
          </cell>
          <cell r="E58">
            <v>0</v>
          </cell>
          <cell r="F58">
            <v>86.48</v>
          </cell>
          <cell r="G58" t="str">
            <v xml:space="preserve"> </v>
          </cell>
          <cell r="H58">
            <v>194.58</v>
          </cell>
        </row>
        <row r="59">
          <cell r="A59" t="str">
            <v>4000-000</v>
          </cell>
          <cell r="B59" t="str">
            <v>INGRESOS</v>
          </cell>
          <cell r="C59" t="str">
            <v xml:space="preserve"> </v>
          </cell>
          <cell r="D59">
            <v>8101727.5800000001</v>
          </cell>
          <cell r="E59">
            <v>0</v>
          </cell>
          <cell r="F59">
            <v>1036411.36</v>
          </cell>
          <cell r="G59" t="str">
            <v xml:space="preserve"> </v>
          </cell>
          <cell r="H59">
            <v>9138138.9399999995</v>
          </cell>
        </row>
        <row r="60">
          <cell r="A60" t="str">
            <v>4100-000</v>
          </cell>
          <cell r="B60" t="str">
            <v>VENTAS</v>
          </cell>
          <cell r="C60" t="str">
            <v xml:space="preserve"> </v>
          </cell>
          <cell r="D60">
            <v>8078038.5</v>
          </cell>
          <cell r="E60">
            <v>0</v>
          </cell>
          <cell r="F60">
            <v>1036411</v>
          </cell>
          <cell r="G60" t="str">
            <v xml:space="preserve"> </v>
          </cell>
          <cell r="H60">
            <v>9114449.5</v>
          </cell>
        </row>
        <row r="61">
          <cell r="A61" t="str">
            <v>4100-001</v>
          </cell>
          <cell r="B61" t="str">
            <v>Venta de Frijol</v>
          </cell>
          <cell r="C61" t="str">
            <v xml:space="preserve"> </v>
          </cell>
          <cell r="D61">
            <v>7133537.5</v>
          </cell>
          <cell r="E61">
            <v>0</v>
          </cell>
          <cell r="F61">
            <v>933697</v>
          </cell>
          <cell r="G61" t="str">
            <v xml:space="preserve"> </v>
          </cell>
          <cell r="H61">
            <v>8067234.5</v>
          </cell>
        </row>
        <row r="62">
          <cell r="A62" t="str">
            <v>4100-002</v>
          </cell>
          <cell r="B62" t="str">
            <v>Venta de Maiz</v>
          </cell>
          <cell r="C62" t="str">
            <v xml:space="preserve"> </v>
          </cell>
          <cell r="D62">
            <v>944501</v>
          </cell>
          <cell r="E62">
            <v>0</v>
          </cell>
          <cell r="F62">
            <v>102714</v>
          </cell>
          <cell r="G62" t="str">
            <v xml:space="preserve"> </v>
          </cell>
          <cell r="H62">
            <v>1047215</v>
          </cell>
        </row>
        <row r="63">
          <cell r="A63" t="str">
            <v>4300-000</v>
          </cell>
          <cell r="B63" t="str">
            <v>OTROS PRODUCTOS</v>
          </cell>
          <cell r="C63" t="str">
            <v xml:space="preserve"> </v>
          </cell>
          <cell r="D63">
            <v>3.08</v>
          </cell>
          <cell r="E63">
            <v>0</v>
          </cell>
          <cell r="F63">
            <v>0.36</v>
          </cell>
          <cell r="G63" t="str">
            <v xml:space="preserve"> </v>
          </cell>
          <cell r="H63">
            <v>3.44</v>
          </cell>
        </row>
        <row r="64">
          <cell r="A64" t="str">
            <v>4300-001</v>
          </cell>
          <cell r="B64" t="str">
            <v>Ganancia por redondeo</v>
          </cell>
          <cell r="C64" t="str">
            <v xml:space="preserve"> </v>
          </cell>
          <cell r="D64">
            <v>3.08</v>
          </cell>
          <cell r="E64">
            <v>0</v>
          </cell>
          <cell r="F64">
            <v>0.36</v>
          </cell>
          <cell r="G64" t="str">
            <v xml:space="preserve"> </v>
          </cell>
          <cell r="H64">
            <v>3.44</v>
          </cell>
        </row>
        <row r="65">
          <cell r="A65" t="str">
            <v>5000-000</v>
          </cell>
          <cell r="B65" t="str">
            <v>EGRESOS</v>
          </cell>
          <cell r="C65">
            <v>8924251.0800000001</v>
          </cell>
          <cell r="D65" t="str">
            <v xml:space="preserve"> </v>
          </cell>
          <cell r="E65">
            <v>1385467.52</v>
          </cell>
          <cell r="F65">
            <v>0</v>
          </cell>
          <cell r="G65">
            <v>10309718.6</v>
          </cell>
          <cell r="H65" t="str">
            <v xml:space="preserve"> </v>
          </cell>
        </row>
        <row r="66">
          <cell r="A66" t="str">
            <v>5100-000</v>
          </cell>
          <cell r="B66" t="str">
            <v>COMPRAS</v>
          </cell>
          <cell r="C66">
            <v>8736108.6799999997</v>
          </cell>
          <cell r="D66" t="str">
            <v xml:space="preserve"> </v>
          </cell>
          <cell r="E66">
            <v>1354632.7</v>
          </cell>
          <cell r="F66">
            <v>0</v>
          </cell>
          <cell r="G66">
            <v>10090741.380000001</v>
          </cell>
          <cell r="H66" t="str">
            <v xml:space="preserve"> </v>
          </cell>
        </row>
        <row r="67">
          <cell r="A67" t="str">
            <v>5100-002</v>
          </cell>
          <cell r="B67" t="str">
            <v>Compra de Frijol</v>
          </cell>
          <cell r="C67">
            <v>7758115.0800000001</v>
          </cell>
          <cell r="D67" t="str">
            <v xml:space="preserve"> </v>
          </cell>
          <cell r="E67">
            <v>1354632.7</v>
          </cell>
          <cell r="F67">
            <v>0</v>
          </cell>
          <cell r="G67">
            <v>9112747.7799999993</v>
          </cell>
          <cell r="H67" t="str">
            <v xml:space="preserve"> </v>
          </cell>
        </row>
        <row r="68">
          <cell r="A68" t="str">
            <v>5200-000</v>
          </cell>
          <cell r="B68" t="str">
            <v>GASTOS GENERALES</v>
          </cell>
          <cell r="C68">
            <v>171684.73</v>
          </cell>
          <cell r="D68" t="str">
            <v xml:space="preserve"> </v>
          </cell>
          <cell r="E68">
            <v>30440.46</v>
          </cell>
          <cell r="F68">
            <v>0</v>
          </cell>
          <cell r="G68">
            <v>202125.19</v>
          </cell>
          <cell r="H68" t="str">
            <v xml:space="preserve"> </v>
          </cell>
        </row>
        <row r="69">
          <cell r="A69" t="str">
            <v>5200-100</v>
          </cell>
          <cell r="B69" t="str">
            <v>PERSONAL</v>
          </cell>
          <cell r="C69">
            <v>11613.02</v>
          </cell>
          <cell r="D69" t="str">
            <v xml:space="preserve"> </v>
          </cell>
          <cell r="E69">
            <v>5406.64</v>
          </cell>
          <cell r="F69">
            <v>0</v>
          </cell>
          <cell r="G69">
            <v>17019.66</v>
          </cell>
          <cell r="H69" t="str">
            <v xml:space="preserve"> </v>
          </cell>
        </row>
        <row r="70">
          <cell r="A70" t="str">
            <v>5200-103</v>
          </cell>
          <cell r="B70" t="str">
            <v>Sueldos y Salarios</v>
          </cell>
          <cell r="C70">
            <v>6652.14</v>
          </cell>
          <cell r="D70" t="str">
            <v xml:space="preserve"> </v>
          </cell>
          <cell r="E70">
            <v>3482.64</v>
          </cell>
          <cell r="F70">
            <v>0</v>
          </cell>
          <cell r="G70">
            <v>10134.780000000001</v>
          </cell>
          <cell r="H70" t="str">
            <v xml:space="preserve"> </v>
          </cell>
        </row>
        <row r="71">
          <cell r="A71" t="str">
            <v>5200-104</v>
          </cell>
          <cell r="B71" t="str">
            <v>Bono de Puntualidad</v>
          </cell>
          <cell r="C71">
            <v>665.17</v>
          </cell>
          <cell r="D71" t="str">
            <v xml:space="preserve"> </v>
          </cell>
          <cell r="E71">
            <v>348.24</v>
          </cell>
          <cell r="F71">
            <v>0</v>
          </cell>
          <cell r="G71">
            <v>1013.41</v>
          </cell>
          <cell r="H71" t="str">
            <v xml:space="preserve"> </v>
          </cell>
        </row>
        <row r="72">
          <cell r="A72" t="str">
            <v>5200-105</v>
          </cell>
          <cell r="B72" t="str">
            <v>Bono de Asistencia</v>
          </cell>
          <cell r="C72">
            <v>665.17</v>
          </cell>
          <cell r="D72" t="str">
            <v xml:space="preserve"> </v>
          </cell>
          <cell r="E72">
            <v>348.24</v>
          </cell>
          <cell r="F72">
            <v>0</v>
          </cell>
          <cell r="G72">
            <v>1013.41</v>
          </cell>
          <cell r="H72" t="str">
            <v xml:space="preserve"> </v>
          </cell>
        </row>
        <row r="73">
          <cell r="A73" t="str">
            <v>5200-106</v>
          </cell>
          <cell r="B73" t="str">
            <v>Despensa</v>
          </cell>
          <cell r="C73">
            <v>2608.48</v>
          </cell>
          <cell r="D73" t="str">
            <v xml:space="preserve"> </v>
          </cell>
          <cell r="E73">
            <v>1227.52</v>
          </cell>
          <cell r="F73">
            <v>0</v>
          </cell>
          <cell r="G73">
            <v>3836</v>
          </cell>
          <cell r="H73" t="str">
            <v xml:space="preserve"> </v>
          </cell>
        </row>
        <row r="74">
          <cell r="A74" t="str">
            <v>5200-200</v>
          </cell>
          <cell r="B74" t="str">
            <v>SERVICIOS</v>
          </cell>
          <cell r="C74">
            <v>25499.26</v>
          </cell>
          <cell r="D74" t="str">
            <v xml:space="preserve"> </v>
          </cell>
          <cell r="E74">
            <v>506.52</v>
          </cell>
          <cell r="F74">
            <v>0</v>
          </cell>
          <cell r="G74">
            <v>26005.78</v>
          </cell>
          <cell r="H74" t="str">
            <v xml:space="preserve"> </v>
          </cell>
        </row>
        <row r="75">
          <cell r="A75" t="str">
            <v>5200-211</v>
          </cell>
          <cell r="B75" t="str">
            <v>Otros Impuestos y Derechos Estatales</v>
          </cell>
          <cell r="C75">
            <v>55.06</v>
          </cell>
          <cell r="D75" t="str">
            <v xml:space="preserve"> </v>
          </cell>
          <cell r="E75">
            <v>11.44</v>
          </cell>
          <cell r="F75">
            <v>0</v>
          </cell>
          <cell r="G75">
            <v>66.5</v>
          </cell>
          <cell r="H75" t="str">
            <v xml:space="preserve"> </v>
          </cell>
        </row>
        <row r="76">
          <cell r="A76" t="str">
            <v>5200-213</v>
          </cell>
          <cell r="B76" t="str">
            <v>Mensajeria</v>
          </cell>
          <cell r="C76">
            <v>113</v>
          </cell>
          <cell r="D76" t="str">
            <v xml:space="preserve"> </v>
          </cell>
          <cell r="E76">
            <v>133.33000000000001</v>
          </cell>
          <cell r="F76">
            <v>0</v>
          </cell>
          <cell r="G76">
            <v>246.33</v>
          </cell>
          <cell r="H76" t="str">
            <v xml:space="preserve"> </v>
          </cell>
        </row>
        <row r="77">
          <cell r="A77" t="str">
            <v>5200-214</v>
          </cell>
          <cell r="B77" t="str">
            <v>Gastos Varios</v>
          </cell>
          <cell r="C77">
            <v>852.65</v>
          </cell>
          <cell r="D77" t="str">
            <v xml:space="preserve"> </v>
          </cell>
          <cell r="E77">
            <v>361.75</v>
          </cell>
          <cell r="F77">
            <v>0</v>
          </cell>
          <cell r="G77">
            <v>1214.4000000000001</v>
          </cell>
          <cell r="H77" t="str">
            <v xml:space="preserve"> </v>
          </cell>
        </row>
        <row r="78">
          <cell r="A78" t="str">
            <v>5200-300</v>
          </cell>
          <cell r="B78" t="str">
            <v>MANTENIMIENTOS</v>
          </cell>
          <cell r="C78">
            <v>65521.4</v>
          </cell>
          <cell r="D78" t="str">
            <v xml:space="preserve"> </v>
          </cell>
          <cell r="E78">
            <v>17206.080000000002</v>
          </cell>
          <cell r="F78">
            <v>0</v>
          </cell>
          <cell r="G78">
            <v>82727.48</v>
          </cell>
          <cell r="H78" t="str">
            <v xml:space="preserve"> </v>
          </cell>
        </row>
        <row r="79">
          <cell r="A79" t="str">
            <v>5200-301</v>
          </cell>
          <cell r="B79" t="str">
            <v>Mtto. de equipo de transporte</v>
          </cell>
          <cell r="C79">
            <v>65521.4</v>
          </cell>
          <cell r="D79" t="str">
            <v xml:space="preserve"> </v>
          </cell>
          <cell r="E79">
            <v>17206.080000000002</v>
          </cell>
          <cell r="F79">
            <v>0</v>
          </cell>
          <cell r="G79">
            <v>82727.48</v>
          </cell>
          <cell r="H79" t="str">
            <v xml:space="preserve"> </v>
          </cell>
        </row>
        <row r="80">
          <cell r="A80" t="str">
            <v>5200-400</v>
          </cell>
          <cell r="B80" t="str">
            <v>GASTOS DE VIAJE</v>
          </cell>
          <cell r="C80">
            <v>56771.02</v>
          </cell>
          <cell r="D80" t="str">
            <v xml:space="preserve"> </v>
          </cell>
          <cell r="E80">
            <v>7321.22</v>
          </cell>
          <cell r="F80">
            <v>0</v>
          </cell>
          <cell r="G80">
            <v>64092.24</v>
          </cell>
          <cell r="H80" t="str">
            <v xml:space="preserve"> </v>
          </cell>
        </row>
        <row r="81">
          <cell r="A81" t="str">
            <v>5200-402</v>
          </cell>
          <cell r="B81" t="str">
            <v>Cuotas de Peaje</v>
          </cell>
          <cell r="C81">
            <v>14528.37</v>
          </cell>
          <cell r="D81" t="str">
            <v xml:space="preserve"> </v>
          </cell>
          <cell r="E81">
            <v>2799</v>
          </cell>
          <cell r="F81">
            <v>0</v>
          </cell>
          <cell r="G81">
            <v>17327.37</v>
          </cell>
          <cell r="H81" t="str">
            <v xml:space="preserve"> </v>
          </cell>
        </row>
        <row r="82">
          <cell r="A82" t="str">
            <v>5200-403</v>
          </cell>
          <cell r="B82" t="str">
            <v>Combustibles y Lubricantes</v>
          </cell>
          <cell r="C82">
            <v>38985.99</v>
          </cell>
          <cell r="D82" t="str">
            <v xml:space="preserve"> </v>
          </cell>
          <cell r="E82">
            <v>3960.86</v>
          </cell>
          <cell r="F82">
            <v>0</v>
          </cell>
          <cell r="G82">
            <v>42946.85</v>
          </cell>
          <cell r="H82" t="str">
            <v xml:space="preserve"> </v>
          </cell>
        </row>
        <row r="83">
          <cell r="A83" t="str">
            <v>5200-404</v>
          </cell>
          <cell r="B83" t="str">
            <v>Hospedaje</v>
          </cell>
          <cell r="C83">
            <v>2279.27</v>
          </cell>
          <cell r="D83" t="str">
            <v xml:space="preserve"> </v>
          </cell>
          <cell r="E83">
            <v>381.36</v>
          </cell>
          <cell r="F83">
            <v>0</v>
          </cell>
          <cell r="G83">
            <v>2660.63</v>
          </cell>
          <cell r="H83" t="str">
            <v xml:space="preserve"> </v>
          </cell>
        </row>
        <row r="84">
          <cell r="A84" t="str">
            <v>5200-405</v>
          </cell>
          <cell r="B84" t="str">
            <v>Consumo</v>
          </cell>
          <cell r="C84">
            <v>977.39</v>
          </cell>
          <cell r="D84" t="str">
            <v xml:space="preserve"> </v>
          </cell>
          <cell r="E84">
            <v>180</v>
          </cell>
          <cell r="F84">
            <v>0</v>
          </cell>
          <cell r="G84">
            <v>1157.3900000000001</v>
          </cell>
          <cell r="H84" t="str">
            <v xml:space="preserve"> </v>
          </cell>
        </row>
        <row r="85">
          <cell r="A85" t="str">
            <v>5300-000</v>
          </cell>
          <cell r="B85" t="str">
            <v>GASTOS FINANCIEROS</v>
          </cell>
          <cell r="C85">
            <v>4254</v>
          </cell>
          <cell r="D85" t="str">
            <v xml:space="preserve"> </v>
          </cell>
          <cell r="E85">
            <v>394</v>
          </cell>
          <cell r="F85">
            <v>0</v>
          </cell>
          <cell r="G85">
            <v>4648</v>
          </cell>
          <cell r="H85" t="str">
            <v xml:space="preserve"> </v>
          </cell>
        </row>
        <row r="86">
          <cell r="A86" t="str">
            <v>5300-001</v>
          </cell>
          <cell r="B86" t="str">
            <v>Comisiones Bancarias</v>
          </cell>
          <cell r="C86">
            <v>4254</v>
          </cell>
          <cell r="D86" t="str">
            <v xml:space="preserve"> </v>
          </cell>
          <cell r="E86">
            <v>394</v>
          </cell>
          <cell r="F86">
            <v>0</v>
          </cell>
          <cell r="G86">
            <v>4648</v>
          </cell>
          <cell r="H86" t="str">
            <v xml:space="preserve"> </v>
          </cell>
        </row>
        <row r="87">
          <cell r="A87" t="str">
            <v>5400-000</v>
          </cell>
          <cell r="B87" t="str">
            <v>OTROS GASTOS</v>
          </cell>
          <cell r="C87">
            <v>0.56999999999999995</v>
          </cell>
          <cell r="D87" t="str">
            <v xml:space="preserve"> </v>
          </cell>
          <cell r="E87">
            <v>0.36</v>
          </cell>
          <cell r="F87">
            <v>0</v>
          </cell>
          <cell r="G87">
            <v>0.93</v>
          </cell>
          <cell r="H87" t="str">
            <v xml:space="preserve"> </v>
          </cell>
        </row>
        <row r="88">
          <cell r="A88" t="str">
            <v>5400-001</v>
          </cell>
          <cell r="B88" t="str">
            <v>Perdida por redondeo</v>
          </cell>
          <cell r="C88">
            <v>0.56999999999999995</v>
          </cell>
          <cell r="D88" t="str">
            <v xml:space="preserve"> </v>
          </cell>
          <cell r="E88">
            <v>0.36</v>
          </cell>
          <cell r="F88">
            <v>0</v>
          </cell>
          <cell r="G88">
            <v>0.93</v>
          </cell>
          <cell r="H88" t="str">
            <v xml:space="preserve"> </v>
          </cell>
        </row>
        <row r="89">
          <cell r="A89" t="str">
            <v xml:space="preserve"> </v>
          </cell>
        </row>
        <row r="90">
          <cell r="B90" t="str">
            <v>Total cuentas no impresas</v>
          </cell>
          <cell r="C90">
            <v>1131676.3400000001</v>
          </cell>
          <cell r="E90">
            <v>0</v>
          </cell>
          <cell r="F90">
            <v>0</v>
          </cell>
          <cell r="G90">
            <v>1131676.3400000001</v>
          </cell>
        </row>
        <row r="91">
          <cell r="B91" t="str">
            <v xml:space="preserve"> </v>
          </cell>
          <cell r="D91">
            <v>1282923.1000000001</v>
          </cell>
          <cell r="H91">
            <v>1282923.1000000001</v>
          </cell>
        </row>
        <row r="92">
          <cell r="A92" t="str">
            <v xml:space="preserve"> </v>
          </cell>
        </row>
        <row r="94">
          <cell r="B94" t="str">
            <v xml:space="preserve">Sumas Iguales: </v>
          </cell>
          <cell r="C94">
            <v>9725595.7899999991</v>
          </cell>
          <cell r="E94">
            <v>4672130.26</v>
          </cell>
          <cell r="F94">
            <v>4672130.26</v>
          </cell>
          <cell r="G94">
            <v>11548356.35</v>
          </cell>
        </row>
        <row r="95">
          <cell r="D95">
            <v>9783156.0600000005</v>
          </cell>
          <cell r="H95">
            <v>11605916.619999999</v>
          </cell>
        </row>
      </sheetData>
      <sheetData sheetId="4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2606280.4900000002</v>
          </cell>
          <cell r="D8" t="str">
            <v xml:space="preserve"> </v>
          </cell>
          <cell r="E8">
            <v>2539443.09</v>
          </cell>
          <cell r="F8">
            <v>4344378.87</v>
          </cell>
          <cell r="G8">
            <v>801344.71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2606280.4900000002</v>
          </cell>
          <cell r="D9" t="str">
            <v xml:space="preserve"> </v>
          </cell>
          <cell r="E9">
            <v>2539443.09</v>
          </cell>
          <cell r="F9">
            <v>4344378.87</v>
          </cell>
          <cell r="G9">
            <v>801344.71</v>
          </cell>
          <cell r="H9" t="str">
            <v xml:space="preserve"> </v>
          </cell>
        </row>
        <row r="10">
          <cell r="A10" t="str">
            <v>1101-000</v>
          </cell>
          <cell r="B10" t="str">
            <v xml:space="preserve">CAJA </v>
          </cell>
          <cell r="C10">
            <v>4099</v>
          </cell>
          <cell r="D10" t="str">
            <v xml:space="preserve"> </v>
          </cell>
          <cell r="E10">
            <v>0</v>
          </cell>
          <cell r="F10">
            <v>442.5</v>
          </cell>
          <cell r="G10">
            <v>3656.5</v>
          </cell>
          <cell r="H10" t="str">
            <v xml:space="preserve"> </v>
          </cell>
        </row>
        <row r="11">
          <cell r="A11" t="str">
            <v>1101-001</v>
          </cell>
          <cell r="B11" t="str">
            <v>Fondo Fijo</v>
          </cell>
          <cell r="C11">
            <v>4099</v>
          </cell>
          <cell r="D11" t="str">
            <v xml:space="preserve"> </v>
          </cell>
          <cell r="E11">
            <v>0</v>
          </cell>
          <cell r="F11">
            <v>442.5</v>
          </cell>
          <cell r="G11">
            <v>3656.5</v>
          </cell>
          <cell r="H11" t="str">
            <v xml:space="preserve"> </v>
          </cell>
        </row>
        <row r="12">
          <cell r="A12" t="str">
            <v>1102-000</v>
          </cell>
          <cell r="B12" t="str">
            <v>BANCOS</v>
          </cell>
          <cell r="C12">
            <v>3492.64</v>
          </cell>
          <cell r="D12" t="str">
            <v xml:space="preserve"> </v>
          </cell>
          <cell r="E12">
            <v>1298250.5</v>
          </cell>
          <cell r="F12">
            <v>1300433.33</v>
          </cell>
          <cell r="G12">
            <v>1309.81</v>
          </cell>
          <cell r="H12" t="str">
            <v xml:space="preserve"> </v>
          </cell>
        </row>
        <row r="13">
          <cell r="A13" t="str">
            <v>1102-001</v>
          </cell>
          <cell r="B13" t="str">
            <v>Santander Cta: 92001131081</v>
          </cell>
          <cell r="C13">
            <v>3492.64</v>
          </cell>
          <cell r="D13" t="str">
            <v xml:space="preserve"> </v>
          </cell>
          <cell r="E13">
            <v>1298250.5</v>
          </cell>
          <cell r="F13">
            <v>1300433.33</v>
          </cell>
          <cell r="G13">
            <v>1309.81</v>
          </cell>
          <cell r="H13" t="str">
            <v xml:space="preserve"> </v>
          </cell>
        </row>
        <row r="14">
          <cell r="A14" t="str">
            <v>1103-000</v>
          </cell>
          <cell r="B14" t="str">
            <v>CLIENTES</v>
          </cell>
          <cell r="C14">
            <v>896230</v>
          </cell>
          <cell r="D14" t="str">
            <v xml:space="preserve"> </v>
          </cell>
          <cell r="E14">
            <v>1000482</v>
          </cell>
          <cell r="F14">
            <v>1290564.5</v>
          </cell>
          <cell r="G14">
            <v>606147.5</v>
          </cell>
          <cell r="H14" t="str">
            <v xml:space="preserve"> </v>
          </cell>
        </row>
        <row r="15">
          <cell r="A15" t="str">
            <v>1103-003</v>
          </cell>
          <cell r="B15" t="str">
            <v>Abastecedora Coemrcial de Parral S.A. de C.V.</v>
          </cell>
          <cell r="C15">
            <v>0</v>
          </cell>
          <cell r="D15" t="str">
            <v xml:space="preserve"> </v>
          </cell>
          <cell r="E15">
            <v>31000</v>
          </cell>
          <cell r="F15">
            <v>0</v>
          </cell>
          <cell r="G15">
            <v>31000</v>
          </cell>
          <cell r="H15" t="str">
            <v xml:space="preserve"> </v>
          </cell>
        </row>
        <row r="16">
          <cell r="A16" t="str">
            <v>1103-005</v>
          </cell>
          <cell r="B16" t="str">
            <v>Amaya Comercial S.A. DE C.V.</v>
          </cell>
          <cell r="C16">
            <v>0</v>
          </cell>
          <cell r="D16" t="str">
            <v xml:space="preserve"> </v>
          </cell>
          <cell r="E16">
            <v>130500</v>
          </cell>
          <cell r="F16">
            <v>65250</v>
          </cell>
          <cell r="G16">
            <v>65250</v>
          </cell>
          <cell r="H16" t="str">
            <v xml:space="preserve"> </v>
          </cell>
        </row>
        <row r="17">
          <cell r="A17" t="str">
            <v>1103-007</v>
          </cell>
          <cell r="B17" t="str">
            <v>Distribuidora de Granos y Semillas Baca S.A. de C.</v>
          </cell>
          <cell r="C17">
            <v>574052.5</v>
          </cell>
          <cell r="D17" t="str">
            <v xml:space="preserve"> </v>
          </cell>
          <cell r="E17">
            <v>430065</v>
          </cell>
          <cell r="F17">
            <v>954097.5</v>
          </cell>
          <cell r="G17">
            <v>50020</v>
          </cell>
          <cell r="H17" t="str">
            <v xml:space="preserve"> </v>
          </cell>
        </row>
        <row r="18">
          <cell r="A18" t="str">
            <v>1103-008</v>
          </cell>
          <cell r="B18" t="str">
            <v>Alonso Pacheco Garcia</v>
          </cell>
          <cell r="C18">
            <v>0</v>
          </cell>
          <cell r="D18" t="str">
            <v xml:space="preserve"> </v>
          </cell>
          <cell r="E18">
            <v>65250</v>
          </cell>
          <cell r="F18">
            <v>0</v>
          </cell>
          <cell r="G18">
            <v>65250</v>
          </cell>
          <cell r="H18" t="str">
            <v xml:space="preserve"> </v>
          </cell>
        </row>
        <row r="19">
          <cell r="A19" t="str">
            <v>1103-011</v>
          </cell>
          <cell r="B19" t="str">
            <v>Gonzalo Gallegos Montes</v>
          </cell>
          <cell r="C19">
            <v>190251.5</v>
          </cell>
          <cell r="D19" t="str">
            <v xml:space="preserve"> </v>
          </cell>
          <cell r="E19">
            <v>251642</v>
          </cell>
          <cell r="F19">
            <v>251642</v>
          </cell>
          <cell r="G19">
            <v>190251.5</v>
          </cell>
          <cell r="H19" t="str">
            <v xml:space="preserve"> </v>
          </cell>
        </row>
        <row r="20">
          <cell r="A20" t="str">
            <v>1103-016</v>
          </cell>
          <cell r="B20" t="str">
            <v>Gloria Alicia Ramirez Hernandez</v>
          </cell>
          <cell r="C20">
            <v>28800</v>
          </cell>
          <cell r="D20" t="str">
            <v xml:space="preserve"> </v>
          </cell>
          <cell r="E20">
            <v>7200</v>
          </cell>
          <cell r="F20">
            <v>0</v>
          </cell>
          <cell r="G20">
            <v>36000</v>
          </cell>
          <cell r="H20" t="str">
            <v xml:space="preserve"> </v>
          </cell>
        </row>
        <row r="21">
          <cell r="A21" t="str">
            <v>1103-021</v>
          </cell>
          <cell r="B21" t="str">
            <v>Sonia Latife</v>
          </cell>
          <cell r="C21">
            <v>0</v>
          </cell>
          <cell r="D21" t="str">
            <v xml:space="preserve"> </v>
          </cell>
          <cell r="E21">
            <v>45675</v>
          </cell>
          <cell r="F21">
            <v>19575</v>
          </cell>
          <cell r="G21">
            <v>26100</v>
          </cell>
          <cell r="H21" t="str">
            <v xml:space="preserve"> </v>
          </cell>
        </row>
        <row r="22">
          <cell r="A22" t="str">
            <v>1103-023</v>
          </cell>
          <cell r="B22" t="str">
            <v>Abarrotes del Norte de la Sierra S.A DE C.V.</v>
          </cell>
          <cell r="C22">
            <v>0</v>
          </cell>
          <cell r="D22" t="str">
            <v xml:space="preserve"> </v>
          </cell>
          <cell r="E22">
            <v>39150</v>
          </cell>
          <cell r="F22">
            <v>0</v>
          </cell>
          <cell r="G22">
            <v>39150</v>
          </cell>
          <cell r="H22" t="str">
            <v xml:space="preserve"> </v>
          </cell>
        </row>
        <row r="23">
          <cell r="A23" t="str">
            <v>1104-000</v>
          </cell>
          <cell r="B23" t="str">
            <v>DEUDORES DIVERSOS</v>
          </cell>
          <cell r="C23">
            <v>52591.8</v>
          </cell>
          <cell r="D23" t="str">
            <v xml:space="preserve"> </v>
          </cell>
          <cell r="E23">
            <v>23600</v>
          </cell>
          <cell r="F23">
            <v>12898.54</v>
          </cell>
          <cell r="G23">
            <v>63293.26</v>
          </cell>
          <cell r="H23" t="str">
            <v xml:space="preserve"> </v>
          </cell>
        </row>
        <row r="24">
          <cell r="A24" t="str">
            <v>1104-001</v>
          </cell>
          <cell r="B24" t="str">
            <v>Veronica Prieto Medrano</v>
          </cell>
          <cell r="C24">
            <v>52591.8</v>
          </cell>
          <cell r="D24" t="str">
            <v xml:space="preserve"> </v>
          </cell>
          <cell r="E24">
            <v>23600</v>
          </cell>
          <cell r="F24">
            <v>12898.54</v>
          </cell>
          <cell r="G24">
            <v>63293.26</v>
          </cell>
          <cell r="H24" t="str">
            <v xml:space="preserve"> </v>
          </cell>
        </row>
        <row r="25">
          <cell r="A25" t="str">
            <v>1105-000</v>
          </cell>
          <cell r="B25" t="str">
            <v>IVA ACREDITABLE</v>
          </cell>
          <cell r="C25">
            <v>38006.949999999997</v>
          </cell>
          <cell r="D25" t="str">
            <v xml:space="preserve"> </v>
          </cell>
          <cell r="E25">
            <v>3076.99</v>
          </cell>
          <cell r="F25">
            <v>0</v>
          </cell>
          <cell r="G25">
            <v>41083.94</v>
          </cell>
          <cell r="H25" t="str">
            <v xml:space="preserve"> </v>
          </cell>
        </row>
        <row r="26">
          <cell r="A26" t="str">
            <v>1105-001</v>
          </cell>
          <cell r="B26" t="str">
            <v>Iva Acreditable Pend. de Pago</v>
          </cell>
          <cell r="C26">
            <v>7642.86</v>
          </cell>
          <cell r="D26" t="str">
            <v xml:space="preserve"> </v>
          </cell>
          <cell r="E26">
            <v>2000.96</v>
          </cell>
          <cell r="F26">
            <v>0</v>
          </cell>
          <cell r="G26">
            <v>9643.82</v>
          </cell>
          <cell r="H26" t="str">
            <v xml:space="preserve"> </v>
          </cell>
        </row>
        <row r="27">
          <cell r="A27" t="str">
            <v>1105-002</v>
          </cell>
          <cell r="B27" t="str">
            <v>Iva  Acreditable Efect. Pagado</v>
          </cell>
          <cell r="C27">
            <v>30364.09</v>
          </cell>
          <cell r="D27" t="str">
            <v xml:space="preserve"> </v>
          </cell>
          <cell r="E27">
            <v>1076.03</v>
          </cell>
          <cell r="F27">
            <v>0</v>
          </cell>
          <cell r="G27">
            <v>31440.12</v>
          </cell>
          <cell r="H27" t="str">
            <v xml:space="preserve"> </v>
          </cell>
        </row>
        <row r="28">
          <cell r="A28" t="str">
            <v>1107-000</v>
          </cell>
          <cell r="B28" t="str">
            <v>ANTICIPO A PROVEEDORES</v>
          </cell>
          <cell r="C28">
            <v>1609780</v>
          </cell>
          <cell r="D28" t="str">
            <v xml:space="preserve"> </v>
          </cell>
          <cell r="E28">
            <v>213380</v>
          </cell>
          <cell r="F28">
            <v>1740040</v>
          </cell>
          <cell r="G28">
            <v>83120</v>
          </cell>
          <cell r="H28" t="str">
            <v xml:space="preserve"> </v>
          </cell>
        </row>
        <row r="29">
          <cell r="A29" t="str">
            <v>1107-034</v>
          </cell>
          <cell r="B29" t="str">
            <v>Anna Wieler Wiebe</v>
          </cell>
          <cell r="C29">
            <v>500000</v>
          </cell>
          <cell r="D29" t="str">
            <v xml:space="preserve"> </v>
          </cell>
          <cell r="E29">
            <v>0</v>
          </cell>
          <cell r="F29">
            <v>500000</v>
          </cell>
          <cell r="G29">
            <v>0</v>
          </cell>
          <cell r="H29" t="str">
            <v xml:space="preserve"> </v>
          </cell>
        </row>
        <row r="30">
          <cell r="A30" t="str">
            <v>1107-035</v>
          </cell>
          <cell r="B30" t="str">
            <v>Luis Antoinio Chavez Villagran</v>
          </cell>
          <cell r="C30">
            <v>0</v>
          </cell>
          <cell r="D30" t="str">
            <v xml:space="preserve"> </v>
          </cell>
          <cell r="E30">
            <v>2000</v>
          </cell>
          <cell r="F30">
            <v>0</v>
          </cell>
          <cell r="G30">
            <v>2000</v>
          </cell>
          <cell r="H30" t="str">
            <v xml:space="preserve"> </v>
          </cell>
        </row>
        <row r="31">
          <cell r="A31" t="str">
            <v>1107-038</v>
          </cell>
          <cell r="B31" t="str">
            <v>David Hiebert Wiebe</v>
          </cell>
          <cell r="C31">
            <v>79140</v>
          </cell>
          <cell r="D31" t="str">
            <v xml:space="preserve"> </v>
          </cell>
          <cell r="E31">
            <v>0</v>
          </cell>
          <cell r="F31">
            <v>79140</v>
          </cell>
          <cell r="G31">
            <v>0</v>
          </cell>
          <cell r="H31" t="str">
            <v xml:space="preserve"> </v>
          </cell>
        </row>
        <row r="32">
          <cell r="A32" t="str">
            <v>1107-039</v>
          </cell>
          <cell r="B32" t="str">
            <v>Anna Friessen Peters</v>
          </cell>
          <cell r="C32">
            <v>540000</v>
          </cell>
          <cell r="D32" t="str">
            <v xml:space="preserve"> </v>
          </cell>
          <cell r="E32">
            <v>0</v>
          </cell>
          <cell r="F32">
            <v>540000</v>
          </cell>
          <cell r="G32">
            <v>0</v>
          </cell>
          <cell r="H32" t="str">
            <v xml:space="preserve"> </v>
          </cell>
        </row>
        <row r="33">
          <cell r="A33" t="str">
            <v>1107-042</v>
          </cell>
          <cell r="B33" t="str">
            <v>Elizabeth Friesen Neudorf</v>
          </cell>
          <cell r="C33">
            <v>71000</v>
          </cell>
          <cell r="D33" t="str">
            <v xml:space="preserve"> </v>
          </cell>
          <cell r="E33">
            <v>0</v>
          </cell>
          <cell r="F33">
            <v>71000</v>
          </cell>
          <cell r="G33">
            <v>0</v>
          </cell>
          <cell r="H33" t="str">
            <v xml:space="preserve"> </v>
          </cell>
        </row>
        <row r="34">
          <cell r="A34" t="str">
            <v>1107-044</v>
          </cell>
          <cell r="B34" t="str">
            <v>Bernhard Rempel Blatz</v>
          </cell>
          <cell r="C34">
            <v>0</v>
          </cell>
          <cell r="D34" t="str">
            <v xml:space="preserve"> </v>
          </cell>
          <cell r="E34">
            <v>81120</v>
          </cell>
          <cell r="F34">
            <v>0</v>
          </cell>
          <cell r="G34">
            <v>81120</v>
          </cell>
          <cell r="H34" t="str">
            <v xml:space="preserve"> </v>
          </cell>
        </row>
        <row r="35">
          <cell r="A35" t="str">
            <v>1107-046</v>
          </cell>
          <cell r="B35" t="str">
            <v>Heinrich Wiebe Fehr</v>
          </cell>
          <cell r="C35">
            <v>419640</v>
          </cell>
          <cell r="D35" t="str">
            <v xml:space="preserve"> </v>
          </cell>
          <cell r="E35">
            <v>130260</v>
          </cell>
          <cell r="F35">
            <v>549900</v>
          </cell>
          <cell r="G35">
            <v>0</v>
          </cell>
          <cell r="H35" t="str">
            <v xml:space="preserve"> </v>
          </cell>
        </row>
        <row r="36">
          <cell r="A36" t="str">
            <v>1108-000</v>
          </cell>
          <cell r="B36" t="str">
            <v>SUBSIDIO AL EMPLEO</v>
          </cell>
          <cell r="C36">
            <v>507.1</v>
          </cell>
          <cell r="D36" t="str">
            <v xml:space="preserve"> </v>
          </cell>
          <cell r="E36">
            <v>653.6</v>
          </cell>
          <cell r="F36">
            <v>0</v>
          </cell>
          <cell r="G36">
            <v>1160.7</v>
          </cell>
          <cell r="H36" t="str">
            <v xml:space="preserve"> </v>
          </cell>
        </row>
        <row r="37">
          <cell r="A37" t="str">
            <v>2000-000</v>
          </cell>
          <cell r="B37" t="str">
            <v>PASIVO</v>
          </cell>
          <cell r="C37" t="str">
            <v xml:space="preserve"> </v>
          </cell>
          <cell r="D37">
            <v>1374957.8</v>
          </cell>
          <cell r="E37">
            <v>355502.57</v>
          </cell>
          <cell r="F37">
            <v>386488.5</v>
          </cell>
          <cell r="G37" t="str">
            <v xml:space="preserve"> </v>
          </cell>
          <cell r="H37">
            <v>1405943.73</v>
          </cell>
        </row>
        <row r="38">
          <cell r="A38" t="str">
            <v>2100-000</v>
          </cell>
          <cell r="B38" t="str">
            <v>PASIVO A CORTO PLAZO</v>
          </cell>
          <cell r="C38" t="str">
            <v xml:space="preserve"> </v>
          </cell>
          <cell r="D38">
            <v>1374957.8</v>
          </cell>
          <cell r="E38">
            <v>355502.57</v>
          </cell>
          <cell r="F38">
            <v>386488.5</v>
          </cell>
          <cell r="G38" t="str">
            <v xml:space="preserve"> </v>
          </cell>
          <cell r="H38">
            <v>1405943.73</v>
          </cell>
        </row>
        <row r="39">
          <cell r="A39" t="str">
            <v>2101-000</v>
          </cell>
          <cell r="B39" t="str">
            <v>PROVEEDORES</v>
          </cell>
          <cell r="C39" t="str">
            <v xml:space="preserve"> </v>
          </cell>
          <cell r="D39">
            <v>1301685.23</v>
          </cell>
          <cell r="E39">
            <v>355442.5</v>
          </cell>
          <cell r="F39">
            <v>363736.1</v>
          </cell>
          <cell r="G39" t="str">
            <v xml:space="preserve"> </v>
          </cell>
          <cell r="H39">
            <v>1309978.83</v>
          </cell>
        </row>
        <row r="40">
          <cell r="A40" t="str">
            <v>2101-004</v>
          </cell>
          <cell r="B40" t="str">
            <v>Pedro Neufeld Wall</v>
          </cell>
          <cell r="C40" t="str">
            <v xml:space="preserve"> </v>
          </cell>
          <cell r="D40">
            <v>200000</v>
          </cell>
          <cell r="E40">
            <v>200000</v>
          </cell>
          <cell r="F40">
            <v>0</v>
          </cell>
          <cell r="G40" t="str">
            <v xml:space="preserve"> </v>
          </cell>
          <cell r="H40">
            <v>0</v>
          </cell>
        </row>
        <row r="41">
          <cell r="A41" t="str">
            <v>2101-035</v>
          </cell>
          <cell r="B41" t="str">
            <v>Productores Unidos Por Un Ideal S.P.R. de R.L.</v>
          </cell>
          <cell r="C41" t="str">
            <v xml:space="preserve"> </v>
          </cell>
          <cell r="D41">
            <v>212750</v>
          </cell>
          <cell r="E41">
            <v>65000</v>
          </cell>
          <cell r="F41">
            <v>0</v>
          </cell>
          <cell r="G41" t="str">
            <v xml:space="preserve"> </v>
          </cell>
          <cell r="H41">
            <v>147750</v>
          </cell>
        </row>
        <row r="42">
          <cell r="A42" t="str">
            <v>2101-036</v>
          </cell>
          <cell r="B42" t="str">
            <v>David Hiebert Wiebe</v>
          </cell>
          <cell r="C42" t="str">
            <v xml:space="preserve"> </v>
          </cell>
          <cell r="D42">
            <v>0</v>
          </cell>
          <cell r="E42">
            <v>442.5</v>
          </cell>
          <cell r="F42">
            <v>442.5</v>
          </cell>
          <cell r="G42" t="str">
            <v xml:space="preserve"> </v>
          </cell>
          <cell r="H42">
            <v>0</v>
          </cell>
        </row>
        <row r="43">
          <cell r="A43" t="str">
            <v>2101-039</v>
          </cell>
          <cell r="B43" t="str">
            <v>Catarina Fher Wiebe</v>
          </cell>
          <cell r="C43" t="str">
            <v xml:space="preserve"> </v>
          </cell>
          <cell r="D43">
            <v>0</v>
          </cell>
          <cell r="E43">
            <v>0</v>
          </cell>
          <cell r="F43">
            <v>136200</v>
          </cell>
          <cell r="G43" t="str">
            <v xml:space="preserve"> </v>
          </cell>
          <cell r="H43">
            <v>136200</v>
          </cell>
        </row>
        <row r="44">
          <cell r="A44" t="str">
            <v>2101-041</v>
          </cell>
          <cell r="B44" t="str">
            <v>Elizabeth Friesen Neudorf</v>
          </cell>
          <cell r="C44" t="str">
            <v xml:space="preserve"> </v>
          </cell>
          <cell r="D44">
            <v>0</v>
          </cell>
          <cell r="E44">
            <v>0</v>
          </cell>
          <cell r="F44">
            <v>2793.8</v>
          </cell>
          <cell r="G44" t="str">
            <v xml:space="preserve"> </v>
          </cell>
          <cell r="H44">
            <v>2793.8</v>
          </cell>
        </row>
        <row r="45">
          <cell r="A45" t="str">
            <v>2101-043</v>
          </cell>
          <cell r="B45" t="str">
            <v>Heinrich Wiebe Fehr</v>
          </cell>
          <cell r="C45" t="str">
            <v xml:space="preserve"> </v>
          </cell>
          <cell r="D45">
            <v>0</v>
          </cell>
          <cell r="E45">
            <v>0</v>
          </cell>
          <cell r="F45">
            <v>106306.2</v>
          </cell>
          <cell r="G45" t="str">
            <v xml:space="preserve"> </v>
          </cell>
          <cell r="H45">
            <v>106306.2</v>
          </cell>
        </row>
        <row r="46">
          <cell r="A46" t="str">
            <v>2101-044</v>
          </cell>
          <cell r="B46" t="str">
            <v>Anna Friessen Peters</v>
          </cell>
          <cell r="C46" t="str">
            <v xml:space="preserve"> </v>
          </cell>
          <cell r="D46">
            <v>0</v>
          </cell>
          <cell r="E46">
            <v>0</v>
          </cell>
          <cell r="F46">
            <v>117993.60000000001</v>
          </cell>
          <cell r="G46" t="str">
            <v xml:space="preserve"> </v>
          </cell>
          <cell r="H46">
            <v>117993.60000000001</v>
          </cell>
        </row>
        <row r="47">
          <cell r="A47" t="str">
            <v>2101-050</v>
          </cell>
          <cell r="B47" t="str">
            <v>Franz Rempel Friessen</v>
          </cell>
          <cell r="C47" t="str">
            <v xml:space="preserve"> </v>
          </cell>
          <cell r="D47">
            <v>120000</v>
          </cell>
          <cell r="E47">
            <v>90000</v>
          </cell>
          <cell r="F47">
            <v>0</v>
          </cell>
          <cell r="G47" t="str">
            <v xml:space="preserve"> </v>
          </cell>
          <cell r="H47">
            <v>30000</v>
          </cell>
        </row>
        <row r="48">
          <cell r="A48" t="str">
            <v>2102-000</v>
          </cell>
          <cell r="B48" t="str">
            <v>ACREEDORES DIVERSOS</v>
          </cell>
          <cell r="C48" t="str">
            <v xml:space="preserve"> </v>
          </cell>
          <cell r="D48">
            <v>63577.34</v>
          </cell>
          <cell r="E48">
            <v>0</v>
          </cell>
          <cell r="F48">
            <v>22644.3</v>
          </cell>
          <cell r="G48" t="str">
            <v xml:space="preserve"> </v>
          </cell>
          <cell r="H48">
            <v>86221.64</v>
          </cell>
        </row>
        <row r="49">
          <cell r="A49" t="str">
            <v>2102-047</v>
          </cell>
          <cell r="B49" t="str">
            <v>Agencia Llantera S.A. de C.V.</v>
          </cell>
          <cell r="C49" t="str">
            <v xml:space="preserve"> </v>
          </cell>
          <cell r="D49">
            <v>3390.2</v>
          </cell>
          <cell r="E49">
            <v>0</v>
          </cell>
          <cell r="F49">
            <v>15340.7</v>
          </cell>
          <cell r="G49" t="str">
            <v xml:space="preserve"> </v>
          </cell>
          <cell r="H49">
            <v>18730.900000000001</v>
          </cell>
        </row>
        <row r="50">
          <cell r="A50" t="str">
            <v>2102-172</v>
          </cell>
          <cell r="B50" t="str">
            <v>Sueldos por Pagar</v>
          </cell>
          <cell r="C50" t="str">
            <v xml:space="preserve"> </v>
          </cell>
          <cell r="D50">
            <v>4279.88</v>
          </cell>
          <cell r="E50">
            <v>0</v>
          </cell>
          <cell r="F50">
            <v>7303.6</v>
          </cell>
          <cell r="G50" t="str">
            <v xml:space="preserve"> </v>
          </cell>
          <cell r="H50">
            <v>11583.48</v>
          </cell>
        </row>
        <row r="51">
          <cell r="A51" t="str">
            <v>2103-000</v>
          </cell>
          <cell r="B51" t="str">
            <v>IMPUESTOS POR PAGAR</v>
          </cell>
          <cell r="C51" t="str">
            <v xml:space="preserve"> </v>
          </cell>
          <cell r="D51">
            <v>9695.23</v>
          </cell>
          <cell r="E51">
            <v>60.07</v>
          </cell>
          <cell r="F51">
            <v>108.1</v>
          </cell>
          <cell r="G51" t="str">
            <v xml:space="preserve"> </v>
          </cell>
          <cell r="H51">
            <v>9743.26</v>
          </cell>
        </row>
        <row r="52">
          <cell r="A52" t="str">
            <v>2103-004</v>
          </cell>
          <cell r="B52" t="str">
            <v>IMSS</v>
          </cell>
          <cell r="C52" t="str">
            <v xml:space="preserve"> </v>
          </cell>
          <cell r="D52">
            <v>60.07</v>
          </cell>
          <cell r="E52">
            <v>60.07</v>
          </cell>
          <cell r="F52">
            <v>108.1</v>
          </cell>
          <cell r="G52" t="str">
            <v xml:space="preserve"> </v>
          </cell>
          <cell r="H52">
            <v>108.1</v>
          </cell>
        </row>
        <row r="53">
          <cell r="A53" t="str">
            <v>4000-000</v>
          </cell>
          <cell r="B53" t="str">
            <v>INGRESOS</v>
          </cell>
          <cell r="C53" t="str">
            <v xml:space="preserve"> </v>
          </cell>
          <cell r="D53">
            <v>7093559.0199999996</v>
          </cell>
          <cell r="E53">
            <v>0</v>
          </cell>
          <cell r="F53">
            <v>1008168.56</v>
          </cell>
          <cell r="G53" t="str">
            <v xml:space="preserve"> </v>
          </cell>
          <cell r="H53">
            <v>8101727.5800000001</v>
          </cell>
        </row>
        <row r="54">
          <cell r="A54" t="str">
            <v>4100-000</v>
          </cell>
          <cell r="B54" t="str">
            <v>VENTAS</v>
          </cell>
          <cell r="C54" t="str">
            <v xml:space="preserve"> </v>
          </cell>
          <cell r="D54">
            <v>7077556.5</v>
          </cell>
          <cell r="E54">
            <v>0</v>
          </cell>
          <cell r="F54">
            <v>1000482</v>
          </cell>
          <cell r="G54" t="str">
            <v xml:space="preserve"> </v>
          </cell>
          <cell r="H54">
            <v>8078038.5</v>
          </cell>
        </row>
        <row r="55">
          <cell r="A55" t="str">
            <v>4100-001</v>
          </cell>
          <cell r="B55" t="str">
            <v>Venta de Frijol</v>
          </cell>
          <cell r="C55" t="str">
            <v xml:space="preserve"> </v>
          </cell>
          <cell r="D55">
            <v>6191855.5</v>
          </cell>
          <cell r="E55">
            <v>0</v>
          </cell>
          <cell r="F55">
            <v>941682</v>
          </cell>
          <cell r="G55" t="str">
            <v xml:space="preserve"> </v>
          </cell>
          <cell r="H55">
            <v>7133537.5</v>
          </cell>
        </row>
        <row r="56">
          <cell r="A56" t="str">
            <v>4100-002</v>
          </cell>
          <cell r="B56" t="str">
            <v>Venta de Maiz</v>
          </cell>
          <cell r="C56" t="str">
            <v xml:space="preserve"> </v>
          </cell>
          <cell r="D56">
            <v>885701</v>
          </cell>
          <cell r="E56">
            <v>0</v>
          </cell>
          <cell r="F56">
            <v>58800</v>
          </cell>
          <cell r="G56" t="str">
            <v xml:space="preserve"> </v>
          </cell>
          <cell r="H56">
            <v>944501</v>
          </cell>
        </row>
        <row r="57">
          <cell r="A57" t="str">
            <v>4300-000</v>
          </cell>
          <cell r="B57" t="str">
            <v>OTROS PRODUCTOS</v>
          </cell>
          <cell r="C57" t="str">
            <v xml:space="preserve"> </v>
          </cell>
          <cell r="D57">
            <v>2.52</v>
          </cell>
          <cell r="E57">
            <v>0</v>
          </cell>
          <cell r="F57">
            <v>0.56000000000000005</v>
          </cell>
          <cell r="G57" t="str">
            <v xml:space="preserve"> </v>
          </cell>
          <cell r="H57">
            <v>3.08</v>
          </cell>
        </row>
        <row r="58">
          <cell r="A58" t="str">
            <v>4300-001</v>
          </cell>
          <cell r="B58" t="str">
            <v>Ganancia por redondeo</v>
          </cell>
          <cell r="C58" t="str">
            <v xml:space="preserve"> </v>
          </cell>
          <cell r="D58">
            <v>2.52</v>
          </cell>
          <cell r="E58">
            <v>0</v>
          </cell>
          <cell r="F58">
            <v>0.56000000000000005</v>
          </cell>
          <cell r="G58" t="str">
            <v xml:space="preserve"> </v>
          </cell>
          <cell r="H58">
            <v>3.08</v>
          </cell>
        </row>
        <row r="59">
          <cell r="A59" t="str">
            <v>4400-000</v>
          </cell>
          <cell r="B59" t="str">
            <v>OTROS INGRESOS</v>
          </cell>
          <cell r="C59" t="str">
            <v xml:space="preserve"> </v>
          </cell>
          <cell r="D59">
            <v>16000</v>
          </cell>
          <cell r="E59">
            <v>0</v>
          </cell>
          <cell r="F59">
            <v>7686</v>
          </cell>
          <cell r="G59" t="str">
            <v xml:space="preserve"> </v>
          </cell>
          <cell r="H59">
            <v>23686</v>
          </cell>
        </row>
        <row r="60">
          <cell r="A60" t="str">
            <v>5000-000</v>
          </cell>
          <cell r="B60" t="str">
            <v>EGRESOS</v>
          </cell>
          <cell r="C60">
            <v>6080160.8099999996</v>
          </cell>
          <cell r="D60" t="str">
            <v xml:space="preserve"> </v>
          </cell>
          <cell r="E60">
            <v>2844090.27</v>
          </cell>
          <cell r="F60">
            <v>0</v>
          </cell>
          <cell r="G60">
            <v>8924251.0800000001</v>
          </cell>
          <cell r="H60" t="str">
            <v xml:space="preserve"> </v>
          </cell>
        </row>
        <row r="61">
          <cell r="A61" t="str">
            <v>5100-000</v>
          </cell>
          <cell r="B61" t="str">
            <v>COMPRAS</v>
          </cell>
          <cell r="C61">
            <v>5931486.0999999996</v>
          </cell>
          <cell r="D61" t="str">
            <v xml:space="preserve"> </v>
          </cell>
          <cell r="E61">
            <v>2804622.58</v>
          </cell>
          <cell r="F61">
            <v>0</v>
          </cell>
          <cell r="G61">
            <v>8736108.6799999997</v>
          </cell>
          <cell r="H61" t="str">
            <v xml:space="preserve"> </v>
          </cell>
        </row>
        <row r="62">
          <cell r="A62" t="str">
            <v>5100-002</v>
          </cell>
          <cell r="B62" t="str">
            <v>Compra de Frijol</v>
          </cell>
          <cell r="C62">
            <v>4953492.5</v>
          </cell>
          <cell r="D62" t="str">
            <v xml:space="preserve"> </v>
          </cell>
          <cell r="E62">
            <v>2804622.58</v>
          </cell>
          <cell r="F62">
            <v>0</v>
          </cell>
          <cell r="G62">
            <v>7758115.0800000001</v>
          </cell>
          <cell r="H62" t="str">
            <v xml:space="preserve"> </v>
          </cell>
        </row>
        <row r="63">
          <cell r="A63" t="str">
            <v>5200-000</v>
          </cell>
          <cell r="B63" t="str">
            <v>GASTOS GENERALES</v>
          </cell>
          <cell r="C63">
            <v>138677.62</v>
          </cell>
          <cell r="D63" t="str">
            <v xml:space="preserve"> </v>
          </cell>
          <cell r="E63">
            <v>33007.11</v>
          </cell>
          <cell r="F63">
            <v>0</v>
          </cell>
          <cell r="G63">
            <v>171684.73</v>
          </cell>
          <cell r="H63" t="str">
            <v xml:space="preserve"> </v>
          </cell>
        </row>
        <row r="64">
          <cell r="A64" t="str">
            <v>5200-100</v>
          </cell>
          <cell r="B64" t="str">
            <v>PERSONAL</v>
          </cell>
          <cell r="C64">
            <v>3832.66</v>
          </cell>
          <cell r="D64" t="str">
            <v xml:space="preserve"> </v>
          </cell>
          <cell r="E64">
            <v>7780.36</v>
          </cell>
          <cell r="F64">
            <v>0</v>
          </cell>
          <cell r="G64">
            <v>11613.02</v>
          </cell>
          <cell r="H64" t="str">
            <v xml:space="preserve"> </v>
          </cell>
        </row>
        <row r="65">
          <cell r="A65" t="str">
            <v>5200-101</v>
          </cell>
          <cell r="B65" t="str">
            <v>Cuotas Patronales Imss</v>
          </cell>
          <cell r="C65">
            <v>0</v>
          </cell>
          <cell r="D65" t="str">
            <v xml:space="preserve"> </v>
          </cell>
          <cell r="E65">
            <v>663.67</v>
          </cell>
          <cell r="F65">
            <v>0</v>
          </cell>
          <cell r="G65">
            <v>663.67</v>
          </cell>
          <cell r="H65" t="str">
            <v xml:space="preserve"> </v>
          </cell>
        </row>
        <row r="66">
          <cell r="A66" t="str">
            <v>5200-102</v>
          </cell>
          <cell r="B66" t="str">
            <v>Infonavit y Afores</v>
          </cell>
          <cell r="C66">
            <v>0</v>
          </cell>
          <cell r="D66" t="str">
            <v xml:space="preserve"> </v>
          </cell>
          <cell r="E66">
            <v>358.39</v>
          </cell>
          <cell r="F66">
            <v>0</v>
          </cell>
          <cell r="G66">
            <v>358.39</v>
          </cell>
          <cell r="H66" t="str">
            <v xml:space="preserve"> </v>
          </cell>
        </row>
        <row r="67">
          <cell r="A67" t="str">
            <v>5200-103</v>
          </cell>
          <cell r="B67" t="str">
            <v>Sueldos y Salarios</v>
          </cell>
          <cell r="C67">
            <v>2298.84</v>
          </cell>
          <cell r="D67" t="str">
            <v xml:space="preserve"> </v>
          </cell>
          <cell r="E67">
            <v>4353.3</v>
          </cell>
          <cell r="F67">
            <v>0</v>
          </cell>
          <cell r="G67">
            <v>6652.14</v>
          </cell>
          <cell r="H67" t="str">
            <v xml:space="preserve"> </v>
          </cell>
        </row>
        <row r="68">
          <cell r="A68" t="str">
            <v>5200-104</v>
          </cell>
          <cell r="B68" t="str">
            <v>Bono de Puntualidad</v>
          </cell>
          <cell r="C68">
            <v>229.87</v>
          </cell>
          <cell r="D68" t="str">
            <v xml:space="preserve"> </v>
          </cell>
          <cell r="E68">
            <v>435.3</v>
          </cell>
          <cell r="F68">
            <v>0</v>
          </cell>
          <cell r="G68">
            <v>665.17</v>
          </cell>
          <cell r="H68" t="str">
            <v xml:space="preserve"> </v>
          </cell>
        </row>
        <row r="69">
          <cell r="A69" t="str">
            <v>5200-105</v>
          </cell>
          <cell r="B69" t="str">
            <v>Bono de Asistencia</v>
          </cell>
          <cell r="C69">
            <v>229.87</v>
          </cell>
          <cell r="D69" t="str">
            <v xml:space="preserve"> </v>
          </cell>
          <cell r="E69">
            <v>435.3</v>
          </cell>
          <cell r="F69">
            <v>0</v>
          </cell>
          <cell r="G69">
            <v>665.17</v>
          </cell>
          <cell r="H69" t="str">
            <v xml:space="preserve"> </v>
          </cell>
        </row>
        <row r="70">
          <cell r="A70" t="str">
            <v>5200-106</v>
          </cell>
          <cell r="B70" t="str">
            <v>Despensa</v>
          </cell>
          <cell r="C70">
            <v>1074.08</v>
          </cell>
          <cell r="D70" t="str">
            <v xml:space="preserve"> </v>
          </cell>
          <cell r="E70">
            <v>1534.4</v>
          </cell>
          <cell r="F70">
            <v>0</v>
          </cell>
          <cell r="G70">
            <v>2608.48</v>
          </cell>
          <cell r="H70" t="str">
            <v xml:space="preserve"> </v>
          </cell>
        </row>
        <row r="71">
          <cell r="A71" t="str">
            <v>5200-200</v>
          </cell>
          <cell r="B71" t="str">
            <v>SERVICIOS</v>
          </cell>
          <cell r="C71">
            <v>25265.72</v>
          </cell>
          <cell r="D71" t="str">
            <v xml:space="preserve"> </v>
          </cell>
          <cell r="E71">
            <v>233.54</v>
          </cell>
          <cell r="F71">
            <v>0</v>
          </cell>
          <cell r="G71">
            <v>25499.26</v>
          </cell>
          <cell r="H71" t="str">
            <v xml:space="preserve"> </v>
          </cell>
        </row>
        <row r="72">
          <cell r="A72" t="str">
            <v>5200-214</v>
          </cell>
          <cell r="B72" t="str">
            <v>Gastos Varios</v>
          </cell>
          <cell r="C72">
            <v>619.11</v>
          </cell>
          <cell r="D72" t="str">
            <v xml:space="preserve"> </v>
          </cell>
          <cell r="E72">
            <v>233.54</v>
          </cell>
          <cell r="F72">
            <v>0</v>
          </cell>
          <cell r="G72">
            <v>852.65</v>
          </cell>
          <cell r="H72" t="str">
            <v xml:space="preserve"> </v>
          </cell>
        </row>
        <row r="73">
          <cell r="A73" t="str">
            <v>5200-300</v>
          </cell>
          <cell r="B73" t="str">
            <v>MANTENIMIENTOS</v>
          </cell>
          <cell r="C73">
            <v>50141.26</v>
          </cell>
          <cell r="D73" t="str">
            <v xml:space="preserve"> </v>
          </cell>
          <cell r="E73">
            <v>15380.14</v>
          </cell>
          <cell r="F73">
            <v>0</v>
          </cell>
          <cell r="G73">
            <v>65521.4</v>
          </cell>
          <cell r="H73" t="str">
            <v xml:space="preserve"> </v>
          </cell>
        </row>
        <row r="74">
          <cell r="A74" t="str">
            <v>5200-301</v>
          </cell>
          <cell r="B74" t="str">
            <v>Mtto. de equipo de transporte</v>
          </cell>
          <cell r="C74">
            <v>50141.26</v>
          </cell>
          <cell r="D74" t="str">
            <v xml:space="preserve"> </v>
          </cell>
          <cell r="E74">
            <v>15380.14</v>
          </cell>
          <cell r="F74">
            <v>0</v>
          </cell>
          <cell r="G74">
            <v>65521.4</v>
          </cell>
          <cell r="H74" t="str">
            <v xml:space="preserve"> </v>
          </cell>
        </row>
        <row r="75">
          <cell r="A75" t="str">
            <v>5200-400</v>
          </cell>
          <cell r="B75" t="str">
            <v>GASTOS DE VIAJE</v>
          </cell>
          <cell r="C75">
            <v>47157.95</v>
          </cell>
          <cell r="D75" t="str">
            <v xml:space="preserve"> </v>
          </cell>
          <cell r="E75">
            <v>9613.07</v>
          </cell>
          <cell r="F75">
            <v>0</v>
          </cell>
          <cell r="G75">
            <v>56771.02</v>
          </cell>
          <cell r="H75" t="str">
            <v xml:space="preserve"> </v>
          </cell>
        </row>
        <row r="76">
          <cell r="A76" t="str">
            <v>5200-402</v>
          </cell>
          <cell r="B76" t="str">
            <v>Cuotas de Peaje</v>
          </cell>
          <cell r="C76">
            <v>9774.3700000000008</v>
          </cell>
          <cell r="D76" t="str">
            <v xml:space="preserve"> </v>
          </cell>
          <cell r="E76">
            <v>4754</v>
          </cell>
          <cell r="F76">
            <v>0</v>
          </cell>
          <cell r="G76">
            <v>14528.37</v>
          </cell>
          <cell r="H76" t="str">
            <v xml:space="preserve"> </v>
          </cell>
        </row>
        <row r="77">
          <cell r="A77" t="str">
            <v>5200-403</v>
          </cell>
          <cell r="B77" t="str">
            <v>Combustibles y Lubricantes</v>
          </cell>
          <cell r="C77">
            <v>34126.92</v>
          </cell>
          <cell r="D77" t="str">
            <v xml:space="preserve"> </v>
          </cell>
          <cell r="E77">
            <v>4859.07</v>
          </cell>
          <cell r="F77">
            <v>0</v>
          </cell>
          <cell r="G77">
            <v>38985.99</v>
          </cell>
          <cell r="H77" t="str">
            <v xml:space="preserve"> </v>
          </cell>
        </row>
        <row r="78">
          <cell r="A78" t="str">
            <v>5300-000</v>
          </cell>
          <cell r="B78" t="str">
            <v>GASTOS FINANCIEROS</v>
          </cell>
          <cell r="C78">
            <v>3824</v>
          </cell>
          <cell r="D78" t="str">
            <v xml:space="preserve"> </v>
          </cell>
          <cell r="E78">
            <v>430</v>
          </cell>
          <cell r="F78">
            <v>0</v>
          </cell>
          <cell r="G78">
            <v>4254</v>
          </cell>
          <cell r="H78" t="str">
            <v xml:space="preserve"> </v>
          </cell>
        </row>
        <row r="79">
          <cell r="A79" t="str">
            <v>5300-001</v>
          </cell>
          <cell r="B79" t="str">
            <v>Comisiones Bancarias</v>
          </cell>
          <cell r="C79">
            <v>3824</v>
          </cell>
          <cell r="D79" t="str">
            <v xml:space="preserve"> </v>
          </cell>
          <cell r="E79">
            <v>430</v>
          </cell>
          <cell r="F79">
            <v>0</v>
          </cell>
          <cell r="G79">
            <v>4254</v>
          </cell>
          <cell r="H79" t="str">
            <v xml:space="preserve"> </v>
          </cell>
        </row>
        <row r="80">
          <cell r="A80" t="str">
            <v>5400-000</v>
          </cell>
          <cell r="B80" t="str">
            <v>OTROS GASTOS</v>
          </cell>
          <cell r="C80">
            <v>0.21</v>
          </cell>
          <cell r="D80" t="str">
            <v xml:space="preserve"> </v>
          </cell>
          <cell r="E80">
            <v>0.36</v>
          </cell>
          <cell r="F80">
            <v>0</v>
          </cell>
          <cell r="G80">
            <v>0.56999999999999995</v>
          </cell>
          <cell r="H80" t="str">
            <v xml:space="preserve"> </v>
          </cell>
        </row>
        <row r="81">
          <cell r="A81" t="str">
            <v>5400-001</v>
          </cell>
          <cell r="B81" t="str">
            <v>Perdida por redondeo</v>
          </cell>
          <cell r="C81">
            <v>0.21</v>
          </cell>
          <cell r="D81" t="str">
            <v xml:space="preserve"> </v>
          </cell>
          <cell r="E81">
            <v>0.36</v>
          </cell>
          <cell r="F81">
            <v>0</v>
          </cell>
          <cell r="G81">
            <v>0.56999999999999995</v>
          </cell>
          <cell r="H81" t="str">
            <v xml:space="preserve"> </v>
          </cell>
        </row>
        <row r="82">
          <cell r="A82" t="str">
            <v>5500-000</v>
          </cell>
          <cell r="B82" t="str">
            <v>GASTOS NO DEDUCIBLES</v>
          </cell>
          <cell r="C82">
            <v>6172.88</v>
          </cell>
          <cell r="D82" t="str">
            <v xml:space="preserve"> </v>
          </cell>
          <cell r="E82">
            <v>6030.22</v>
          </cell>
          <cell r="F82">
            <v>0</v>
          </cell>
          <cell r="G82">
            <v>12203.1</v>
          </cell>
          <cell r="H82" t="str">
            <v xml:space="preserve"> </v>
          </cell>
        </row>
        <row r="83">
          <cell r="A83" t="str">
            <v>5500-001</v>
          </cell>
          <cell r="B83" t="str">
            <v>No Comprobados</v>
          </cell>
          <cell r="C83">
            <v>3746.38</v>
          </cell>
          <cell r="D83" t="str">
            <v xml:space="preserve"> </v>
          </cell>
          <cell r="E83">
            <v>6030.22</v>
          </cell>
          <cell r="F83">
            <v>0</v>
          </cell>
          <cell r="G83">
            <v>9776.6</v>
          </cell>
          <cell r="H83" t="str">
            <v xml:space="preserve"> </v>
          </cell>
        </row>
        <row r="84">
          <cell r="A84" t="str">
            <v xml:space="preserve"> </v>
          </cell>
        </row>
        <row r="85">
          <cell r="B85" t="str">
            <v>Total cuentas no impresas</v>
          </cell>
          <cell r="C85">
            <v>1125302.3999999999</v>
          </cell>
          <cell r="E85">
            <v>0</v>
          </cell>
          <cell r="F85">
            <v>0</v>
          </cell>
          <cell r="G85">
            <v>1125302.3999999999</v>
          </cell>
        </row>
        <row r="86">
          <cell r="B86" t="str">
            <v xml:space="preserve"> </v>
          </cell>
          <cell r="D86">
            <v>1109962.3999999999</v>
          </cell>
          <cell r="H86">
            <v>1109962.3999999999</v>
          </cell>
        </row>
        <row r="87">
          <cell r="A87" t="str">
            <v xml:space="preserve"> </v>
          </cell>
        </row>
        <row r="89">
          <cell r="B89" t="str">
            <v xml:space="preserve">Sumas Iguales: </v>
          </cell>
          <cell r="C89">
            <v>8686441.3000000007</v>
          </cell>
          <cell r="E89">
            <v>5739035.9299999997</v>
          </cell>
          <cell r="F89">
            <v>5739035.9299999997</v>
          </cell>
          <cell r="G89">
            <v>9725595.7899999991</v>
          </cell>
        </row>
        <row r="90">
          <cell r="D90">
            <v>8744001.5700000003</v>
          </cell>
          <cell r="H90">
            <v>9783156.0600000005</v>
          </cell>
        </row>
      </sheetData>
      <sheetData sheetId="5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675716.76</v>
          </cell>
          <cell r="D8" t="str">
            <v xml:space="preserve"> </v>
          </cell>
          <cell r="E8">
            <v>671071.64</v>
          </cell>
          <cell r="F8">
            <v>819675.47</v>
          </cell>
          <cell r="G8">
            <v>527112.93000000005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675716.76</v>
          </cell>
          <cell r="D9" t="str">
            <v xml:space="preserve"> </v>
          </cell>
          <cell r="E9">
            <v>671071.64</v>
          </cell>
          <cell r="F9">
            <v>819675.47</v>
          </cell>
          <cell r="G9">
            <v>527112.93000000005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19813.400000000001</v>
          </cell>
          <cell r="D10" t="str">
            <v xml:space="preserve"> </v>
          </cell>
          <cell r="E10">
            <v>263000</v>
          </cell>
          <cell r="F10">
            <v>282751.35999999999</v>
          </cell>
          <cell r="G10">
            <v>62.04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19813.400000000001</v>
          </cell>
          <cell r="D11" t="str">
            <v xml:space="preserve"> </v>
          </cell>
          <cell r="E11">
            <v>263000</v>
          </cell>
          <cell r="F11">
            <v>282751.35999999999</v>
          </cell>
          <cell r="G11">
            <v>62.04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11954</v>
          </cell>
          <cell r="D12" t="str">
            <v xml:space="preserve"> </v>
          </cell>
          <cell r="E12">
            <v>340500</v>
          </cell>
          <cell r="F12">
            <v>338500</v>
          </cell>
          <cell r="G12">
            <v>13954</v>
          </cell>
          <cell r="H12" t="str">
            <v xml:space="preserve"> </v>
          </cell>
        </row>
        <row r="13">
          <cell r="A13" t="str">
            <v>1103-011</v>
          </cell>
          <cell r="B13" t="str">
            <v>Gonzalo Gallegos Montes</v>
          </cell>
          <cell r="C13">
            <v>393</v>
          </cell>
          <cell r="D13" t="str">
            <v xml:space="preserve"> </v>
          </cell>
          <cell r="E13">
            <v>165000</v>
          </cell>
          <cell r="F13">
            <v>163000</v>
          </cell>
          <cell r="G13">
            <v>2393</v>
          </cell>
          <cell r="H13" t="str">
            <v xml:space="preserve"> </v>
          </cell>
        </row>
        <row r="14">
          <cell r="A14" t="str">
            <v>1103-018</v>
          </cell>
          <cell r="B14" t="str">
            <v>Consorcio Abarrotero Mexicano S.A de C.V.</v>
          </cell>
          <cell r="C14">
            <v>0</v>
          </cell>
          <cell r="D14" t="str">
            <v xml:space="preserve"> </v>
          </cell>
          <cell r="E14">
            <v>175500</v>
          </cell>
          <cell r="F14">
            <v>175500</v>
          </cell>
          <cell r="G14">
            <v>0</v>
          </cell>
          <cell r="H14" t="str">
            <v xml:space="preserve"> </v>
          </cell>
        </row>
        <row r="15">
          <cell r="A15" t="str">
            <v>1104-000</v>
          </cell>
          <cell r="B15" t="str">
            <v>DEUDORES DIVERSOS</v>
          </cell>
          <cell r="C15">
            <v>66105.17</v>
          </cell>
          <cell r="D15" t="str">
            <v xml:space="preserve"> </v>
          </cell>
          <cell r="E15">
            <v>64332.01</v>
          </cell>
          <cell r="F15">
            <v>68424.11</v>
          </cell>
          <cell r="G15">
            <v>62013.07</v>
          </cell>
          <cell r="H15" t="str">
            <v xml:space="preserve"> </v>
          </cell>
        </row>
        <row r="16">
          <cell r="A16" t="str">
            <v>1104-001</v>
          </cell>
          <cell r="B16" t="str">
            <v>Veronica Prieto Medrano</v>
          </cell>
          <cell r="C16">
            <v>66105.17</v>
          </cell>
          <cell r="D16" t="str">
            <v xml:space="preserve"> </v>
          </cell>
          <cell r="E16">
            <v>64332.01</v>
          </cell>
          <cell r="F16">
            <v>68424.11</v>
          </cell>
          <cell r="G16">
            <v>62013.07</v>
          </cell>
          <cell r="H16" t="str">
            <v xml:space="preserve"> </v>
          </cell>
        </row>
        <row r="17">
          <cell r="A17" t="str">
            <v>1105-000</v>
          </cell>
          <cell r="B17" t="str">
            <v>IVA ACREDITABLE</v>
          </cell>
          <cell r="C17">
            <v>28032.19</v>
          </cell>
          <cell r="D17" t="str">
            <v xml:space="preserve"> </v>
          </cell>
          <cell r="E17">
            <v>1739.63</v>
          </cell>
          <cell r="F17">
            <v>0</v>
          </cell>
          <cell r="G17">
            <v>29771.82</v>
          </cell>
          <cell r="H17" t="str">
            <v xml:space="preserve"> </v>
          </cell>
        </row>
        <row r="18">
          <cell r="A18" t="str">
            <v>1105-001</v>
          </cell>
          <cell r="B18" t="str">
            <v>Iva Acreditable Pend. de Pago</v>
          </cell>
          <cell r="C18">
            <v>6180.4</v>
          </cell>
          <cell r="D18" t="str">
            <v xml:space="preserve"> </v>
          </cell>
          <cell r="E18">
            <v>927.46</v>
          </cell>
          <cell r="F18">
            <v>0</v>
          </cell>
          <cell r="G18">
            <v>7107.86</v>
          </cell>
          <cell r="H18" t="str">
            <v xml:space="preserve"> </v>
          </cell>
        </row>
        <row r="19">
          <cell r="A19" t="str">
            <v>1105-002</v>
          </cell>
          <cell r="B19" t="str">
            <v>Iva  Acreditable Efect. Pagado</v>
          </cell>
          <cell r="C19">
            <v>21851.79</v>
          </cell>
          <cell r="D19" t="str">
            <v xml:space="preserve"> </v>
          </cell>
          <cell r="E19">
            <v>812.17</v>
          </cell>
          <cell r="F19">
            <v>0</v>
          </cell>
          <cell r="G19">
            <v>22663.96</v>
          </cell>
          <cell r="H19" t="str">
            <v xml:space="preserve"> </v>
          </cell>
        </row>
        <row r="20">
          <cell r="A20" t="str">
            <v>1106-000</v>
          </cell>
          <cell r="B20" t="str">
            <v>PAGOS ANTICIPADOS</v>
          </cell>
          <cell r="C20">
            <v>73</v>
          </cell>
          <cell r="D20" t="str">
            <v xml:space="preserve"> </v>
          </cell>
          <cell r="E20">
            <v>1500</v>
          </cell>
          <cell r="F20">
            <v>0</v>
          </cell>
          <cell r="G20">
            <v>1573</v>
          </cell>
          <cell r="H20" t="str">
            <v xml:space="preserve"> </v>
          </cell>
        </row>
        <row r="21">
          <cell r="A21" t="str">
            <v>1106-001</v>
          </cell>
          <cell r="B21" t="str">
            <v>IDE Retenido</v>
          </cell>
          <cell r="C21">
            <v>73</v>
          </cell>
          <cell r="D21" t="str">
            <v xml:space="preserve"> </v>
          </cell>
          <cell r="E21">
            <v>1500</v>
          </cell>
          <cell r="F21">
            <v>0</v>
          </cell>
          <cell r="G21">
            <v>1573</v>
          </cell>
          <cell r="H21" t="str">
            <v xml:space="preserve"> </v>
          </cell>
        </row>
        <row r="22">
          <cell r="A22" t="str">
            <v>1107-000</v>
          </cell>
          <cell r="B22" t="str">
            <v>ANTICIPO A PROVEEDORES</v>
          </cell>
          <cell r="C22">
            <v>549640</v>
          </cell>
          <cell r="D22" t="str">
            <v xml:space="preserve"> </v>
          </cell>
          <cell r="E22">
            <v>0</v>
          </cell>
          <cell r="F22">
            <v>130000</v>
          </cell>
          <cell r="G22">
            <v>419640</v>
          </cell>
          <cell r="H22" t="str">
            <v xml:space="preserve"> </v>
          </cell>
        </row>
        <row r="23">
          <cell r="A23" t="str">
            <v>1107-012</v>
          </cell>
          <cell r="B23" t="str">
            <v>VECS681230911</v>
          </cell>
          <cell r="C23">
            <v>100000</v>
          </cell>
          <cell r="D23" t="str">
            <v xml:space="preserve"> </v>
          </cell>
          <cell r="E23">
            <v>0</v>
          </cell>
          <cell r="F23">
            <v>100000</v>
          </cell>
          <cell r="G23">
            <v>0</v>
          </cell>
          <cell r="H23" t="str">
            <v xml:space="preserve"> </v>
          </cell>
        </row>
        <row r="24">
          <cell r="A24" t="str">
            <v>1107-030</v>
          </cell>
          <cell r="B24" t="str">
            <v>Justina Knelsen Giesbrecht</v>
          </cell>
          <cell r="C24">
            <v>30000</v>
          </cell>
          <cell r="D24" t="str">
            <v xml:space="preserve"> </v>
          </cell>
          <cell r="E24">
            <v>0</v>
          </cell>
          <cell r="F24">
            <v>30000</v>
          </cell>
          <cell r="G24">
            <v>0</v>
          </cell>
          <cell r="H24" t="str">
            <v xml:space="preserve"> </v>
          </cell>
        </row>
        <row r="25">
          <cell r="A25" t="str">
            <v>2000-000</v>
          </cell>
          <cell r="B25" t="str">
            <v>PASIVO</v>
          </cell>
          <cell r="C25" t="str">
            <v xml:space="preserve"> </v>
          </cell>
          <cell r="D25">
            <v>1338008.92</v>
          </cell>
          <cell r="E25">
            <v>453500</v>
          </cell>
          <cell r="F25">
            <v>271608.53999999998</v>
          </cell>
          <cell r="G25" t="str">
            <v xml:space="preserve"> </v>
          </cell>
          <cell r="H25">
            <v>1156117.46</v>
          </cell>
        </row>
        <row r="26">
          <cell r="A26" t="str">
            <v>2100-000</v>
          </cell>
          <cell r="B26" t="str">
            <v>PASIVO A CORTO PLAZO</v>
          </cell>
          <cell r="C26" t="str">
            <v xml:space="preserve"> </v>
          </cell>
          <cell r="D26">
            <v>1338008.92</v>
          </cell>
          <cell r="E26">
            <v>453500</v>
          </cell>
          <cell r="F26">
            <v>271608.53999999998</v>
          </cell>
          <cell r="G26" t="str">
            <v xml:space="preserve"> </v>
          </cell>
          <cell r="H26">
            <v>1156117.46</v>
          </cell>
        </row>
        <row r="27">
          <cell r="A27" t="str">
            <v>2101-000</v>
          </cell>
          <cell r="B27" t="str">
            <v>PROVEEDORES</v>
          </cell>
          <cell r="C27" t="str">
            <v xml:space="preserve"> </v>
          </cell>
          <cell r="D27">
            <v>1041793</v>
          </cell>
          <cell r="E27">
            <v>215000</v>
          </cell>
          <cell r="F27">
            <v>264498</v>
          </cell>
          <cell r="G27" t="str">
            <v xml:space="preserve"> </v>
          </cell>
          <cell r="H27">
            <v>1091291</v>
          </cell>
        </row>
        <row r="28">
          <cell r="A28" t="str">
            <v>2101-053</v>
          </cell>
          <cell r="B28" t="str">
            <v>Victor Manuel Fernandez Ortiz</v>
          </cell>
          <cell r="C28" t="str">
            <v xml:space="preserve"> </v>
          </cell>
          <cell r="D28">
            <v>109500</v>
          </cell>
          <cell r="E28">
            <v>100000</v>
          </cell>
          <cell r="F28">
            <v>0</v>
          </cell>
          <cell r="G28" t="str">
            <v xml:space="preserve"> </v>
          </cell>
          <cell r="H28">
            <v>9500</v>
          </cell>
        </row>
        <row r="29">
          <cell r="A29" t="str">
            <v>2101-056</v>
          </cell>
          <cell r="B29" t="str">
            <v>Rancho Dublan S.P.R. de R.L.</v>
          </cell>
          <cell r="C29" t="str">
            <v xml:space="preserve"> </v>
          </cell>
          <cell r="D29">
            <v>0</v>
          </cell>
          <cell r="E29">
            <v>0</v>
          </cell>
          <cell r="F29">
            <v>96170</v>
          </cell>
          <cell r="G29" t="str">
            <v xml:space="preserve"> </v>
          </cell>
          <cell r="H29">
            <v>96170</v>
          </cell>
        </row>
        <row r="30">
          <cell r="A30" t="str">
            <v>2101-059</v>
          </cell>
          <cell r="B30" t="str">
            <v>Gonzalo Gallegos Montes</v>
          </cell>
          <cell r="C30" t="str">
            <v xml:space="preserve"> </v>
          </cell>
          <cell r="D30">
            <v>15590</v>
          </cell>
          <cell r="E30">
            <v>15000</v>
          </cell>
          <cell r="F30">
            <v>0</v>
          </cell>
          <cell r="G30" t="str">
            <v xml:space="preserve"> </v>
          </cell>
          <cell r="H30">
            <v>590</v>
          </cell>
        </row>
        <row r="31">
          <cell r="A31" t="str">
            <v>2101-063</v>
          </cell>
          <cell r="B31" t="str">
            <v>Ejido La Cañada</v>
          </cell>
          <cell r="C31" t="str">
            <v xml:space="preserve"> </v>
          </cell>
          <cell r="D31">
            <v>388980</v>
          </cell>
          <cell r="E31">
            <v>100000</v>
          </cell>
          <cell r="F31">
            <v>0</v>
          </cell>
          <cell r="G31" t="str">
            <v xml:space="preserve"> </v>
          </cell>
          <cell r="H31">
            <v>288980</v>
          </cell>
        </row>
        <row r="32">
          <cell r="A32" t="str">
            <v>2101-066</v>
          </cell>
          <cell r="B32" t="str">
            <v>Justina Knelsen Giesbrecht</v>
          </cell>
          <cell r="C32" t="str">
            <v xml:space="preserve"> </v>
          </cell>
          <cell r="D32">
            <v>0</v>
          </cell>
          <cell r="E32">
            <v>0</v>
          </cell>
          <cell r="F32">
            <v>168328</v>
          </cell>
          <cell r="G32" t="str">
            <v xml:space="preserve"> </v>
          </cell>
          <cell r="H32">
            <v>168328</v>
          </cell>
        </row>
        <row r="33">
          <cell r="A33" t="str">
            <v>2102-000</v>
          </cell>
          <cell r="B33" t="str">
            <v>ACREEDORES DIVERSOS</v>
          </cell>
          <cell r="C33" t="str">
            <v xml:space="preserve"> </v>
          </cell>
          <cell r="D33">
            <v>48085.919999999998</v>
          </cell>
          <cell r="E33">
            <v>0</v>
          </cell>
          <cell r="F33">
            <v>7110.54</v>
          </cell>
          <cell r="G33" t="str">
            <v xml:space="preserve"> </v>
          </cell>
          <cell r="H33">
            <v>55196.46</v>
          </cell>
        </row>
        <row r="34">
          <cell r="A34" t="str">
            <v>2102-013</v>
          </cell>
          <cell r="B34" t="str">
            <v>Grupo Cany S.A. de C.V.</v>
          </cell>
          <cell r="C34" t="str">
            <v xml:space="preserve"> </v>
          </cell>
          <cell r="D34">
            <v>13496.4</v>
          </cell>
          <cell r="E34">
            <v>0</v>
          </cell>
          <cell r="F34">
            <v>4182.55</v>
          </cell>
          <cell r="G34" t="str">
            <v xml:space="preserve"> </v>
          </cell>
          <cell r="H34">
            <v>17678.95</v>
          </cell>
        </row>
        <row r="35">
          <cell r="A35" t="str">
            <v>2102-055</v>
          </cell>
          <cell r="B35" t="str">
            <v>Carlos Rafael Morales Morales</v>
          </cell>
          <cell r="C35" t="str">
            <v xml:space="preserve"> </v>
          </cell>
          <cell r="D35">
            <v>11086.87</v>
          </cell>
          <cell r="E35">
            <v>0</v>
          </cell>
          <cell r="F35">
            <v>2927.99</v>
          </cell>
          <cell r="G35" t="str">
            <v xml:space="preserve"> </v>
          </cell>
          <cell r="H35">
            <v>14014.86</v>
          </cell>
        </row>
        <row r="36">
          <cell r="A36" t="str">
            <v>2105-000</v>
          </cell>
          <cell r="B36" t="str">
            <v>ANTICIPO DE CLIENTES</v>
          </cell>
          <cell r="C36" t="str">
            <v xml:space="preserve"> </v>
          </cell>
          <cell r="D36">
            <v>238500</v>
          </cell>
          <cell r="E36">
            <v>238500</v>
          </cell>
          <cell r="F36">
            <v>0</v>
          </cell>
          <cell r="G36" t="str">
            <v xml:space="preserve"> </v>
          </cell>
          <cell r="H36">
            <v>0</v>
          </cell>
        </row>
        <row r="37">
          <cell r="A37" t="str">
            <v>2105-001</v>
          </cell>
          <cell r="B37" t="str">
            <v>Gonzalo Gallegos Montes</v>
          </cell>
          <cell r="C37" t="str">
            <v xml:space="preserve"> </v>
          </cell>
          <cell r="D37">
            <v>63000</v>
          </cell>
          <cell r="E37">
            <v>63000</v>
          </cell>
          <cell r="F37">
            <v>0</v>
          </cell>
          <cell r="G37" t="str">
            <v xml:space="preserve"> </v>
          </cell>
          <cell r="H37">
            <v>0</v>
          </cell>
        </row>
        <row r="38">
          <cell r="A38" t="str">
            <v>2105-002</v>
          </cell>
          <cell r="B38" t="str">
            <v>Consorcio Abarrotero Mexicano SA DE CV</v>
          </cell>
          <cell r="C38" t="str">
            <v xml:space="preserve"> </v>
          </cell>
          <cell r="D38">
            <v>175500</v>
          </cell>
          <cell r="E38">
            <v>175500</v>
          </cell>
          <cell r="F38">
            <v>0</v>
          </cell>
          <cell r="G38" t="str">
            <v xml:space="preserve"> </v>
          </cell>
          <cell r="H38">
            <v>0</v>
          </cell>
        </row>
        <row r="39">
          <cell r="A39" t="str">
            <v>4000-000</v>
          </cell>
          <cell r="B39" t="str">
            <v>INGRESOS</v>
          </cell>
          <cell r="C39" t="str">
            <v xml:space="preserve"> </v>
          </cell>
          <cell r="D39">
            <v>1054232.3</v>
          </cell>
          <cell r="E39">
            <v>0</v>
          </cell>
          <cell r="F39">
            <v>340500</v>
          </cell>
          <cell r="G39" t="str">
            <v xml:space="preserve"> </v>
          </cell>
          <cell r="H39">
            <v>1394732.3</v>
          </cell>
        </row>
        <row r="40">
          <cell r="A40" t="str">
            <v>4100-000</v>
          </cell>
          <cell r="B40" t="str">
            <v>VENTAS</v>
          </cell>
          <cell r="C40" t="str">
            <v xml:space="preserve"> </v>
          </cell>
          <cell r="D40">
            <v>1054232.3</v>
          </cell>
          <cell r="E40">
            <v>0</v>
          </cell>
          <cell r="F40">
            <v>340500</v>
          </cell>
          <cell r="G40" t="str">
            <v xml:space="preserve"> </v>
          </cell>
          <cell r="H40">
            <v>1394732.3</v>
          </cell>
        </row>
        <row r="41">
          <cell r="A41" t="str">
            <v>4100-001</v>
          </cell>
          <cell r="B41" t="str">
            <v>Venta de Frijol</v>
          </cell>
          <cell r="C41" t="str">
            <v xml:space="preserve"> </v>
          </cell>
          <cell r="D41">
            <v>1054232.3</v>
          </cell>
          <cell r="E41">
            <v>0</v>
          </cell>
          <cell r="F41">
            <v>340500</v>
          </cell>
          <cell r="G41" t="str">
            <v xml:space="preserve"> </v>
          </cell>
          <cell r="H41">
            <v>1394732.3</v>
          </cell>
        </row>
        <row r="42">
          <cell r="A42" t="str">
            <v>5000-000</v>
          </cell>
          <cell r="B42" t="str">
            <v>EGRESOS</v>
          </cell>
          <cell r="C42">
            <v>1934448.94</v>
          </cell>
          <cell r="D42" t="str">
            <v xml:space="preserve"> </v>
          </cell>
          <cell r="E42">
            <v>307212.37</v>
          </cell>
          <cell r="F42">
            <v>0</v>
          </cell>
          <cell r="G42">
            <v>2241661.31</v>
          </cell>
          <cell r="H42" t="str">
            <v xml:space="preserve"> </v>
          </cell>
        </row>
        <row r="43">
          <cell r="A43" t="str">
            <v>5100-000</v>
          </cell>
          <cell r="B43" t="str">
            <v>COMPRAS</v>
          </cell>
          <cell r="C43">
            <v>1864708</v>
          </cell>
          <cell r="D43" t="str">
            <v xml:space="preserve"> </v>
          </cell>
          <cell r="E43">
            <v>294498</v>
          </cell>
          <cell r="F43">
            <v>0</v>
          </cell>
          <cell r="G43">
            <v>2159206</v>
          </cell>
          <cell r="H43" t="str">
            <v xml:space="preserve"> </v>
          </cell>
        </row>
        <row r="44">
          <cell r="A44" t="str">
            <v>5100-002</v>
          </cell>
          <cell r="B44" t="str">
            <v>Compra de Frijol</v>
          </cell>
          <cell r="C44">
            <v>1837708</v>
          </cell>
          <cell r="D44" t="str">
            <v xml:space="preserve"> </v>
          </cell>
          <cell r="E44">
            <v>294498</v>
          </cell>
          <cell r="F44">
            <v>0</v>
          </cell>
          <cell r="G44">
            <v>2132206</v>
          </cell>
          <cell r="H44" t="str">
            <v xml:space="preserve"> </v>
          </cell>
        </row>
        <row r="45">
          <cell r="A45" t="str">
            <v>5200-000</v>
          </cell>
          <cell r="B45" t="str">
            <v>GASTOS GENERALES</v>
          </cell>
          <cell r="C45">
            <v>65354.559999999998</v>
          </cell>
          <cell r="D45" t="str">
            <v xml:space="preserve"> </v>
          </cell>
          <cell r="E45">
            <v>12415.37</v>
          </cell>
          <cell r="F45">
            <v>0</v>
          </cell>
          <cell r="G45">
            <v>77769.929999999993</v>
          </cell>
          <cell r="H45" t="str">
            <v xml:space="preserve"> </v>
          </cell>
        </row>
        <row r="46">
          <cell r="A46" t="str">
            <v>5200-300</v>
          </cell>
          <cell r="B46" t="str">
            <v>MANTENIMIENTOS</v>
          </cell>
          <cell r="C46">
            <v>18852.89</v>
          </cell>
          <cell r="D46" t="str">
            <v xml:space="preserve"> </v>
          </cell>
          <cell r="E46">
            <v>9615.69</v>
          </cell>
          <cell r="F46">
            <v>0</v>
          </cell>
          <cell r="G46">
            <v>28468.58</v>
          </cell>
          <cell r="H46" t="str">
            <v xml:space="preserve"> </v>
          </cell>
        </row>
        <row r="47">
          <cell r="A47" t="str">
            <v>5200-301</v>
          </cell>
          <cell r="B47" t="str">
            <v>Mtto. de equipo de transporte</v>
          </cell>
          <cell r="C47">
            <v>18852.89</v>
          </cell>
          <cell r="D47" t="str">
            <v xml:space="preserve"> </v>
          </cell>
          <cell r="E47">
            <v>9615.69</v>
          </cell>
          <cell r="F47">
            <v>0</v>
          </cell>
          <cell r="G47">
            <v>28468.58</v>
          </cell>
          <cell r="H47" t="str">
            <v xml:space="preserve"> </v>
          </cell>
        </row>
        <row r="48">
          <cell r="A48" t="str">
            <v>5200-400</v>
          </cell>
          <cell r="B48" t="str">
            <v>GASTOS DE VIAJE</v>
          </cell>
          <cell r="C48">
            <v>21431.4</v>
          </cell>
          <cell r="D48" t="str">
            <v xml:space="preserve"> </v>
          </cell>
          <cell r="E48">
            <v>2799.68</v>
          </cell>
          <cell r="F48">
            <v>0</v>
          </cell>
          <cell r="G48">
            <v>24231.08</v>
          </cell>
          <cell r="H48" t="str">
            <v xml:space="preserve"> </v>
          </cell>
        </row>
        <row r="49">
          <cell r="A49" t="str">
            <v>5200-402</v>
          </cell>
          <cell r="B49" t="str">
            <v>Cuotas de Peaje</v>
          </cell>
          <cell r="C49">
            <v>4432.6400000000003</v>
          </cell>
          <cell r="D49" t="str">
            <v xml:space="preserve"> </v>
          </cell>
          <cell r="E49">
            <v>1052</v>
          </cell>
          <cell r="F49">
            <v>0</v>
          </cell>
          <cell r="G49">
            <v>5484.64</v>
          </cell>
          <cell r="H49" t="str">
            <v xml:space="preserve"> </v>
          </cell>
        </row>
        <row r="50">
          <cell r="A50" t="str">
            <v>5200-403</v>
          </cell>
          <cell r="B50" t="str">
            <v>Combustibles y Lubricantes</v>
          </cell>
          <cell r="C50">
            <v>16556.16</v>
          </cell>
          <cell r="D50" t="str">
            <v xml:space="preserve"> </v>
          </cell>
          <cell r="E50">
            <v>1747.68</v>
          </cell>
          <cell r="F50">
            <v>0</v>
          </cell>
          <cell r="G50">
            <v>18303.84</v>
          </cell>
          <cell r="H50" t="str">
            <v xml:space="preserve"> </v>
          </cell>
        </row>
        <row r="51">
          <cell r="A51" t="str">
            <v>5300-000</v>
          </cell>
          <cell r="B51" t="str">
            <v>GASTOS FINANCIEROS</v>
          </cell>
          <cell r="C51">
            <v>640</v>
          </cell>
          <cell r="D51" t="str">
            <v xml:space="preserve"> </v>
          </cell>
          <cell r="E51">
            <v>299</v>
          </cell>
          <cell r="F51">
            <v>0</v>
          </cell>
          <cell r="G51">
            <v>939</v>
          </cell>
          <cell r="H51" t="str">
            <v xml:space="preserve"> </v>
          </cell>
        </row>
        <row r="52">
          <cell r="A52" t="str">
            <v>5300-001</v>
          </cell>
          <cell r="B52" t="str">
            <v>Comisiones Bancarias</v>
          </cell>
          <cell r="C52">
            <v>640</v>
          </cell>
          <cell r="D52" t="str">
            <v xml:space="preserve"> </v>
          </cell>
          <cell r="E52">
            <v>299</v>
          </cell>
          <cell r="F52">
            <v>0</v>
          </cell>
          <cell r="G52">
            <v>939</v>
          </cell>
          <cell r="H52" t="str">
            <v xml:space="preserve"> </v>
          </cell>
        </row>
        <row r="53">
          <cell r="A53" t="str">
            <v xml:space="preserve"> </v>
          </cell>
        </row>
        <row r="54">
          <cell r="B54" t="str">
            <v>Total cuentas no impresas</v>
          </cell>
          <cell r="C54">
            <v>487559.25</v>
          </cell>
          <cell r="E54">
            <v>0</v>
          </cell>
          <cell r="F54">
            <v>0</v>
          </cell>
          <cell r="G54">
            <v>487559.25</v>
          </cell>
        </row>
        <row r="55">
          <cell r="B55" t="str">
            <v xml:space="preserve"> </v>
          </cell>
          <cell r="D55">
            <v>836340.4</v>
          </cell>
          <cell r="H55">
            <v>836340.4</v>
          </cell>
        </row>
        <row r="56">
          <cell r="A56" t="str">
            <v xml:space="preserve"> </v>
          </cell>
        </row>
        <row r="58">
          <cell r="B58" t="str">
            <v xml:space="preserve">Sumas Iguales: </v>
          </cell>
          <cell r="C58">
            <v>2610165.7000000002</v>
          </cell>
          <cell r="E58">
            <v>1431784.01</v>
          </cell>
          <cell r="F58">
            <v>1431784.01</v>
          </cell>
          <cell r="G58">
            <v>2768774.24</v>
          </cell>
        </row>
        <row r="59">
          <cell r="D59">
            <v>2667725.9700000002</v>
          </cell>
          <cell r="H59">
            <v>2826334.51</v>
          </cell>
        </row>
      </sheetData>
      <sheetData sheetId="6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576812.56000000006</v>
          </cell>
          <cell r="D8" t="str">
            <v xml:space="preserve"> </v>
          </cell>
          <cell r="E8">
            <v>2084583.36</v>
          </cell>
          <cell r="F8">
            <v>2097906.1</v>
          </cell>
          <cell r="G8">
            <v>563489.81999999995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576812.56000000006</v>
          </cell>
          <cell r="D9" t="str">
            <v xml:space="preserve"> </v>
          </cell>
          <cell r="E9">
            <v>2084583.36</v>
          </cell>
          <cell r="F9">
            <v>2097906.1</v>
          </cell>
          <cell r="G9">
            <v>563489.81999999995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0</v>
          </cell>
          <cell r="D10" t="str">
            <v xml:space="preserve"> </v>
          </cell>
          <cell r="E10">
            <v>925765.7</v>
          </cell>
          <cell r="F10">
            <v>919330.51</v>
          </cell>
          <cell r="G10">
            <v>6435.19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0</v>
          </cell>
          <cell r="D11" t="str">
            <v xml:space="preserve"> </v>
          </cell>
          <cell r="E11">
            <v>925765.7</v>
          </cell>
          <cell r="F11">
            <v>919330.51</v>
          </cell>
          <cell r="G11">
            <v>6435.19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26954</v>
          </cell>
          <cell r="D12" t="str">
            <v xml:space="preserve"> </v>
          </cell>
          <cell r="E12">
            <v>915765.7</v>
          </cell>
          <cell r="F12">
            <v>925765.7</v>
          </cell>
          <cell r="G12">
            <v>16954</v>
          </cell>
          <cell r="H12" t="str">
            <v xml:space="preserve"> </v>
          </cell>
        </row>
        <row r="13">
          <cell r="A13" t="str">
            <v>1103-003</v>
          </cell>
          <cell r="B13" t="str">
            <v>Abastecedora Coemrcial de Parral S.A. de C.V.</v>
          </cell>
          <cell r="C13">
            <v>0</v>
          </cell>
          <cell r="D13" t="str">
            <v xml:space="preserve"> </v>
          </cell>
          <cell r="E13">
            <v>94500</v>
          </cell>
          <cell r="F13">
            <v>94500</v>
          </cell>
          <cell r="G13">
            <v>0</v>
          </cell>
          <cell r="H13" t="str">
            <v xml:space="preserve"> </v>
          </cell>
        </row>
        <row r="14">
          <cell r="A14" t="str">
            <v>1103-005</v>
          </cell>
          <cell r="B14" t="str">
            <v>Amaya Comercial S.A. DE C.V.</v>
          </cell>
          <cell r="C14">
            <v>0</v>
          </cell>
          <cell r="D14" t="str">
            <v xml:space="preserve"> </v>
          </cell>
          <cell r="E14">
            <v>121240</v>
          </cell>
          <cell r="F14">
            <v>121240</v>
          </cell>
          <cell r="G14">
            <v>0</v>
          </cell>
          <cell r="H14" t="str">
            <v xml:space="preserve"> </v>
          </cell>
        </row>
        <row r="15">
          <cell r="A15" t="str">
            <v>1103-008</v>
          </cell>
          <cell r="B15" t="str">
            <v>Alonso Pacheco Garcia</v>
          </cell>
          <cell r="C15">
            <v>0</v>
          </cell>
          <cell r="D15" t="str">
            <v xml:space="preserve"> </v>
          </cell>
          <cell r="E15">
            <v>78975</v>
          </cell>
          <cell r="F15">
            <v>78975</v>
          </cell>
          <cell r="G15">
            <v>0</v>
          </cell>
          <cell r="H15" t="str">
            <v xml:space="preserve"> </v>
          </cell>
        </row>
        <row r="16">
          <cell r="A16" t="str">
            <v>1103-011</v>
          </cell>
          <cell r="B16" t="str">
            <v>Gonzalo Gallegos Montes</v>
          </cell>
          <cell r="C16">
            <v>2393</v>
          </cell>
          <cell r="D16" t="str">
            <v xml:space="preserve"> </v>
          </cell>
          <cell r="E16">
            <v>317912.7</v>
          </cell>
          <cell r="F16">
            <v>317912.7</v>
          </cell>
          <cell r="G16">
            <v>2393</v>
          </cell>
          <cell r="H16" t="str">
            <v xml:space="preserve"> </v>
          </cell>
        </row>
        <row r="17">
          <cell r="A17" t="str">
            <v>1103-018</v>
          </cell>
          <cell r="B17" t="str">
            <v>Consorcio Abarrotero Mexicano S.A de C.V.</v>
          </cell>
          <cell r="C17">
            <v>0</v>
          </cell>
          <cell r="D17" t="str">
            <v xml:space="preserve"> </v>
          </cell>
          <cell r="E17">
            <v>124830</v>
          </cell>
          <cell r="F17">
            <v>124830</v>
          </cell>
          <cell r="G17">
            <v>0</v>
          </cell>
          <cell r="H17" t="str">
            <v xml:space="preserve"> </v>
          </cell>
        </row>
        <row r="18">
          <cell r="A18" t="str">
            <v>1103-019</v>
          </cell>
          <cell r="B18" t="str">
            <v>Sergio Balderrama</v>
          </cell>
          <cell r="C18">
            <v>13000</v>
          </cell>
          <cell r="D18" t="str">
            <v xml:space="preserve"> </v>
          </cell>
          <cell r="E18">
            <v>0</v>
          </cell>
          <cell r="F18">
            <v>10000</v>
          </cell>
          <cell r="G18">
            <v>3000</v>
          </cell>
          <cell r="H18" t="str">
            <v xml:space="preserve"> </v>
          </cell>
        </row>
        <row r="19">
          <cell r="A19" t="str">
            <v>1103-020</v>
          </cell>
          <cell r="B19" t="str">
            <v>Camilo Abaid Abaid</v>
          </cell>
          <cell r="C19">
            <v>0</v>
          </cell>
          <cell r="D19" t="str">
            <v xml:space="preserve"> </v>
          </cell>
          <cell r="E19">
            <v>97875</v>
          </cell>
          <cell r="F19">
            <v>97875</v>
          </cell>
          <cell r="G19">
            <v>0</v>
          </cell>
          <cell r="H19" t="str">
            <v xml:space="preserve"> </v>
          </cell>
        </row>
        <row r="20">
          <cell r="A20" t="str">
            <v>1103-021</v>
          </cell>
          <cell r="B20" t="str">
            <v>Sonia Latife</v>
          </cell>
          <cell r="C20">
            <v>0</v>
          </cell>
          <cell r="D20" t="str">
            <v xml:space="preserve"> </v>
          </cell>
          <cell r="E20">
            <v>19575</v>
          </cell>
          <cell r="F20">
            <v>19575</v>
          </cell>
          <cell r="G20">
            <v>0</v>
          </cell>
          <cell r="H20" t="str">
            <v xml:space="preserve"> </v>
          </cell>
        </row>
        <row r="21">
          <cell r="A21" t="str">
            <v>1103-022</v>
          </cell>
          <cell r="B21" t="str">
            <v>Casa Centenario S.A de C.V.</v>
          </cell>
          <cell r="C21">
            <v>0</v>
          </cell>
          <cell r="D21" t="str">
            <v xml:space="preserve"> </v>
          </cell>
          <cell r="E21">
            <v>33075</v>
          </cell>
          <cell r="F21">
            <v>33075</v>
          </cell>
          <cell r="G21">
            <v>0</v>
          </cell>
          <cell r="H21" t="str">
            <v xml:space="preserve"> </v>
          </cell>
        </row>
        <row r="22">
          <cell r="A22" t="str">
            <v>1103-023</v>
          </cell>
          <cell r="B22" t="str">
            <v>Abarrotes del Norte de la Sierra S.A DE C.V.</v>
          </cell>
          <cell r="C22">
            <v>0</v>
          </cell>
          <cell r="D22" t="str">
            <v xml:space="preserve"> </v>
          </cell>
          <cell r="E22">
            <v>27783</v>
          </cell>
          <cell r="F22">
            <v>27783</v>
          </cell>
          <cell r="G22">
            <v>0</v>
          </cell>
          <cell r="H22" t="str">
            <v xml:space="preserve"> </v>
          </cell>
        </row>
        <row r="23">
          <cell r="A23" t="str">
            <v>1104-000</v>
          </cell>
          <cell r="B23" t="str">
            <v>DEUDORES DIVERSOS</v>
          </cell>
          <cell r="C23">
            <v>57521.36</v>
          </cell>
          <cell r="D23" t="str">
            <v xml:space="preserve"> </v>
          </cell>
          <cell r="E23">
            <v>30294</v>
          </cell>
          <cell r="F23">
            <v>12774.85</v>
          </cell>
          <cell r="G23">
            <v>75040.509999999995</v>
          </cell>
          <cell r="H23" t="str">
            <v xml:space="preserve"> </v>
          </cell>
        </row>
        <row r="24">
          <cell r="A24" t="str">
            <v>1104-001</v>
          </cell>
          <cell r="B24" t="str">
            <v>Veronica Prieto Medrano</v>
          </cell>
          <cell r="C24">
            <v>57521.36</v>
          </cell>
          <cell r="D24" t="str">
            <v xml:space="preserve"> </v>
          </cell>
          <cell r="E24">
            <v>30294</v>
          </cell>
          <cell r="F24">
            <v>12774.85</v>
          </cell>
          <cell r="G24">
            <v>75040.509999999995</v>
          </cell>
          <cell r="H24" t="str">
            <v xml:space="preserve"> </v>
          </cell>
        </row>
        <row r="25">
          <cell r="A25" t="str">
            <v>1105-000</v>
          </cell>
          <cell r="B25" t="str">
            <v>IVA ACREDITABLE</v>
          </cell>
          <cell r="C25">
            <v>31025.200000000001</v>
          </cell>
          <cell r="D25" t="str">
            <v xml:space="preserve"> </v>
          </cell>
          <cell r="E25">
            <v>1757.96</v>
          </cell>
          <cell r="F25">
            <v>35.04</v>
          </cell>
          <cell r="G25">
            <v>32748.12</v>
          </cell>
          <cell r="H25" t="str">
            <v xml:space="preserve"> </v>
          </cell>
        </row>
        <row r="26">
          <cell r="A26" t="str">
            <v>1105-001</v>
          </cell>
          <cell r="B26" t="str">
            <v>Iva Acreditable Pend. de Pago</v>
          </cell>
          <cell r="C26">
            <v>7641.2</v>
          </cell>
          <cell r="D26" t="str">
            <v xml:space="preserve"> </v>
          </cell>
          <cell r="E26">
            <v>0</v>
          </cell>
          <cell r="F26">
            <v>35.04</v>
          </cell>
          <cell r="G26">
            <v>7606.16</v>
          </cell>
          <cell r="H26" t="str">
            <v xml:space="preserve"> </v>
          </cell>
        </row>
        <row r="27">
          <cell r="A27" t="str">
            <v>1105-002</v>
          </cell>
          <cell r="B27" t="str">
            <v>Iva  Acreditable Efect. Pagado</v>
          </cell>
          <cell r="C27">
            <v>23384</v>
          </cell>
          <cell r="D27" t="str">
            <v xml:space="preserve"> </v>
          </cell>
          <cell r="E27">
            <v>1757.96</v>
          </cell>
          <cell r="F27">
            <v>0</v>
          </cell>
          <cell r="G27">
            <v>25141.96</v>
          </cell>
          <cell r="H27" t="str">
            <v xml:space="preserve"> </v>
          </cell>
        </row>
        <row r="28">
          <cell r="A28" t="str">
            <v>1107-000</v>
          </cell>
          <cell r="B28" t="str">
            <v>ANTICIPO A PROVEEDORES</v>
          </cell>
          <cell r="C28">
            <v>459640</v>
          </cell>
          <cell r="D28" t="str">
            <v xml:space="preserve"> </v>
          </cell>
          <cell r="E28">
            <v>211000</v>
          </cell>
          <cell r="F28">
            <v>240000</v>
          </cell>
          <cell r="G28">
            <v>430640</v>
          </cell>
          <cell r="H28" t="str">
            <v xml:space="preserve"> </v>
          </cell>
        </row>
        <row r="29">
          <cell r="A29" t="str">
            <v>1107-020</v>
          </cell>
          <cell r="B29" t="str">
            <v>Distribuidora de Granos y Semillas Baca SA DE CV</v>
          </cell>
          <cell r="C29">
            <v>0</v>
          </cell>
          <cell r="D29" t="str">
            <v xml:space="preserve"> </v>
          </cell>
          <cell r="E29">
            <v>200000</v>
          </cell>
          <cell r="F29">
            <v>200000</v>
          </cell>
          <cell r="G29">
            <v>0</v>
          </cell>
          <cell r="H29" t="str">
            <v xml:space="preserve"> </v>
          </cell>
        </row>
        <row r="30">
          <cell r="A30" t="str">
            <v>1107-033</v>
          </cell>
          <cell r="B30" t="str">
            <v>Garbules SPR DE RL</v>
          </cell>
          <cell r="C30">
            <v>40000</v>
          </cell>
          <cell r="D30" t="str">
            <v xml:space="preserve"> </v>
          </cell>
          <cell r="E30">
            <v>0</v>
          </cell>
          <cell r="F30">
            <v>40000</v>
          </cell>
          <cell r="G30">
            <v>0</v>
          </cell>
          <cell r="H30" t="str">
            <v xml:space="preserve"> </v>
          </cell>
        </row>
        <row r="31">
          <cell r="A31" t="str">
            <v>1107-042</v>
          </cell>
          <cell r="B31" t="str">
            <v>Elizabeth Friesen Neudorf</v>
          </cell>
          <cell r="C31">
            <v>0</v>
          </cell>
          <cell r="D31" t="str">
            <v xml:space="preserve"> </v>
          </cell>
          <cell r="E31">
            <v>11000</v>
          </cell>
          <cell r="F31">
            <v>0</v>
          </cell>
          <cell r="G31">
            <v>11000</v>
          </cell>
          <cell r="H31" t="str">
            <v xml:space="preserve"> </v>
          </cell>
        </row>
        <row r="32">
          <cell r="A32" t="str">
            <v>2000-000</v>
          </cell>
          <cell r="B32" t="str">
            <v>PASIVO</v>
          </cell>
          <cell r="C32" t="str">
            <v xml:space="preserve"> </v>
          </cell>
          <cell r="D32">
            <v>1188758.42</v>
          </cell>
          <cell r="E32">
            <v>677347.66</v>
          </cell>
          <cell r="F32">
            <v>537029</v>
          </cell>
          <cell r="G32" t="str">
            <v xml:space="preserve"> </v>
          </cell>
          <cell r="H32">
            <v>1048439.76</v>
          </cell>
        </row>
        <row r="33">
          <cell r="A33" t="str">
            <v>2100-000</v>
          </cell>
          <cell r="B33" t="str">
            <v>PASIVO A CORTO PLAZO</v>
          </cell>
          <cell r="C33" t="str">
            <v xml:space="preserve"> </v>
          </cell>
          <cell r="D33">
            <v>1188758.42</v>
          </cell>
          <cell r="E33">
            <v>677347.66</v>
          </cell>
          <cell r="F33">
            <v>537029</v>
          </cell>
          <cell r="G33" t="str">
            <v xml:space="preserve"> </v>
          </cell>
          <cell r="H33">
            <v>1048439.76</v>
          </cell>
        </row>
        <row r="34">
          <cell r="A34" t="str">
            <v>2101-000</v>
          </cell>
          <cell r="B34" t="str">
            <v>PROVEEDORES</v>
          </cell>
          <cell r="C34" t="str">
            <v xml:space="preserve"> </v>
          </cell>
          <cell r="D34">
            <v>1119843</v>
          </cell>
          <cell r="E34">
            <v>677079</v>
          </cell>
          <cell r="F34">
            <v>537029</v>
          </cell>
          <cell r="G34" t="str">
            <v xml:space="preserve"> </v>
          </cell>
          <cell r="H34">
            <v>979793</v>
          </cell>
        </row>
        <row r="35">
          <cell r="A35" t="str">
            <v>2101-037</v>
          </cell>
          <cell r="B35" t="str">
            <v>Garbules S.P.R. de R.L.</v>
          </cell>
          <cell r="C35" t="str">
            <v xml:space="preserve"> </v>
          </cell>
          <cell r="D35">
            <v>130004</v>
          </cell>
          <cell r="E35">
            <v>230004</v>
          </cell>
          <cell r="F35">
            <v>238054</v>
          </cell>
          <cell r="G35" t="str">
            <v xml:space="preserve"> </v>
          </cell>
          <cell r="H35">
            <v>138054</v>
          </cell>
        </row>
        <row r="36">
          <cell r="A36" t="str">
            <v>2101-058</v>
          </cell>
          <cell r="B36" t="str">
            <v>El Sabinal Campo Numero Cinco S.P.R. de R.L. de C.</v>
          </cell>
          <cell r="C36" t="str">
            <v xml:space="preserve"> </v>
          </cell>
          <cell r="D36">
            <v>4480</v>
          </cell>
          <cell r="E36">
            <v>4000</v>
          </cell>
          <cell r="F36">
            <v>0</v>
          </cell>
          <cell r="G36" t="str">
            <v xml:space="preserve"> </v>
          </cell>
          <cell r="H36">
            <v>480</v>
          </cell>
        </row>
        <row r="37">
          <cell r="A37" t="str">
            <v>2101-062</v>
          </cell>
          <cell r="B37" t="str">
            <v>Distribuidora de Granos y Semillas Baca S.A de C.V</v>
          </cell>
          <cell r="C37" t="str">
            <v xml:space="preserve"> </v>
          </cell>
          <cell r="D37">
            <v>0</v>
          </cell>
          <cell r="E37">
            <v>293075</v>
          </cell>
          <cell r="F37">
            <v>298975</v>
          </cell>
          <cell r="G37" t="str">
            <v xml:space="preserve"> </v>
          </cell>
          <cell r="H37">
            <v>5900</v>
          </cell>
        </row>
        <row r="38">
          <cell r="A38" t="str">
            <v>2101-066</v>
          </cell>
          <cell r="B38" t="str">
            <v>Justina Knelsen Giesbrecht</v>
          </cell>
          <cell r="C38" t="str">
            <v xml:space="preserve"> </v>
          </cell>
          <cell r="D38">
            <v>128328</v>
          </cell>
          <cell r="E38">
            <v>100000</v>
          </cell>
          <cell r="F38">
            <v>0</v>
          </cell>
          <cell r="G38" t="str">
            <v xml:space="preserve"> </v>
          </cell>
          <cell r="H38">
            <v>28328</v>
          </cell>
        </row>
        <row r="39">
          <cell r="A39" t="str">
            <v>2101-068</v>
          </cell>
          <cell r="B39" t="str">
            <v>Cornelius Unger Hieberth</v>
          </cell>
          <cell r="C39" t="str">
            <v xml:space="preserve"> </v>
          </cell>
          <cell r="D39">
            <v>51925</v>
          </cell>
          <cell r="E39">
            <v>50000</v>
          </cell>
          <cell r="F39">
            <v>0</v>
          </cell>
          <cell r="G39" t="str">
            <v xml:space="preserve"> </v>
          </cell>
          <cell r="H39">
            <v>1925</v>
          </cell>
        </row>
        <row r="40">
          <cell r="A40" t="str">
            <v>2102-000</v>
          </cell>
          <cell r="B40" t="str">
            <v>ACREEDORES DIVERSOS</v>
          </cell>
          <cell r="C40" t="str">
            <v xml:space="preserve"> </v>
          </cell>
          <cell r="D40">
            <v>59285.42</v>
          </cell>
          <cell r="E40">
            <v>268.66000000000003</v>
          </cell>
          <cell r="F40">
            <v>0</v>
          </cell>
          <cell r="G40" t="str">
            <v xml:space="preserve"> </v>
          </cell>
          <cell r="H40">
            <v>59016.76</v>
          </cell>
        </row>
        <row r="41">
          <cell r="A41" t="str">
            <v>2102-174</v>
          </cell>
          <cell r="B41" t="str">
            <v>Banco Santander SA</v>
          </cell>
          <cell r="C41" t="str">
            <v xml:space="preserve"> </v>
          </cell>
          <cell r="D41">
            <v>268.66000000000003</v>
          </cell>
          <cell r="E41">
            <v>268.66000000000003</v>
          </cell>
          <cell r="F41">
            <v>0</v>
          </cell>
          <cell r="G41" t="str">
            <v xml:space="preserve"> </v>
          </cell>
          <cell r="H41">
            <v>0</v>
          </cell>
        </row>
        <row r="42">
          <cell r="A42" t="str">
            <v>4000-000</v>
          </cell>
          <cell r="B42" t="str">
            <v>INGRESOS</v>
          </cell>
          <cell r="C42" t="str">
            <v xml:space="preserve"> </v>
          </cell>
          <cell r="D42">
            <v>1723698.8</v>
          </cell>
          <cell r="E42">
            <v>0</v>
          </cell>
          <cell r="F42">
            <v>915765.7</v>
          </cell>
          <cell r="G42" t="str">
            <v xml:space="preserve"> </v>
          </cell>
          <cell r="H42">
            <v>2639464.5</v>
          </cell>
        </row>
        <row r="43">
          <cell r="A43" t="str">
            <v>4100-000</v>
          </cell>
          <cell r="B43" t="str">
            <v>VENTAS</v>
          </cell>
          <cell r="C43" t="str">
            <v xml:space="preserve"> </v>
          </cell>
          <cell r="D43">
            <v>1723698.8</v>
          </cell>
          <cell r="E43">
            <v>0</v>
          </cell>
          <cell r="F43">
            <v>915765.7</v>
          </cell>
          <cell r="G43" t="str">
            <v xml:space="preserve"> </v>
          </cell>
          <cell r="H43">
            <v>2639464.5</v>
          </cell>
        </row>
        <row r="44">
          <cell r="A44" t="str">
            <v>4100-001</v>
          </cell>
          <cell r="B44" t="str">
            <v>Venta de Frijol</v>
          </cell>
          <cell r="C44" t="str">
            <v xml:space="preserve"> </v>
          </cell>
          <cell r="D44">
            <v>1710698.8</v>
          </cell>
          <cell r="E44">
            <v>0</v>
          </cell>
          <cell r="F44">
            <v>915765.7</v>
          </cell>
          <cell r="G44" t="str">
            <v xml:space="preserve"> </v>
          </cell>
          <cell r="H44">
            <v>2626464.5</v>
          </cell>
        </row>
        <row r="45">
          <cell r="A45" t="str">
            <v>5000-000</v>
          </cell>
          <cell r="B45" t="str">
            <v>EGRESOS</v>
          </cell>
          <cell r="C45">
            <v>2553569.14</v>
          </cell>
          <cell r="D45" t="str">
            <v xml:space="preserve"> </v>
          </cell>
          <cell r="E45">
            <v>788769.78</v>
          </cell>
          <cell r="F45">
            <v>0</v>
          </cell>
          <cell r="G45">
            <v>3342338.92</v>
          </cell>
          <cell r="H45" t="str">
            <v xml:space="preserve"> </v>
          </cell>
        </row>
        <row r="46">
          <cell r="A46" t="str">
            <v>5100-000</v>
          </cell>
          <cell r="B46" t="str">
            <v>COMPRAS</v>
          </cell>
          <cell r="C46">
            <v>2462758</v>
          </cell>
          <cell r="D46" t="str">
            <v xml:space="preserve"> </v>
          </cell>
          <cell r="E46">
            <v>777029</v>
          </cell>
          <cell r="F46">
            <v>0</v>
          </cell>
          <cell r="G46">
            <v>3239787</v>
          </cell>
          <cell r="H46" t="str">
            <v xml:space="preserve"> </v>
          </cell>
        </row>
        <row r="47">
          <cell r="A47" t="str">
            <v>5100-001</v>
          </cell>
          <cell r="B47" t="str">
            <v>Compra de Maiz</v>
          </cell>
          <cell r="C47">
            <v>130004</v>
          </cell>
          <cell r="D47" t="str">
            <v xml:space="preserve"> </v>
          </cell>
          <cell r="E47">
            <v>278054</v>
          </cell>
          <cell r="F47">
            <v>0</v>
          </cell>
          <cell r="G47">
            <v>408058</v>
          </cell>
          <cell r="H47" t="str">
            <v xml:space="preserve"> </v>
          </cell>
        </row>
        <row r="48">
          <cell r="A48" t="str">
            <v>5100-002</v>
          </cell>
          <cell r="B48" t="str">
            <v>Compra de Frijol</v>
          </cell>
          <cell r="C48">
            <v>2305754</v>
          </cell>
          <cell r="D48" t="str">
            <v xml:space="preserve"> </v>
          </cell>
          <cell r="E48">
            <v>498975</v>
          </cell>
          <cell r="F48">
            <v>0</v>
          </cell>
          <cell r="G48">
            <v>2804729</v>
          </cell>
          <cell r="H48" t="str">
            <v xml:space="preserve"> </v>
          </cell>
        </row>
        <row r="49">
          <cell r="A49" t="str">
            <v>5200-000</v>
          </cell>
          <cell r="B49" t="str">
            <v>GASTOS GENERALES</v>
          </cell>
          <cell r="C49">
            <v>84997.759999999995</v>
          </cell>
          <cell r="D49" t="str">
            <v xml:space="preserve"> </v>
          </cell>
          <cell r="E49">
            <v>11141.78</v>
          </cell>
          <cell r="F49">
            <v>0</v>
          </cell>
          <cell r="G49">
            <v>96139.54</v>
          </cell>
          <cell r="H49" t="str">
            <v xml:space="preserve"> </v>
          </cell>
        </row>
        <row r="50">
          <cell r="A50" t="str">
            <v>5200-200</v>
          </cell>
          <cell r="B50" t="str">
            <v>SERVICIOS</v>
          </cell>
          <cell r="C50">
            <v>15759</v>
          </cell>
          <cell r="D50" t="str">
            <v xml:space="preserve"> </v>
          </cell>
          <cell r="E50">
            <v>17.2</v>
          </cell>
          <cell r="F50">
            <v>0</v>
          </cell>
          <cell r="G50">
            <v>15776.2</v>
          </cell>
          <cell r="H50" t="str">
            <v xml:space="preserve"> </v>
          </cell>
        </row>
        <row r="51">
          <cell r="A51" t="str">
            <v>5200-211</v>
          </cell>
          <cell r="B51" t="str">
            <v>Otros Impuestos y Derechos Estatales</v>
          </cell>
          <cell r="C51">
            <v>9</v>
          </cell>
          <cell r="D51" t="str">
            <v xml:space="preserve"> </v>
          </cell>
          <cell r="E51">
            <v>17.2</v>
          </cell>
          <cell r="F51">
            <v>0</v>
          </cell>
          <cell r="G51">
            <v>26.2</v>
          </cell>
          <cell r="H51" t="str">
            <v xml:space="preserve"> </v>
          </cell>
        </row>
        <row r="52">
          <cell r="A52" t="str">
            <v>5200-300</v>
          </cell>
          <cell r="B52" t="str">
            <v>MANTENIMIENTOS</v>
          </cell>
          <cell r="C52">
            <v>35372.879999999997</v>
          </cell>
          <cell r="D52" t="str">
            <v xml:space="preserve"> </v>
          </cell>
          <cell r="E52">
            <v>360</v>
          </cell>
          <cell r="F52">
            <v>0</v>
          </cell>
          <cell r="G52">
            <v>35732.879999999997</v>
          </cell>
          <cell r="H52" t="str">
            <v xml:space="preserve"> </v>
          </cell>
        </row>
        <row r="53">
          <cell r="A53" t="str">
            <v>5200-301</v>
          </cell>
          <cell r="B53" t="str">
            <v>Mtto. de equipo de transporte</v>
          </cell>
          <cell r="C53">
            <v>35372.879999999997</v>
          </cell>
          <cell r="D53" t="str">
            <v xml:space="preserve"> </v>
          </cell>
          <cell r="E53">
            <v>360</v>
          </cell>
          <cell r="F53">
            <v>0</v>
          </cell>
          <cell r="G53">
            <v>35732.879999999997</v>
          </cell>
          <cell r="H53" t="str">
            <v xml:space="preserve"> </v>
          </cell>
        </row>
        <row r="54">
          <cell r="A54" t="str">
            <v>5200-400</v>
          </cell>
          <cell r="B54" t="str">
            <v>GASTOS DE VIAJE</v>
          </cell>
          <cell r="C54">
            <v>24387.599999999999</v>
          </cell>
          <cell r="D54" t="str">
            <v xml:space="preserve"> </v>
          </cell>
          <cell r="E54">
            <v>7962.83</v>
          </cell>
          <cell r="F54">
            <v>0</v>
          </cell>
          <cell r="G54">
            <v>32350.43</v>
          </cell>
          <cell r="H54" t="str">
            <v xml:space="preserve"> </v>
          </cell>
        </row>
        <row r="55">
          <cell r="A55" t="str">
            <v>5200-403</v>
          </cell>
          <cell r="B55" t="str">
            <v>Combustibles y Lubricantes</v>
          </cell>
          <cell r="C55">
            <v>18460.36</v>
          </cell>
          <cell r="D55" t="str">
            <v xml:space="preserve"> </v>
          </cell>
          <cell r="E55">
            <v>7019.87</v>
          </cell>
          <cell r="F55">
            <v>0</v>
          </cell>
          <cell r="G55">
            <v>25480.23</v>
          </cell>
          <cell r="H55" t="str">
            <v xml:space="preserve"> </v>
          </cell>
        </row>
        <row r="56">
          <cell r="A56" t="str">
            <v>5200-404</v>
          </cell>
          <cell r="B56" t="str">
            <v>Hospedaje</v>
          </cell>
          <cell r="C56">
            <v>300</v>
          </cell>
          <cell r="D56" t="str">
            <v xml:space="preserve"> </v>
          </cell>
          <cell r="E56">
            <v>573.39</v>
          </cell>
          <cell r="F56">
            <v>0</v>
          </cell>
          <cell r="G56">
            <v>873.39</v>
          </cell>
          <cell r="H56" t="str">
            <v xml:space="preserve"> </v>
          </cell>
        </row>
        <row r="57">
          <cell r="A57" t="str">
            <v>5200-405</v>
          </cell>
          <cell r="B57" t="str">
            <v>Consumo</v>
          </cell>
          <cell r="C57">
            <v>142.6</v>
          </cell>
          <cell r="D57" t="str">
            <v xml:space="preserve"> </v>
          </cell>
          <cell r="E57">
            <v>369.57</v>
          </cell>
          <cell r="F57">
            <v>0</v>
          </cell>
          <cell r="G57">
            <v>512.16999999999996</v>
          </cell>
          <cell r="H57" t="str">
            <v xml:space="preserve"> </v>
          </cell>
        </row>
        <row r="58">
          <cell r="A58" t="str">
            <v>5200-500</v>
          </cell>
          <cell r="B58" t="str">
            <v>MATERIALES DE TRABAJO</v>
          </cell>
          <cell r="C58">
            <v>9478.2800000000007</v>
          </cell>
          <cell r="D58" t="str">
            <v xml:space="preserve"> </v>
          </cell>
          <cell r="E58">
            <v>2801.75</v>
          </cell>
          <cell r="F58">
            <v>0</v>
          </cell>
          <cell r="G58">
            <v>12280.03</v>
          </cell>
          <cell r="H58" t="str">
            <v xml:space="preserve"> </v>
          </cell>
        </row>
        <row r="59">
          <cell r="A59" t="str">
            <v>5300-000</v>
          </cell>
          <cell r="B59" t="str">
            <v>GASTOS FINANCIEROS</v>
          </cell>
          <cell r="C59">
            <v>2067</v>
          </cell>
          <cell r="D59" t="str">
            <v xml:space="preserve"> </v>
          </cell>
          <cell r="E59">
            <v>599</v>
          </cell>
          <cell r="F59">
            <v>0</v>
          </cell>
          <cell r="G59">
            <v>2666</v>
          </cell>
          <cell r="H59" t="str">
            <v xml:space="preserve"> </v>
          </cell>
        </row>
        <row r="60">
          <cell r="A60" t="str">
            <v>5300-001</v>
          </cell>
          <cell r="B60" t="str">
            <v>Comisiones Bancarias</v>
          </cell>
          <cell r="C60">
            <v>2067</v>
          </cell>
          <cell r="D60" t="str">
            <v xml:space="preserve"> </v>
          </cell>
          <cell r="E60">
            <v>599</v>
          </cell>
          <cell r="F60">
            <v>0</v>
          </cell>
          <cell r="G60">
            <v>2666</v>
          </cell>
          <cell r="H60" t="str">
            <v xml:space="preserve"> </v>
          </cell>
        </row>
        <row r="61">
          <cell r="A61" t="str">
            <v xml:space="preserve"> </v>
          </cell>
        </row>
        <row r="62">
          <cell r="B62" t="str">
            <v>Total cuentas no impresas</v>
          </cell>
          <cell r="C62">
            <v>484854.02</v>
          </cell>
          <cell r="E62">
            <v>0</v>
          </cell>
          <cell r="F62">
            <v>0</v>
          </cell>
          <cell r="G62">
            <v>484854.02</v>
          </cell>
        </row>
        <row r="63">
          <cell r="B63" t="str">
            <v xml:space="preserve"> </v>
          </cell>
          <cell r="D63">
            <v>1162237.51</v>
          </cell>
          <cell r="H63">
            <v>1162237.51</v>
          </cell>
        </row>
        <row r="64">
          <cell r="A64" t="str">
            <v xml:space="preserve"> </v>
          </cell>
        </row>
        <row r="66">
          <cell r="B66" t="str">
            <v xml:space="preserve">Sumas Iguales: </v>
          </cell>
          <cell r="C66">
            <v>3130381.7</v>
          </cell>
          <cell r="E66">
            <v>3550700.8</v>
          </cell>
          <cell r="F66">
            <v>3550700.8</v>
          </cell>
          <cell r="G66">
            <v>3905828.74</v>
          </cell>
        </row>
        <row r="67">
          <cell r="D67">
            <v>3187941.97</v>
          </cell>
          <cell r="H67">
            <v>3963389.01</v>
          </cell>
        </row>
      </sheetData>
      <sheetData sheetId="7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527112.93000000005</v>
          </cell>
          <cell r="D8" t="str">
            <v xml:space="preserve"> </v>
          </cell>
          <cell r="E8">
            <v>821186.38</v>
          </cell>
          <cell r="F8">
            <v>771486.75</v>
          </cell>
          <cell r="G8">
            <v>576812.56000000006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527112.93000000005</v>
          </cell>
          <cell r="D9" t="str">
            <v xml:space="preserve"> </v>
          </cell>
          <cell r="E9">
            <v>821186.38</v>
          </cell>
          <cell r="F9">
            <v>771486.75</v>
          </cell>
          <cell r="G9">
            <v>576812.56000000006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62.04</v>
          </cell>
          <cell r="D10" t="str">
            <v xml:space="preserve"> </v>
          </cell>
          <cell r="E10">
            <v>315966.5</v>
          </cell>
          <cell r="F10">
            <v>316028.53999999998</v>
          </cell>
          <cell r="G10">
            <v>0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62.04</v>
          </cell>
          <cell r="D11" t="str">
            <v xml:space="preserve"> </v>
          </cell>
          <cell r="E11">
            <v>315966.5</v>
          </cell>
          <cell r="F11">
            <v>316028.53999999998</v>
          </cell>
          <cell r="G11">
            <v>0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13954</v>
          </cell>
          <cell r="D12" t="str">
            <v xml:space="preserve"> </v>
          </cell>
          <cell r="E12">
            <v>328966.5</v>
          </cell>
          <cell r="F12">
            <v>315966.5</v>
          </cell>
          <cell r="G12">
            <v>26954</v>
          </cell>
          <cell r="H12" t="str">
            <v xml:space="preserve"> </v>
          </cell>
        </row>
        <row r="13">
          <cell r="A13" t="str">
            <v>1103-003</v>
          </cell>
          <cell r="B13" t="str">
            <v>Abastecedora Coemrcial de Parral S.A. de C.V.</v>
          </cell>
          <cell r="C13">
            <v>0</v>
          </cell>
          <cell r="D13" t="str">
            <v xml:space="preserve"> </v>
          </cell>
          <cell r="E13">
            <v>193050</v>
          </cell>
          <cell r="F13">
            <v>193050</v>
          </cell>
          <cell r="G13">
            <v>0</v>
          </cell>
          <cell r="H13" t="str">
            <v xml:space="preserve"> </v>
          </cell>
        </row>
        <row r="14">
          <cell r="A14" t="str">
            <v>1103-007</v>
          </cell>
          <cell r="B14" t="str">
            <v>Distribuidora de Granos y Semillas Baca S.A. de C.</v>
          </cell>
          <cell r="C14">
            <v>0</v>
          </cell>
          <cell r="D14" t="str">
            <v xml:space="preserve"> </v>
          </cell>
          <cell r="E14">
            <v>59916.5</v>
          </cell>
          <cell r="F14">
            <v>59916.5</v>
          </cell>
          <cell r="G14">
            <v>0</v>
          </cell>
          <cell r="H14" t="str">
            <v xml:space="preserve"> </v>
          </cell>
        </row>
        <row r="15">
          <cell r="A15" t="str">
            <v>1103-008</v>
          </cell>
          <cell r="B15" t="str">
            <v>Alonso Pacheco Garcia</v>
          </cell>
          <cell r="C15">
            <v>0</v>
          </cell>
          <cell r="D15" t="str">
            <v xml:space="preserve"> </v>
          </cell>
          <cell r="E15">
            <v>63000</v>
          </cell>
          <cell r="F15">
            <v>63000</v>
          </cell>
          <cell r="G15">
            <v>0</v>
          </cell>
          <cell r="H15" t="str">
            <v xml:space="preserve"> </v>
          </cell>
        </row>
        <row r="16">
          <cell r="A16" t="str">
            <v>1103-019</v>
          </cell>
          <cell r="B16" t="str">
            <v>Sergio Balderrama</v>
          </cell>
          <cell r="C16">
            <v>0</v>
          </cell>
          <cell r="D16" t="str">
            <v xml:space="preserve"> </v>
          </cell>
          <cell r="E16">
            <v>13000</v>
          </cell>
          <cell r="F16">
            <v>0</v>
          </cell>
          <cell r="G16">
            <v>13000</v>
          </cell>
          <cell r="H16" t="str">
            <v xml:space="preserve"> </v>
          </cell>
        </row>
        <row r="17">
          <cell r="A17" t="str">
            <v>1104-000</v>
          </cell>
          <cell r="B17" t="str">
            <v>DEUDORES DIVERSOS</v>
          </cell>
          <cell r="C17">
            <v>62013.07</v>
          </cell>
          <cell r="D17" t="str">
            <v xml:space="preserve"> </v>
          </cell>
          <cell r="E17">
            <v>0</v>
          </cell>
          <cell r="F17">
            <v>4491.71</v>
          </cell>
          <cell r="G17">
            <v>57521.36</v>
          </cell>
          <cell r="H17" t="str">
            <v xml:space="preserve"> </v>
          </cell>
        </row>
        <row r="18">
          <cell r="A18" t="str">
            <v>1104-001</v>
          </cell>
          <cell r="B18" t="str">
            <v>Veronica Prieto Medrano</v>
          </cell>
          <cell r="C18">
            <v>62013.07</v>
          </cell>
          <cell r="D18" t="str">
            <v xml:space="preserve"> </v>
          </cell>
          <cell r="E18">
            <v>0</v>
          </cell>
          <cell r="F18">
            <v>4491.71</v>
          </cell>
          <cell r="G18">
            <v>57521.36</v>
          </cell>
          <cell r="H18" t="str">
            <v xml:space="preserve"> </v>
          </cell>
        </row>
        <row r="19">
          <cell r="A19" t="str">
            <v>1105-000</v>
          </cell>
          <cell r="B19" t="str">
            <v>IVA ACREDITABLE</v>
          </cell>
          <cell r="C19">
            <v>29771.82</v>
          </cell>
          <cell r="D19" t="str">
            <v xml:space="preserve"> </v>
          </cell>
          <cell r="E19">
            <v>1253.3800000000001</v>
          </cell>
          <cell r="F19">
            <v>0</v>
          </cell>
          <cell r="G19">
            <v>31025.200000000001</v>
          </cell>
          <cell r="H19" t="str">
            <v xml:space="preserve"> </v>
          </cell>
        </row>
        <row r="20">
          <cell r="A20" t="str">
            <v>1105-001</v>
          </cell>
          <cell r="B20" t="str">
            <v>Iva Acreditable Pend. de Pago</v>
          </cell>
          <cell r="C20">
            <v>7107.86</v>
          </cell>
          <cell r="D20" t="str">
            <v xml:space="preserve"> </v>
          </cell>
          <cell r="E20">
            <v>533.34</v>
          </cell>
          <cell r="F20">
            <v>0</v>
          </cell>
          <cell r="G20">
            <v>7641.2</v>
          </cell>
          <cell r="H20" t="str">
            <v xml:space="preserve"> </v>
          </cell>
        </row>
        <row r="21">
          <cell r="A21" t="str">
            <v>1105-002</v>
          </cell>
          <cell r="B21" t="str">
            <v>Iva  Acreditable Efect. Pagado</v>
          </cell>
          <cell r="C21">
            <v>22663.96</v>
          </cell>
          <cell r="D21" t="str">
            <v xml:space="preserve"> </v>
          </cell>
          <cell r="E21">
            <v>720.04</v>
          </cell>
          <cell r="F21">
            <v>0</v>
          </cell>
          <cell r="G21">
            <v>23384</v>
          </cell>
          <cell r="H21" t="str">
            <v xml:space="preserve"> </v>
          </cell>
        </row>
        <row r="22">
          <cell r="A22" t="str">
            <v>1107-000</v>
          </cell>
          <cell r="B22" t="str">
            <v>ANTICIPO A PROVEEDORES</v>
          </cell>
          <cell r="C22">
            <v>419640</v>
          </cell>
          <cell r="D22" t="str">
            <v xml:space="preserve"> </v>
          </cell>
          <cell r="E22">
            <v>175000</v>
          </cell>
          <cell r="F22">
            <v>135000</v>
          </cell>
          <cell r="G22">
            <v>459640</v>
          </cell>
          <cell r="H22" t="str">
            <v xml:space="preserve"> </v>
          </cell>
        </row>
        <row r="23">
          <cell r="A23" t="str">
            <v>1107-032</v>
          </cell>
          <cell r="B23" t="str">
            <v>Noel Rodriguez Fernandez</v>
          </cell>
          <cell r="C23">
            <v>0</v>
          </cell>
          <cell r="D23" t="str">
            <v xml:space="preserve"> </v>
          </cell>
          <cell r="E23">
            <v>135000</v>
          </cell>
          <cell r="F23">
            <v>135000</v>
          </cell>
          <cell r="G23">
            <v>0</v>
          </cell>
          <cell r="H23" t="str">
            <v xml:space="preserve"> </v>
          </cell>
        </row>
        <row r="24">
          <cell r="A24" t="str">
            <v>1107-033</v>
          </cell>
          <cell r="B24" t="str">
            <v>Garbules SPR DE RL</v>
          </cell>
          <cell r="C24">
            <v>0</v>
          </cell>
          <cell r="D24" t="str">
            <v xml:space="preserve"> </v>
          </cell>
          <cell r="E24">
            <v>40000</v>
          </cell>
          <cell r="F24">
            <v>0</v>
          </cell>
          <cell r="G24">
            <v>40000</v>
          </cell>
          <cell r="H24" t="str">
            <v xml:space="preserve"> </v>
          </cell>
        </row>
        <row r="25">
          <cell r="A25" t="str">
            <v>2000-000</v>
          </cell>
          <cell r="B25" t="str">
            <v>PASIVO</v>
          </cell>
          <cell r="C25" t="str">
            <v xml:space="preserve"> </v>
          </cell>
          <cell r="D25">
            <v>1156117.46</v>
          </cell>
          <cell r="E25">
            <v>140000</v>
          </cell>
          <cell r="F25">
            <v>172640.96</v>
          </cell>
          <cell r="G25" t="str">
            <v xml:space="preserve"> </v>
          </cell>
          <cell r="H25">
            <v>1188758.42</v>
          </cell>
        </row>
        <row r="26">
          <cell r="A26" t="str">
            <v>2100-000</v>
          </cell>
          <cell r="B26" t="str">
            <v>PASIVO A CORTO PLAZO</v>
          </cell>
          <cell r="C26" t="str">
            <v xml:space="preserve"> </v>
          </cell>
          <cell r="D26">
            <v>1156117.46</v>
          </cell>
          <cell r="E26">
            <v>140000</v>
          </cell>
          <cell r="F26">
            <v>172640.96</v>
          </cell>
          <cell r="G26" t="str">
            <v xml:space="preserve"> </v>
          </cell>
          <cell r="H26">
            <v>1188758.42</v>
          </cell>
        </row>
        <row r="27">
          <cell r="A27" t="str">
            <v>2101-000</v>
          </cell>
          <cell r="B27" t="str">
            <v>PROVEEDORES</v>
          </cell>
          <cell r="C27" t="str">
            <v xml:space="preserve"> </v>
          </cell>
          <cell r="D27">
            <v>1091291</v>
          </cell>
          <cell r="E27">
            <v>140000</v>
          </cell>
          <cell r="F27">
            <v>168552</v>
          </cell>
          <cell r="G27" t="str">
            <v xml:space="preserve"> </v>
          </cell>
          <cell r="H27">
            <v>1119843</v>
          </cell>
        </row>
        <row r="28">
          <cell r="A28" t="str">
            <v>2101-037</v>
          </cell>
          <cell r="B28" t="str">
            <v>Garbules S.P.R. de R.L.</v>
          </cell>
          <cell r="C28" t="str">
            <v xml:space="preserve"> </v>
          </cell>
          <cell r="D28">
            <v>0</v>
          </cell>
          <cell r="E28">
            <v>0</v>
          </cell>
          <cell r="F28">
            <v>130004</v>
          </cell>
          <cell r="G28" t="str">
            <v xml:space="preserve"> </v>
          </cell>
          <cell r="H28">
            <v>130004</v>
          </cell>
        </row>
        <row r="29">
          <cell r="A29" t="str">
            <v>2101-063</v>
          </cell>
          <cell r="B29" t="str">
            <v>Ejido La Cañada</v>
          </cell>
          <cell r="C29" t="str">
            <v xml:space="preserve"> </v>
          </cell>
          <cell r="D29">
            <v>288980</v>
          </cell>
          <cell r="E29">
            <v>100000</v>
          </cell>
          <cell r="F29">
            <v>0</v>
          </cell>
          <cell r="G29" t="str">
            <v xml:space="preserve"> </v>
          </cell>
          <cell r="H29">
            <v>188980</v>
          </cell>
        </row>
        <row r="30">
          <cell r="A30" t="str">
            <v>2101-064</v>
          </cell>
          <cell r="B30" t="str">
            <v>Semilas Productivas S.A de C.V.</v>
          </cell>
          <cell r="C30" t="str">
            <v xml:space="preserve"> </v>
          </cell>
          <cell r="D30">
            <v>0</v>
          </cell>
          <cell r="E30">
            <v>0</v>
          </cell>
          <cell r="F30">
            <v>8548</v>
          </cell>
          <cell r="G30" t="str">
            <v xml:space="preserve"> </v>
          </cell>
          <cell r="H30">
            <v>8548</v>
          </cell>
        </row>
        <row r="31">
          <cell r="A31" t="str">
            <v>2101-065</v>
          </cell>
          <cell r="B31" t="str">
            <v>Noel Rodriguez Fernandez</v>
          </cell>
          <cell r="C31" t="str">
            <v xml:space="preserve"> </v>
          </cell>
          <cell r="D31">
            <v>0</v>
          </cell>
          <cell r="E31">
            <v>0</v>
          </cell>
          <cell r="F31">
            <v>30000</v>
          </cell>
          <cell r="G31" t="str">
            <v xml:space="preserve"> </v>
          </cell>
          <cell r="H31">
            <v>30000</v>
          </cell>
        </row>
        <row r="32">
          <cell r="A32" t="str">
            <v>2101-066</v>
          </cell>
          <cell r="B32" t="str">
            <v>Justina Knelsen Giesbrecht</v>
          </cell>
          <cell r="C32" t="str">
            <v xml:space="preserve"> </v>
          </cell>
          <cell r="D32">
            <v>168328</v>
          </cell>
          <cell r="E32">
            <v>40000</v>
          </cell>
          <cell r="F32">
            <v>0</v>
          </cell>
          <cell r="G32" t="str">
            <v xml:space="preserve"> </v>
          </cell>
          <cell r="H32">
            <v>128328</v>
          </cell>
        </row>
        <row r="33">
          <cell r="A33" t="str">
            <v>2102-000</v>
          </cell>
          <cell r="B33" t="str">
            <v>ACREEDORES DIVERSOS</v>
          </cell>
          <cell r="C33" t="str">
            <v xml:space="preserve"> </v>
          </cell>
          <cell r="D33">
            <v>55196.46</v>
          </cell>
          <cell r="E33">
            <v>0</v>
          </cell>
          <cell r="F33">
            <v>4088.96</v>
          </cell>
          <cell r="G33" t="str">
            <v xml:space="preserve"> </v>
          </cell>
          <cell r="H33">
            <v>59285.42</v>
          </cell>
        </row>
        <row r="34">
          <cell r="A34" t="str">
            <v>2102-055</v>
          </cell>
          <cell r="B34" t="str">
            <v>Carlos Rafael Morales Morales</v>
          </cell>
          <cell r="C34" t="str">
            <v xml:space="preserve"> </v>
          </cell>
          <cell r="D34">
            <v>14014.86</v>
          </cell>
          <cell r="E34">
            <v>0</v>
          </cell>
          <cell r="F34">
            <v>3820.3</v>
          </cell>
          <cell r="G34" t="str">
            <v xml:space="preserve"> </v>
          </cell>
          <cell r="H34">
            <v>17835.16</v>
          </cell>
        </row>
        <row r="35">
          <cell r="A35" t="str">
            <v>2102-174</v>
          </cell>
          <cell r="B35" t="str">
            <v>Banco Santander SA</v>
          </cell>
          <cell r="C35" t="str">
            <v xml:space="preserve"> </v>
          </cell>
          <cell r="D35">
            <v>0</v>
          </cell>
          <cell r="E35">
            <v>0</v>
          </cell>
          <cell r="F35">
            <v>268.66000000000003</v>
          </cell>
          <cell r="G35" t="str">
            <v xml:space="preserve"> </v>
          </cell>
          <cell r="H35">
            <v>268.66000000000003</v>
          </cell>
        </row>
        <row r="36">
          <cell r="A36" t="str">
            <v>4000-000</v>
          </cell>
          <cell r="B36" t="str">
            <v>INGRESOS</v>
          </cell>
          <cell r="C36" t="str">
            <v xml:space="preserve"> </v>
          </cell>
          <cell r="D36">
            <v>1394732.3</v>
          </cell>
          <cell r="E36">
            <v>0</v>
          </cell>
          <cell r="F36">
            <v>328966.5</v>
          </cell>
          <cell r="G36" t="str">
            <v xml:space="preserve"> </v>
          </cell>
          <cell r="H36">
            <v>1723698.8</v>
          </cell>
        </row>
        <row r="37">
          <cell r="A37" t="str">
            <v>4100-000</v>
          </cell>
          <cell r="B37" t="str">
            <v>VENTAS</v>
          </cell>
          <cell r="C37" t="str">
            <v xml:space="preserve"> </v>
          </cell>
          <cell r="D37">
            <v>1394732.3</v>
          </cell>
          <cell r="E37">
            <v>0</v>
          </cell>
          <cell r="F37">
            <v>328966.5</v>
          </cell>
          <cell r="G37" t="str">
            <v xml:space="preserve"> </v>
          </cell>
          <cell r="H37">
            <v>1723698.8</v>
          </cell>
        </row>
        <row r="38">
          <cell r="A38" t="str">
            <v>4100-001</v>
          </cell>
          <cell r="B38" t="str">
            <v>Venta de Frijol</v>
          </cell>
          <cell r="C38" t="str">
            <v xml:space="preserve"> </v>
          </cell>
          <cell r="D38">
            <v>1394732.3</v>
          </cell>
          <cell r="E38">
            <v>0</v>
          </cell>
          <cell r="F38">
            <v>315966.5</v>
          </cell>
          <cell r="G38" t="str">
            <v xml:space="preserve"> </v>
          </cell>
          <cell r="H38">
            <v>1710698.8</v>
          </cell>
        </row>
        <row r="39">
          <cell r="A39" t="str">
            <v>4100-002</v>
          </cell>
          <cell r="B39" t="str">
            <v>Venta de Maiz</v>
          </cell>
          <cell r="C39" t="str">
            <v xml:space="preserve"> </v>
          </cell>
          <cell r="D39">
            <v>0</v>
          </cell>
          <cell r="E39">
            <v>0</v>
          </cell>
          <cell r="F39">
            <v>13000</v>
          </cell>
          <cell r="G39" t="str">
            <v xml:space="preserve"> </v>
          </cell>
          <cell r="H39">
            <v>13000</v>
          </cell>
        </row>
        <row r="40">
          <cell r="A40" t="str">
            <v>5000-000</v>
          </cell>
          <cell r="B40" t="str">
            <v>EGRESOS</v>
          </cell>
          <cell r="C40">
            <v>2241661.31</v>
          </cell>
          <cell r="D40" t="str">
            <v xml:space="preserve"> </v>
          </cell>
          <cell r="E40">
            <v>311907.83</v>
          </cell>
          <cell r="F40">
            <v>0</v>
          </cell>
          <cell r="G40">
            <v>2553569.14</v>
          </cell>
          <cell r="H40" t="str">
            <v xml:space="preserve"> </v>
          </cell>
        </row>
        <row r="41">
          <cell r="A41" t="str">
            <v>5100-000</v>
          </cell>
          <cell r="B41" t="str">
            <v>COMPRAS</v>
          </cell>
          <cell r="C41">
            <v>2159206</v>
          </cell>
          <cell r="D41" t="str">
            <v xml:space="preserve"> </v>
          </cell>
          <cell r="E41">
            <v>303552</v>
          </cell>
          <cell r="F41">
            <v>0</v>
          </cell>
          <cell r="G41">
            <v>2462758</v>
          </cell>
          <cell r="H41" t="str">
            <v xml:space="preserve"> </v>
          </cell>
        </row>
        <row r="42">
          <cell r="A42" t="str">
            <v>5100-001</v>
          </cell>
          <cell r="B42" t="str">
            <v>Compra de Maiz</v>
          </cell>
          <cell r="C42">
            <v>0</v>
          </cell>
          <cell r="D42" t="str">
            <v xml:space="preserve"> </v>
          </cell>
          <cell r="E42">
            <v>130004</v>
          </cell>
          <cell r="F42">
            <v>0</v>
          </cell>
          <cell r="G42">
            <v>130004</v>
          </cell>
          <cell r="H42" t="str">
            <v xml:space="preserve"> </v>
          </cell>
        </row>
        <row r="43">
          <cell r="A43" t="str">
            <v>5100-002</v>
          </cell>
          <cell r="B43" t="str">
            <v>Compra de Frijol</v>
          </cell>
          <cell r="C43">
            <v>2132206</v>
          </cell>
          <cell r="D43" t="str">
            <v xml:space="preserve"> </v>
          </cell>
          <cell r="E43">
            <v>173548</v>
          </cell>
          <cell r="F43">
            <v>0</v>
          </cell>
          <cell r="G43">
            <v>2305754</v>
          </cell>
          <cell r="H43" t="str">
            <v xml:space="preserve"> </v>
          </cell>
        </row>
        <row r="44">
          <cell r="A44" t="str">
            <v>5200-000</v>
          </cell>
          <cell r="B44" t="str">
            <v>GASTOS GENERALES</v>
          </cell>
          <cell r="C44">
            <v>77769.929999999993</v>
          </cell>
          <cell r="D44" t="str">
            <v xml:space="preserve"> </v>
          </cell>
          <cell r="E44">
            <v>7227.83</v>
          </cell>
          <cell r="F44">
            <v>0</v>
          </cell>
          <cell r="G44">
            <v>84997.759999999995</v>
          </cell>
          <cell r="H44" t="str">
            <v xml:space="preserve"> </v>
          </cell>
        </row>
        <row r="45">
          <cell r="A45" t="str">
            <v>5200-300</v>
          </cell>
          <cell r="B45" t="str">
            <v>MANTENIMIENTOS</v>
          </cell>
          <cell r="C45">
            <v>28468.58</v>
          </cell>
          <cell r="D45" t="str">
            <v xml:space="preserve"> </v>
          </cell>
          <cell r="E45">
            <v>6904.3</v>
          </cell>
          <cell r="F45">
            <v>0</v>
          </cell>
          <cell r="G45">
            <v>35372.879999999997</v>
          </cell>
          <cell r="H45" t="str">
            <v xml:space="preserve"> </v>
          </cell>
        </row>
        <row r="46">
          <cell r="A46" t="str">
            <v>5200-301</v>
          </cell>
          <cell r="B46" t="str">
            <v>Mtto. de equipo de transporte</v>
          </cell>
          <cell r="C46">
            <v>28468.58</v>
          </cell>
          <cell r="D46" t="str">
            <v xml:space="preserve"> </v>
          </cell>
          <cell r="E46">
            <v>6904.3</v>
          </cell>
          <cell r="F46">
            <v>0</v>
          </cell>
          <cell r="G46">
            <v>35372.879999999997</v>
          </cell>
          <cell r="H46" t="str">
            <v xml:space="preserve"> </v>
          </cell>
        </row>
        <row r="47">
          <cell r="A47" t="str">
            <v>5200-400</v>
          </cell>
          <cell r="B47" t="str">
            <v>GASTOS DE VIAJE</v>
          </cell>
          <cell r="C47">
            <v>24231.08</v>
          </cell>
          <cell r="D47" t="str">
            <v xml:space="preserve"> </v>
          </cell>
          <cell r="E47">
            <v>156.52000000000001</v>
          </cell>
          <cell r="F47">
            <v>0</v>
          </cell>
          <cell r="G47">
            <v>24387.599999999999</v>
          </cell>
          <cell r="H47" t="str">
            <v xml:space="preserve"> </v>
          </cell>
        </row>
        <row r="48">
          <cell r="A48" t="str">
            <v>5200-403</v>
          </cell>
          <cell r="B48" t="str">
            <v>Combustibles y Lubricantes</v>
          </cell>
          <cell r="C48">
            <v>18303.84</v>
          </cell>
          <cell r="D48" t="str">
            <v xml:space="preserve"> </v>
          </cell>
          <cell r="E48">
            <v>156.52000000000001</v>
          </cell>
          <cell r="F48">
            <v>0</v>
          </cell>
          <cell r="G48">
            <v>18460.36</v>
          </cell>
          <cell r="H48" t="str">
            <v xml:space="preserve"> </v>
          </cell>
        </row>
        <row r="49">
          <cell r="A49" t="str">
            <v>5200-500</v>
          </cell>
          <cell r="B49" t="str">
            <v>MATERIALES DE TRABAJO</v>
          </cell>
          <cell r="C49">
            <v>9311.27</v>
          </cell>
          <cell r="D49" t="str">
            <v xml:space="preserve"> </v>
          </cell>
          <cell r="E49">
            <v>167.01</v>
          </cell>
          <cell r="F49">
            <v>0</v>
          </cell>
          <cell r="G49">
            <v>9478.2800000000007</v>
          </cell>
          <cell r="H49" t="str">
            <v xml:space="preserve"> </v>
          </cell>
        </row>
        <row r="50">
          <cell r="A50" t="str">
            <v>5300-000</v>
          </cell>
          <cell r="B50" t="str">
            <v>GASTOS FINANCIEROS</v>
          </cell>
          <cell r="C50">
            <v>939</v>
          </cell>
          <cell r="D50" t="str">
            <v xml:space="preserve"> </v>
          </cell>
          <cell r="E50">
            <v>1128</v>
          </cell>
          <cell r="F50">
            <v>0</v>
          </cell>
          <cell r="G50">
            <v>2067</v>
          </cell>
          <cell r="H50" t="str">
            <v xml:space="preserve"> </v>
          </cell>
        </row>
        <row r="51">
          <cell r="A51" t="str">
            <v>5300-001</v>
          </cell>
          <cell r="B51" t="str">
            <v>Comisiones Bancarias</v>
          </cell>
          <cell r="C51">
            <v>939</v>
          </cell>
          <cell r="D51" t="str">
            <v xml:space="preserve"> </v>
          </cell>
          <cell r="E51">
            <v>1128</v>
          </cell>
          <cell r="F51">
            <v>0</v>
          </cell>
          <cell r="G51">
            <v>2067</v>
          </cell>
          <cell r="H51" t="str">
            <v xml:space="preserve"> </v>
          </cell>
        </row>
        <row r="52">
          <cell r="A52" t="str">
            <v xml:space="preserve"> </v>
          </cell>
        </row>
        <row r="53">
          <cell r="B53" t="str">
            <v>Total cuentas no impresas</v>
          </cell>
          <cell r="C53">
            <v>487698.62</v>
          </cell>
          <cell r="E53">
            <v>0</v>
          </cell>
          <cell r="F53">
            <v>0</v>
          </cell>
          <cell r="G53">
            <v>487698.62</v>
          </cell>
        </row>
        <row r="54">
          <cell r="B54" t="str">
            <v xml:space="preserve"> </v>
          </cell>
          <cell r="D54">
            <v>960279.35</v>
          </cell>
          <cell r="H54">
            <v>960279.35</v>
          </cell>
        </row>
        <row r="55">
          <cell r="A55" t="str">
            <v xml:space="preserve"> </v>
          </cell>
        </row>
        <row r="57">
          <cell r="B57" t="str">
            <v xml:space="preserve">Sumas Iguales: </v>
          </cell>
          <cell r="C57">
            <v>2768774.24</v>
          </cell>
          <cell r="E57">
            <v>1273094.21</v>
          </cell>
          <cell r="F57">
            <v>1273094.21</v>
          </cell>
          <cell r="G57">
            <v>3130381.7</v>
          </cell>
        </row>
        <row r="58">
          <cell r="D58">
            <v>2826334.51</v>
          </cell>
          <cell r="H58">
            <v>3187941.97</v>
          </cell>
        </row>
      </sheetData>
      <sheetData sheetId="8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563489.81999999995</v>
          </cell>
          <cell r="D8" t="str">
            <v xml:space="preserve"> </v>
          </cell>
          <cell r="E8">
            <v>1598373.54</v>
          </cell>
          <cell r="F8">
            <v>989602.87</v>
          </cell>
          <cell r="G8">
            <v>1172260.49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563489.81999999995</v>
          </cell>
          <cell r="D9" t="str">
            <v xml:space="preserve"> </v>
          </cell>
          <cell r="E9">
            <v>1598373.54</v>
          </cell>
          <cell r="F9">
            <v>989602.87</v>
          </cell>
          <cell r="G9">
            <v>1172260.49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6435.19</v>
          </cell>
          <cell r="D10" t="str">
            <v xml:space="preserve"> </v>
          </cell>
          <cell r="E10">
            <v>614822</v>
          </cell>
          <cell r="F10">
            <v>377672.9</v>
          </cell>
          <cell r="G10">
            <v>243584.29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6435.19</v>
          </cell>
          <cell r="D11" t="str">
            <v xml:space="preserve"> </v>
          </cell>
          <cell r="E11">
            <v>614822</v>
          </cell>
          <cell r="F11">
            <v>377672.9</v>
          </cell>
          <cell r="G11">
            <v>243584.29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16954</v>
          </cell>
          <cell r="D12" t="str">
            <v xml:space="preserve"> </v>
          </cell>
          <cell r="E12">
            <v>746092</v>
          </cell>
          <cell r="F12">
            <v>598822</v>
          </cell>
          <cell r="G12">
            <v>164224</v>
          </cell>
          <cell r="H12" t="str">
            <v xml:space="preserve"> </v>
          </cell>
        </row>
        <row r="13">
          <cell r="A13" t="str">
            <v>1103-003</v>
          </cell>
          <cell r="B13" t="str">
            <v>Abastecedora Coemrcial de Parral S.A. de C.V.</v>
          </cell>
          <cell r="C13">
            <v>0</v>
          </cell>
          <cell r="D13" t="str">
            <v xml:space="preserve"> </v>
          </cell>
          <cell r="E13">
            <v>84172.5</v>
          </cell>
          <cell r="F13">
            <v>84172.5</v>
          </cell>
          <cell r="G13">
            <v>0</v>
          </cell>
          <cell r="H13" t="str">
            <v xml:space="preserve"> </v>
          </cell>
        </row>
        <row r="14">
          <cell r="A14" t="str">
            <v>1103-005</v>
          </cell>
          <cell r="B14" t="str">
            <v>Amaya Comercial S.A. DE C.V.</v>
          </cell>
          <cell r="C14">
            <v>0</v>
          </cell>
          <cell r="D14" t="str">
            <v xml:space="preserve"> </v>
          </cell>
          <cell r="E14">
            <v>204720</v>
          </cell>
          <cell r="F14">
            <v>204720</v>
          </cell>
          <cell r="G14">
            <v>0</v>
          </cell>
          <cell r="H14" t="str">
            <v xml:space="preserve"> </v>
          </cell>
        </row>
        <row r="15">
          <cell r="A15" t="str">
            <v>1103-007</v>
          </cell>
          <cell r="B15" t="str">
            <v>Distribuidora de Granos y Semillas Baca S.A. de C.</v>
          </cell>
          <cell r="C15">
            <v>0</v>
          </cell>
          <cell r="D15" t="str">
            <v xml:space="preserve"> </v>
          </cell>
          <cell r="E15">
            <v>243137</v>
          </cell>
          <cell r="F15">
            <v>105617</v>
          </cell>
          <cell r="G15">
            <v>137520</v>
          </cell>
          <cell r="H15" t="str">
            <v xml:space="preserve"> </v>
          </cell>
        </row>
        <row r="16">
          <cell r="A16" t="str">
            <v>1103-015</v>
          </cell>
          <cell r="B16" t="str">
            <v>Super Comercial Arrellanos S de R.L. de C.V.</v>
          </cell>
          <cell r="C16">
            <v>0</v>
          </cell>
          <cell r="D16" t="str">
            <v xml:space="preserve"> </v>
          </cell>
          <cell r="E16">
            <v>9750</v>
          </cell>
          <cell r="F16">
            <v>0</v>
          </cell>
          <cell r="G16">
            <v>9750</v>
          </cell>
          <cell r="H16" t="str">
            <v xml:space="preserve"> </v>
          </cell>
        </row>
        <row r="17">
          <cell r="A17" t="str">
            <v>1103-018</v>
          </cell>
          <cell r="B17" t="str">
            <v>Consorcio Abarrotero Mexicano S.A de C.V.</v>
          </cell>
          <cell r="C17">
            <v>0</v>
          </cell>
          <cell r="D17" t="str">
            <v xml:space="preserve"> </v>
          </cell>
          <cell r="E17">
            <v>184512.5</v>
          </cell>
          <cell r="F17">
            <v>184512.5</v>
          </cell>
          <cell r="G17">
            <v>0</v>
          </cell>
          <cell r="H17" t="str">
            <v xml:space="preserve"> </v>
          </cell>
        </row>
        <row r="18">
          <cell r="A18" t="str">
            <v>1103-029</v>
          </cell>
          <cell r="B18" t="str">
            <v>Sonia Abaid Abaid</v>
          </cell>
          <cell r="C18">
            <v>0</v>
          </cell>
          <cell r="D18" t="str">
            <v xml:space="preserve"> </v>
          </cell>
          <cell r="E18">
            <v>19800</v>
          </cell>
          <cell r="F18">
            <v>19800</v>
          </cell>
          <cell r="G18">
            <v>0</v>
          </cell>
          <cell r="H18" t="str">
            <v xml:space="preserve"> </v>
          </cell>
        </row>
        <row r="19">
          <cell r="A19" t="str">
            <v>1104-000</v>
          </cell>
          <cell r="B19" t="str">
            <v>DEUDORES DIVERSOS</v>
          </cell>
          <cell r="C19">
            <v>75040.509999999995</v>
          </cell>
          <cell r="D19" t="str">
            <v xml:space="preserve"> </v>
          </cell>
          <cell r="E19">
            <v>0</v>
          </cell>
          <cell r="F19">
            <v>13107.97</v>
          </cell>
          <cell r="G19">
            <v>61932.54</v>
          </cell>
          <cell r="H19" t="str">
            <v xml:space="preserve"> </v>
          </cell>
        </row>
        <row r="20">
          <cell r="A20" t="str">
            <v>1104-001</v>
          </cell>
          <cell r="B20" t="str">
            <v>Veronica Prieto Medrano</v>
          </cell>
          <cell r="C20">
            <v>75040.509999999995</v>
          </cell>
          <cell r="D20" t="str">
            <v xml:space="preserve"> </v>
          </cell>
          <cell r="E20">
            <v>0</v>
          </cell>
          <cell r="F20">
            <v>13107.97</v>
          </cell>
          <cell r="G20">
            <v>61932.54</v>
          </cell>
          <cell r="H20" t="str">
            <v xml:space="preserve"> </v>
          </cell>
        </row>
        <row r="21">
          <cell r="A21" t="str">
            <v>1105-000</v>
          </cell>
          <cell r="B21" t="str">
            <v>IVA ACREDITABLE</v>
          </cell>
          <cell r="C21">
            <v>32748.12</v>
          </cell>
          <cell r="D21" t="str">
            <v xml:space="preserve"> </v>
          </cell>
          <cell r="E21">
            <v>2459.54</v>
          </cell>
          <cell r="F21">
            <v>0</v>
          </cell>
          <cell r="G21">
            <v>35207.660000000003</v>
          </cell>
          <cell r="H21" t="str">
            <v xml:space="preserve"> </v>
          </cell>
        </row>
        <row r="22">
          <cell r="A22" t="str">
            <v>1105-001</v>
          </cell>
          <cell r="B22" t="str">
            <v>Iva Acreditable Pend. de Pago</v>
          </cell>
          <cell r="C22">
            <v>7606.16</v>
          </cell>
          <cell r="D22" t="str">
            <v xml:space="preserve"> </v>
          </cell>
          <cell r="E22">
            <v>922.2</v>
          </cell>
          <cell r="F22">
            <v>0</v>
          </cell>
          <cell r="G22">
            <v>8528.36</v>
          </cell>
          <cell r="H22" t="str">
            <v xml:space="preserve"> </v>
          </cell>
        </row>
        <row r="23">
          <cell r="A23" t="str">
            <v>1105-002</v>
          </cell>
          <cell r="B23" t="str">
            <v>Iva  Acreditable Efect. Pagado</v>
          </cell>
          <cell r="C23">
            <v>25141.96</v>
          </cell>
          <cell r="D23" t="str">
            <v xml:space="preserve"> </v>
          </cell>
          <cell r="E23">
            <v>1537.34</v>
          </cell>
          <cell r="F23">
            <v>0</v>
          </cell>
          <cell r="G23">
            <v>26679.3</v>
          </cell>
          <cell r="H23" t="str">
            <v xml:space="preserve"> </v>
          </cell>
        </row>
        <row r="24">
          <cell r="A24" t="str">
            <v>1107-000</v>
          </cell>
          <cell r="B24" t="str">
            <v>ANTICIPO A PROVEEDORES</v>
          </cell>
          <cell r="C24">
            <v>430640</v>
          </cell>
          <cell r="D24" t="str">
            <v xml:space="preserve"> </v>
          </cell>
          <cell r="E24">
            <v>235000</v>
          </cell>
          <cell r="F24">
            <v>0</v>
          </cell>
          <cell r="G24">
            <v>665640</v>
          </cell>
          <cell r="H24" t="str">
            <v xml:space="preserve"> </v>
          </cell>
        </row>
        <row r="25">
          <cell r="A25" t="str">
            <v>1107-005</v>
          </cell>
          <cell r="B25" t="str">
            <v>Cornelius Thiessen Fehr</v>
          </cell>
          <cell r="C25">
            <v>0</v>
          </cell>
          <cell r="D25" t="str">
            <v xml:space="preserve"> </v>
          </cell>
          <cell r="E25">
            <v>35000</v>
          </cell>
          <cell r="F25">
            <v>0</v>
          </cell>
          <cell r="G25">
            <v>35000</v>
          </cell>
          <cell r="H25" t="str">
            <v xml:space="preserve"> </v>
          </cell>
        </row>
        <row r="26">
          <cell r="A26" t="str">
            <v>1107-006</v>
          </cell>
          <cell r="B26" t="str">
            <v>Jacob Wiebe Klassen</v>
          </cell>
          <cell r="C26">
            <v>0</v>
          </cell>
          <cell r="D26" t="str">
            <v xml:space="preserve"> </v>
          </cell>
          <cell r="E26">
            <v>200000</v>
          </cell>
          <cell r="F26">
            <v>0</v>
          </cell>
          <cell r="G26">
            <v>200000</v>
          </cell>
          <cell r="H26" t="str">
            <v xml:space="preserve"> </v>
          </cell>
        </row>
        <row r="27">
          <cell r="A27" t="str">
            <v>2000-000</v>
          </cell>
          <cell r="B27" t="str">
            <v>PASIVO</v>
          </cell>
          <cell r="C27" t="str">
            <v xml:space="preserve"> </v>
          </cell>
          <cell r="D27">
            <v>1048439.76</v>
          </cell>
          <cell r="E27">
            <v>142344</v>
          </cell>
          <cell r="F27">
            <v>134087.79999999999</v>
          </cell>
          <cell r="G27" t="str">
            <v xml:space="preserve"> </v>
          </cell>
          <cell r="H27">
            <v>1040183.56</v>
          </cell>
        </row>
        <row r="28">
          <cell r="A28" t="str">
            <v>2100-000</v>
          </cell>
          <cell r="B28" t="str">
            <v>PASIVO A CORTO PLAZO</v>
          </cell>
          <cell r="C28" t="str">
            <v xml:space="preserve"> </v>
          </cell>
          <cell r="D28">
            <v>1048439.76</v>
          </cell>
          <cell r="E28">
            <v>142344</v>
          </cell>
          <cell r="F28">
            <v>134087.79999999999</v>
          </cell>
          <cell r="G28" t="str">
            <v xml:space="preserve"> </v>
          </cell>
          <cell r="H28">
            <v>1040183.56</v>
          </cell>
        </row>
        <row r="29">
          <cell r="A29" t="str">
            <v>2101-000</v>
          </cell>
          <cell r="B29" t="str">
            <v>PROVEEDORES</v>
          </cell>
          <cell r="C29" t="str">
            <v xml:space="preserve"> </v>
          </cell>
          <cell r="D29">
            <v>979793</v>
          </cell>
          <cell r="E29">
            <v>142344</v>
          </cell>
          <cell r="F29">
            <v>127017.60000000001</v>
          </cell>
          <cell r="G29" t="str">
            <v xml:space="preserve"> </v>
          </cell>
          <cell r="H29">
            <v>964466.6</v>
          </cell>
        </row>
        <row r="30">
          <cell r="A30" t="str">
            <v>2101-037</v>
          </cell>
          <cell r="B30" t="str">
            <v>Garbules S.P.R. de R.L.</v>
          </cell>
          <cell r="C30" t="str">
            <v xml:space="preserve"> </v>
          </cell>
          <cell r="D30">
            <v>138054</v>
          </cell>
          <cell r="E30">
            <v>136444</v>
          </cell>
          <cell r="F30">
            <v>0</v>
          </cell>
          <cell r="G30" t="str">
            <v xml:space="preserve"> </v>
          </cell>
          <cell r="H30">
            <v>1610</v>
          </cell>
        </row>
        <row r="31">
          <cell r="A31" t="str">
            <v>2101-062</v>
          </cell>
          <cell r="B31" t="str">
            <v>Distribuidora de Granos y Semillas Baca S.A de C.V</v>
          </cell>
          <cell r="C31" t="str">
            <v xml:space="preserve"> </v>
          </cell>
          <cell r="D31">
            <v>5900</v>
          </cell>
          <cell r="E31">
            <v>5900</v>
          </cell>
          <cell r="F31">
            <v>0</v>
          </cell>
          <cell r="G31" t="str">
            <v xml:space="preserve"> </v>
          </cell>
          <cell r="H31">
            <v>0</v>
          </cell>
        </row>
        <row r="32">
          <cell r="A32" t="str">
            <v>2101-074</v>
          </cell>
          <cell r="B32" t="str">
            <v>Granos y Semillas Lopez S.A. de C.V.</v>
          </cell>
          <cell r="C32" t="str">
            <v xml:space="preserve"> </v>
          </cell>
          <cell r="D32">
            <v>0</v>
          </cell>
          <cell r="E32">
            <v>0</v>
          </cell>
          <cell r="F32">
            <v>127017.60000000001</v>
          </cell>
          <cell r="G32" t="str">
            <v xml:space="preserve"> </v>
          </cell>
          <cell r="H32">
            <v>127017.60000000001</v>
          </cell>
        </row>
        <row r="33">
          <cell r="A33" t="str">
            <v>2102-000</v>
          </cell>
          <cell r="B33" t="str">
            <v>ACREEDORES DIVERSOS</v>
          </cell>
          <cell r="C33" t="str">
            <v xml:space="preserve"> </v>
          </cell>
          <cell r="D33">
            <v>59016.76</v>
          </cell>
          <cell r="E33">
            <v>0</v>
          </cell>
          <cell r="F33">
            <v>7070.2</v>
          </cell>
          <cell r="G33" t="str">
            <v xml:space="preserve"> </v>
          </cell>
          <cell r="H33">
            <v>66086.960000000006</v>
          </cell>
        </row>
        <row r="34">
          <cell r="A34" t="str">
            <v>2102-014</v>
          </cell>
          <cell r="B34" t="str">
            <v>Motores y Equipos Elecrtricos de Chihuahua S.A. de</v>
          </cell>
          <cell r="C34" t="str">
            <v xml:space="preserve"> </v>
          </cell>
          <cell r="D34">
            <v>0</v>
          </cell>
          <cell r="E34">
            <v>0</v>
          </cell>
          <cell r="F34">
            <v>3680</v>
          </cell>
          <cell r="G34" t="str">
            <v xml:space="preserve"> </v>
          </cell>
          <cell r="H34">
            <v>3680</v>
          </cell>
        </row>
        <row r="35">
          <cell r="A35" t="str">
            <v>2102-047</v>
          </cell>
          <cell r="B35" t="str">
            <v>Agencia Llantera S.A. de C.V.</v>
          </cell>
          <cell r="C35" t="str">
            <v xml:space="preserve"> </v>
          </cell>
          <cell r="D35">
            <v>0</v>
          </cell>
          <cell r="E35">
            <v>0</v>
          </cell>
          <cell r="F35">
            <v>3390.2</v>
          </cell>
          <cell r="G35" t="str">
            <v xml:space="preserve"> </v>
          </cell>
          <cell r="H35">
            <v>3390.2</v>
          </cell>
        </row>
        <row r="36">
          <cell r="A36" t="str">
            <v>4000-000</v>
          </cell>
          <cell r="B36" t="str">
            <v>INGRESOS</v>
          </cell>
          <cell r="C36" t="str">
            <v xml:space="preserve"> </v>
          </cell>
          <cell r="D36">
            <v>2639464.5</v>
          </cell>
          <cell r="E36">
            <v>0</v>
          </cell>
          <cell r="F36">
            <v>762092</v>
          </cell>
          <cell r="G36" t="str">
            <v xml:space="preserve"> </v>
          </cell>
          <cell r="H36">
            <v>3401556.5</v>
          </cell>
        </row>
        <row r="37">
          <cell r="A37" t="str">
            <v>4100-000</v>
          </cell>
          <cell r="B37" t="str">
            <v>VENTAS</v>
          </cell>
          <cell r="C37" t="str">
            <v xml:space="preserve"> </v>
          </cell>
          <cell r="D37">
            <v>2639464.5</v>
          </cell>
          <cell r="E37">
            <v>0</v>
          </cell>
          <cell r="F37">
            <v>746092</v>
          </cell>
          <cell r="G37" t="str">
            <v xml:space="preserve"> </v>
          </cell>
          <cell r="H37">
            <v>3385556.5</v>
          </cell>
        </row>
        <row r="38">
          <cell r="A38" t="str">
            <v>4100-001</v>
          </cell>
          <cell r="B38" t="str">
            <v>Venta de Frijol</v>
          </cell>
          <cell r="C38" t="str">
            <v xml:space="preserve"> </v>
          </cell>
          <cell r="D38">
            <v>2626464.5</v>
          </cell>
          <cell r="E38">
            <v>0</v>
          </cell>
          <cell r="F38">
            <v>500105</v>
          </cell>
          <cell r="G38" t="str">
            <v xml:space="preserve"> </v>
          </cell>
          <cell r="H38">
            <v>3126569.5</v>
          </cell>
        </row>
        <row r="39">
          <cell r="A39" t="str">
            <v>4100-002</v>
          </cell>
          <cell r="B39" t="str">
            <v>Venta de Maiz</v>
          </cell>
          <cell r="C39" t="str">
            <v xml:space="preserve"> </v>
          </cell>
          <cell r="D39">
            <v>13000</v>
          </cell>
          <cell r="E39">
            <v>0</v>
          </cell>
          <cell r="F39">
            <v>245987</v>
          </cell>
          <cell r="G39" t="str">
            <v xml:space="preserve"> </v>
          </cell>
          <cell r="H39">
            <v>258987</v>
          </cell>
        </row>
        <row r="40">
          <cell r="A40" t="str">
            <v>4400-000</v>
          </cell>
          <cell r="B40" t="str">
            <v>OTROS INGRESOS</v>
          </cell>
          <cell r="C40" t="str">
            <v xml:space="preserve"> </v>
          </cell>
          <cell r="D40">
            <v>0</v>
          </cell>
          <cell r="E40">
            <v>0</v>
          </cell>
          <cell r="F40">
            <v>16000</v>
          </cell>
          <cell r="G40" t="str">
            <v xml:space="preserve"> </v>
          </cell>
          <cell r="H40">
            <v>16000</v>
          </cell>
        </row>
        <row r="41">
          <cell r="A41" t="str">
            <v>5000-000</v>
          </cell>
          <cell r="B41" t="str">
            <v>EGRESOS</v>
          </cell>
          <cell r="C41">
            <v>3342338.92</v>
          </cell>
          <cell r="D41" t="str">
            <v xml:space="preserve"> </v>
          </cell>
          <cell r="E41">
            <v>145065.13</v>
          </cell>
          <cell r="F41">
            <v>0</v>
          </cell>
          <cell r="G41">
            <v>3487404.05</v>
          </cell>
          <cell r="H41" t="str">
            <v xml:space="preserve"> </v>
          </cell>
        </row>
        <row r="42">
          <cell r="A42" t="str">
            <v>5100-000</v>
          </cell>
          <cell r="B42" t="str">
            <v>COMPRAS</v>
          </cell>
          <cell r="C42">
            <v>3239787</v>
          </cell>
          <cell r="D42" t="str">
            <v xml:space="preserve"> </v>
          </cell>
          <cell r="E42">
            <v>127017.60000000001</v>
          </cell>
          <cell r="F42">
            <v>0</v>
          </cell>
          <cell r="G42">
            <v>3366804.6</v>
          </cell>
          <cell r="H42" t="str">
            <v xml:space="preserve"> </v>
          </cell>
        </row>
        <row r="43">
          <cell r="A43" t="str">
            <v>5100-001</v>
          </cell>
          <cell r="B43" t="str">
            <v>Compra de Maiz</v>
          </cell>
          <cell r="C43">
            <v>408058</v>
          </cell>
          <cell r="D43" t="str">
            <v xml:space="preserve"> </v>
          </cell>
          <cell r="E43">
            <v>127017.60000000001</v>
          </cell>
          <cell r="F43">
            <v>0</v>
          </cell>
          <cell r="G43">
            <v>535075.6</v>
          </cell>
          <cell r="H43" t="str">
            <v xml:space="preserve"> </v>
          </cell>
        </row>
        <row r="44">
          <cell r="A44" t="str">
            <v>5200-000</v>
          </cell>
          <cell r="B44" t="str">
            <v>GASTOS GENERALES</v>
          </cell>
          <cell r="C44">
            <v>96139.54</v>
          </cell>
          <cell r="D44" t="str">
            <v xml:space="preserve"> </v>
          </cell>
          <cell r="E44">
            <v>17761.53</v>
          </cell>
          <cell r="F44">
            <v>0</v>
          </cell>
          <cell r="G44">
            <v>113901.07</v>
          </cell>
          <cell r="H44" t="str">
            <v xml:space="preserve"> </v>
          </cell>
        </row>
        <row r="45">
          <cell r="A45" t="str">
            <v>5200-200</v>
          </cell>
          <cell r="B45" t="str">
            <v>SERVICIOS</v>
          </cell>
          <cell r="C45">
            <v>15776.2</v>
          </cell>
          <cell r="D45" t="str">
            <v xml:space="preserve"> </v>
          </cell>
          <cell r="E45">
            <v>572.86</v>
          </cell>
          <cell r="F45">
            <v>0</v>
          </cell>
          <cell r="G45">
            <v>16349.06</v>
          </cell>
          <cell r="H45" t="str">
            <v xml:space="preserve"> </v>
          </cell>
        </row>
        <row r="46">
          <cell r="A46" t="str">
            <v>5200-204</v>
          </cell>
          <cell r="B46" t="str">
            <v>Papaeleria y Art. de Oficina</v>
          </cell>
          <cell r="C46">
            <v>0</v>
          </cell>
          <cell r="D46" t="str">
            <v xml:space="preserve"> </v>
          </cell>
          <cell r="E46">
            <v>440</v>
          </cell>
          <cell r="F46">
            <v>0</v>
          </cell>
          <cell r="G46">
            <v>440</v>
          </cell>
          <cell r="H46" t="str">
            <v xml:space="preserve"> </v>
          </cell>
        </row>
        <row r="47">
          <cell r="A47" t="str">
            <v>5200-211</v>
          </cell>
          <cell r="B47" t="str">
            <v>Otros Impuestos y Derechos Estatales</v>
          </cell>
          <cell r="C47">
            <v>26.2</v>
          </cell>
          <cell r="D47" t="str">
            <v xml:space="preserve"> </v>
          </cell>
          <cell r="E47">
            <v>19.86</v>
          </cell>
          <cell r="F47">
            <v>0</v>
          </cell>
          <cell r="G47">
            <v>46.06</v>
          </cell>
          <cell r="H47" t="str">
            <v xml:space="preserve"> </v>
          </cell>
        </row>
        <row r="48">
          <cell r="A48" t="str">
            <v>5200-213</v>
          </cell>
          <cell r="B48" t="str">
            <v>Mensajeria</v>
          </cell>
          <cell r="C48">
            <v>0</v>
          </cell>
          <cell r="D48" t="str">
            <v xml:space="preserve"> </v>
          </cell>
          <cell r="E48">
            <v>113</v>
          </cell>
          <cell r="F48">
            <v>0</v>
          </cell>
          <cell r="G48">
            <v>113</v>
          </cell>
          <cell r="H48" t="str">
            <v xml:space="preserve"> </v>
          </cell>
        </row>
        <row r="49">
          <cell r="A49" t="str">
            <v>5200-300</v>
          </cell>
          <cell r="B49" t="str">
            <v>MANTENIMIENTOS</v>
          </cell>
          <cell r="C49">
            <v>35732.879999999997</v>
          </cell>
          <cell r="D49" t="str">
            <v xml:space="preserve"> </v>
          </cell>
          <cell r="E49">
            <v>8542.76</v>
          </cell>
          <cell r="F49">
            <v>0</v>
          </cell>
          <cell r="G49">
            <v>44275.64</v>
          </cell>
          <cell r="H49" t="str">
            <v xml:space="preserve"> </v>
          </cell>
        </row>
        <row r="50">
          <cell r="A50" t="str">
            <v>5200-301</v>
          </cell>
          <cell r="B50" t="str">
            <v>Mtto. de equipo de transporte</v>
          </cell>
          <cell r="C50">
            <v>35732.879999999997</v>
          </cell>
          <cell r="D50" t="str">
            <v xml:space="preserve"> </v>
          </cell>
          <cell r="E50">
            <v>8542.76</v>
          </cell>
          <cell r="F50">
            <v>0</v>
          </cell>
          <cell r="G50">
            <v>44275.64</v>
          </cell>
          <cell r="H50" t="str">
            <v xml:space="preserve"> </v>
          </cell>
        </row>
        <row r="51">
          <cell r="A51" t="str">
            <v>5200-400</v>
          </cell>
          <cell r="B51" t="str">
            <v>GASTOS DE VIAJE</v>
          </cell>
          <cell r="C51">
            <v>32350.43</v>
          </cell>
          <cell r="D51" t="str">
            <v xml:space="preserve"> </v>
          </cell>
          <cell r="E51">
            <v>8645.91</v>
          </cell>
          <cell r="F51">
            <v>0</v>
          </cell>
          <cell r="G51">
            <v>40996.339999999997</v>
          </cell>
          <cell r="H51" t="str">
            <v xml:space="preserve"> </v>
          </cell>
        </row>
        <row r="52">
          <cell r="A52" t="str">
            <v>5200-402</v>
          </cell>
          <cell r="B52" t="str">
            <v>Cuotas de Peaje</v>
          </cell>
          <cell r="C52">
            <v>5484.64</v>
          </cell>
          <cell r="D52" t="str">
            <v xml:space="preserve"> </v>
          </cell>
          <cell r="E52">
            <v>1529.73</v>
          </cell>
          <cell r="F52">
            <v>0</v>
          </cell>
          <cell r="G52">
            <v>7014.37</v>
          </cell>
          <cell r="H52" t="str">
            <v xml:space="preserve"> </v>
          </cell>
        </row>
        <row r="53">
          <cell r="A53" t="str">
            <v>5200-403</v>
          </cell>
          <cell r="B53" t="str">
            <v>Combustibles y Lubricantes</v>
          </cell>
          <cell r="C53">
            <v>25480.23</v>
          </cell>
          <cell r="D53" t="str">
            <v xml:space="preserve"> </v>
          </cell>
          <cell r="E53">
            <v>6010.3</v>
          </cell>
          <cell r="F53">
            <v>0</v>
          </cell>
          <cell r="G53">
            <v>31490.53</v>
          </cell>
          <cell r="H53" t="str">
            <v xml:space="preserve"> </v>
          </cell>
        </row>
        <row r="54">
          <cell r="A54" t="str">
            <v>5200-404</v>
          </cell>
          <cell r="B54" t="str">
            <v>Hospedaje</v>
          </cell>
          <cell r="C54">
            <v>873.39</v>
          </cell>
          <cell r="D54" t="str">
            <v xml:space="preserve"> </v>
          </cell>
          <cell r="E54">
            <v>1105.8800000000001</v>
          </cell>
          <cell r="F54">
            <v>0</v>
          </cell>
          <cell r="G54">
            <v>1979.27</v>
          </cell>
          <cell r="H54" t="str">
            <v xml:space="preserve"> </v>
          </cell>
        </row>
        <row r="55">
          <cell r="A55" t="str">
            <v>5300-000</v>
          </cell>
          <cell r="B55" t="str">
            <v>GASTOS FINANCIEROS</v>
          </cell>
          <cell r="C55">
            <v>2666</v>
          </cell>
          <cell r="D55" t="str">
            <v xml:space="preserve"> </v>
          </cell>
          <cell r="E55">
            <v>286</v>
          </cell>
          <cell r="F55">
            <v>0</v>
          </cell>
          <cell r="G55">
            <v>2952</v>
          </cell>
          <cell r="H55" t="str">
            <v xml:space="preserve"> </v>
          </cell>
        </row>
        <row r="56">
          <cell r="A56" t="str">
            <v>5300-001</v>
          </cell>
          <cell r="B56" t="str">
            <v>Comisiones Bancarias</v>
          </cell>
          <cell r="C56">
            <v>2666</v>
          </cell>
          <cell r="D56" t="str">
            <v xml:space="preserve"> </v>
          </cell>
          <cell r="E56">
            <v>286</v>
          </cell>
          <cell r="F56">
            <v>0</v>
          </cell>
          <cell r="G56">
            <v>2952</v>
          </cell>
          <cell r="H56" t="str">
            <v xml:space="preserve"> </v>
          </cell>
        </row>
        <row r="57">
          <cell r="A57" t="str">
            <v xml:space="preserve"> </v>
          </cell>
        </row>
        <row r="58">
          <cell r="B58" t="str">
            <v>Total cuentas no impresas</v>
          </cell>
          <cell r="C58">
            <v>3313283.58</v>
          </cell>
          <cell r="E58">
            <v>0</v>
          </cell>
          <cell r="F58">
            <v>0</v>
          </cell>
          <cell r="G58">
            <v>3313283.58</v>
          </cell>
        </row>
        <row r="59">
          <cell r="B59" t="str">
            <v xml:space="preserve"> </v>
          </cell>
          <cell r="D59">
            <v>1179970.51</v>
          </cell>
          <cell r="H59">
            <v>1179970.51</v>
          </cell>
        </row>
        <row r="60">
          <cell r="A60" t="str">
            <v xml:space="preserve"> </v>
          </cell>
        </row>
        <row r="62">
          <cell r="B62" t="str">
            <v xml:space="preserve">Sumas Iguales: </v>
          </cell>
          <cell r="C62">
            <v>3905828.74</v>
          </cell>
          <cell r="E62">
            <v>1885782.67</v>
          </cell>
          <cell r="F62">
            <v>1885782.67</v>
          </cell>
          <cell r="G62">
            <v>4659664.54</v>
          </cell>
        </row>
        <row r="63">
          <cell r="D63">
            <v>3963389.01</v>
          </cell>
          <cell r="H63">
            <v>4717224.8099999996</v>
          </cell>
        </row>
      </sheetData>
      <sheetData sheetId="9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1172260.49</v>
          </cell>
          <cell r="D8" t="str">
            <v xml:space="preserve"> </v>
          </cell>
          <cell r="E8">
            <v>7203316.2699999996</v>
          </cell>
          <cell r="F8">
            <v>5017122.92</v>
          </cell>
          <cell r="G8">
            <v>3358453.84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1172260.49</v>
          </cell>
          <cell r="D9" t="str">
            <v xml:space="preserve"> </v>
          </cell>
          <cell r="E9">
            <v>7203316.2699999996</v>
          </cell>
          <cell r="F9">
            <v>5017122.92</v>
          </cell>
          <cell r="G9">
            <v>3358453.84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243584.29</v>
          </cell>
          <cell r="D10" t="str">
            <v xml:space="preserve"> </v>
          </cell>
          <cell r="E10">
            <v>2462522</v>
          </cell>
          <cell r="F10">
            <v>2548147.17</v>
          </cell>
          <cell r="G10">
            <v>157959.12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243584.29</v>
          </cell>
          <cell r="D11" t="str">
            <v xml:space="preserve"> </v>
          </cell>
          <cell r="E11">
            <v>2462522</v>
          </cell>
          <cell r="F11">
            <v>2548147.17</v>
          </cell>
          <cell r="G11">
            <v>157959.12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164224</v>
          </cell>
          <cell r="D12" t="str">
            <v xml:space="preserve"> </v>
          </cell>
          <cell r="E12">
            <v>2701595.5</v>
          </cell>
          <cell r="F12">
            <v>2462522</v>
          </cell>
          <cell r="G12">
            <v>403297.5</v>
          </cell>
          <cell r="H12" t="str">
            <v xml:space="preserve"> </v>
          </cell>
        </row>
        <row r="13">
          <cell r="A13" t="str">
            <v>1103-002</v>
          </cell>
          <cell r="B13" t="str">
            <v>Distribuidora de Granos Alimenticios SA DE CV</v>
          </cell>
          <cell r="C13">
            <v>0</v>
          </cell>
          <cell r="D13" t="str">
            <v xml:space="preserve"> </v>
          </cell>
          <cell r="E13">
            <v>18915</v>
          </cell>
          <cell r="F13">
            <v>18915</v>
          </cell>
          <cell r="G13">
            <v>0</v>
          </cell>
          <cell r="H13" t="str">
            <v xml:space="preserve"> </v>
          </cell>
        </row>
        <row r="14">
          <cell r="A14" t="str">
            <v>1103-003</v>
          </cell>
          <cell r="B14" t="str">
            <v>Abastecedora Coemrcial de Parral S.A. de C.V.</v>
          </cell>
          <cell r="C14">
            <v>0</v>
          </cell>
          <cell r="D14" t="str">
            <v xml:space="preserve"> </v>
          </cell>
          <cell r="E14">
            <v>60300</v>
          </cell>
          <cell r="F14">
            <v>60300</v>
          </cell>
          <cell r="G14">
            <v>0</v>
          </cell>
          <cell r="H14" t="str">
            <v xml:space="preserve"> </v>
          </cell>
        </row>
        <row r="15">
          <cell r="A15" t="str">
            <v>1103-005</v>
          </cell>
          <cell r="B15" t="str">
            <v>Amaya Comercial S.A. DE C.V.</v>
          </cell>
          <cell r="C15">
            <v>0</v>
          </cell>
          <cell r="D15" t="str">
            <v xml:space="preserve"> </v>
          </cell>
          <cell r="E15">
            <v>311161</v>
          </cell>
          <cell r="F15">
            <v>306161</v>
          </cell>
          <cell r="G15">
            <v>5000</v>
          </cell>
          <cell r="H15" t="str">
            <v xml:space="preserve"> </v>
          </cell>
        </row>
        <row r="16">
          <cell r="A16" t="str">
            <v>1103-007</v>
          </cell>
          <cell r="B16" t="str">
            <v>Distribuidora de Granos y Semillas Baca S.A. de C.</v>
          </cell>
          <cell r="C16">
            <v>137520</v>
          </cell>
          <cell r="D16" t="str">
            <v xml:space="preserve"> </v>
          </cell>
          <cell r="E16">
            <v>1833196</v>
          </cell>
          <cell r="F16">
            <v>1920696</v>
          </cell>
          <cell r="G16">
            <v>50020</v>
          </cell>
          <cell r="H16" t="str">
            <v xml:space="preserve"> </v>
          </cell>
        </row>
        <row r="17">
          <cell r="A17" t="str">
            <v>1103-010</v>
          </cell>
          <cell r="B17" t="str">
            <v>Noel Roderiguez Fernandez</v>
          </cell>
          <cell r="C17">
            <v>6675</v>
          </cell>
          <cell r="D17" t="str">
            <v xml:space="preserve"> </v>
          </cell>
          <cell r="E17">
            <v>88565</v>
          </cell>
          <cell r="F17">
            <v>0</v>
          </cell>
          <cell r="G17">
            <v>95240</v>
          </cell>
          <cell r="H17" t="str">
            <v xml:space="preserve"> </v>
          </cell>
        </row>
        <row r="18">
          <cell r="A18" t="str">
            <v>1103-011</v>
          </cell>
          <cell r="B18" t="str">
            <v>Gonzalo Gallegos Montes</v>
          </cell>
          <cell r="C18">
            <v>2393</v>
          </cell>
          <cell r="D18" t="str">
            <v xml:space="preserve"> </v>
          </cell>
          <cell r="E18">
            <v>187858.5</v>
          </cell>
          <cell r="F18">
            <v>0</v>
          </cell>
          <cell r="G18">
            <v>190251.5</v>
          </cell>
          <cell r="H18" t="str">
            <v xml:space="preserve"> </v>
          </cell>
        </row>
        <row r="19">
          <cell r="A19" t="str">
            <v>1103-015</v>
          </cell>
          <cell r="B19" t="str">
            <v>Super Comercial Arrellanos S de R.L. de C.V.</v>
          </cell>
          <cell r="C19">
            <v>9750</v>
          </cell>
          <cell r="D19" t="str">
            <v xml:space="preserve"> </v>
          </cell>
          <cell r="E19">
            <v>0</v>
          </cell>
          <cell r="F19">
            <v>9750</v>
          </cell>
          <cell r="G19">
            <v>0</v>
          </cell>
          <cell r="H19" t="str">
            <v xml:space="preserve"> </v>
          </cell>
        </row>
        <row r="20">
          <cell r="A20" t="str">
            <v>1103-016</v>
          </cell>
          <cell r="B20" t="str">
            <v>Gloria Alicia Ramirez Hernandez</v>
          </cell>
          <cell r="C20">
            <v>0</v>
          </cell>
          <cell r="D20" t="str">
            <v xml:space="preserve"> </v>
          </cell>
          <cell r="E20">
            <v>10800</v>
          </cell>
          <cell r="F20">
            <v>0</v>
          </cell>
          <cell r="G20">
            <v>10800</v>
          </cell>
          <cell r="H20" t="str">
            <v xml:space="preserve"> </v>
          </cell>
        </row>
        <row r="21">
          <cell r="A21" t="str">
            <v>1103-018</v>
          </cell>
          <cell r="B21" t="str">
            <v>Consorcio Abarrotero Mexicano S.A de C.V.</v>
          </cell>
          <cell r="C21">
            <v>0</v>
          </cell>
          <cell r="D21" t="str">
            <v xml:space="preserve"> </v>
          </cell>
          <cell r="E21">
            <v>120600</v>
          </cell>
          <cell r="F21">
            <v>120600</v>
          </cell>
          <cell r="G21">
            <v>0</v>
          </cell>
          <cell r="H21" t="str">
            <v xml:space="preserve"> </v>
          </cell>
        </row>
        <row r="22">
          <cell r="A22" t="str">
            <v>1103-021</v>
          </cell>
          <cell r="B22" t="str">
            <v>Sonia Latife</v>
          </cell>
          <cell r="C22">
            <v>0</v>
          </cell>
          <cell r="D22" t="str">
            <v xml:space="preserve"> </v>
          </cell>
          <cell r="E22">
            <v>12600</v>
          </cell>
          <cell r="F22">
            <v>0</v>
          </cell>
          <cell r="G22">
            <v>12600</v>
          </cell>
          <cell r="H22" t="str">
            <v xml:space="preserve"> </v>
          </cell>
        </row>
        <row r="23">
          <cell r="A23" t="str">
            <v>1103-023</v>
          </cell>
          <cell r="B23" t="str">
            <v>Abarrotes del Norte de la Sierra S.A DE C.V.</v>
          </cell>
          <cell r="C23">
            <v>0</v>
          </cell>
          <cell r="D23" t="str">
            <v xml:space="preserve"> </v>
          </cell>
          <cell r="E23">
            <v>31500</v>
          </cell>
          <cell r="F23">
            <v>0</v>
          </cell>
          <cell r="G23">
            <v>31500</v>
          </cell>
          <cell r="H23" t="str">
            <v xml:space="preserve"> </v>
          </cell>
        </row>
        <row r="24">
          <cell r="A24" t="str">
            <v>1103-029</v>
          </cell>
          <cell r="B24" t="str">
            <v>Sonia Abaid Abaid</v>
          </cell>
          <cell r="C24">
            <v>0</v>
          </cell>
          <cell r="D24" t="str">
            <v xml:space="preserve"> </v>
          </cell>
          <cell r="E24">
            <v>26100</v>
          </cell>
          <cell r="F24">
            <v>26100</v>
          </cell>
          <cell r="G24">
            <v>0</v>
          </cell>
          <cell r="H24" t="str">
            <v xml:space="preserve"> </v>
          </cell>
        </row>
        <row r="25">
          <cell r="A25" t="str">
            <v>1104-000</v>
          </cell>
          <cell r="B25" t="str">
            <v>DEUDORES DIVERSOS</v>
          </cell>
          <cell r="C25">
            <v>61932.54</v>
          </cell>
          <cell r="D25" t="str">
            <v xml:space="preserve"> </v>
          </cell>
          <cell r="E25">
            <v>0</v>
          </cell>
          <cell r="F25">
            <v>5583.75</v>
          </cell>
          <cell r="G25">
            <v>56348.79</v>
          </cell>
          <cell r="H25" t="str">
            <v xml:space="preserve"> </v>
          </cell>
        </row>
        <row r="26">
          <cell r="A26" t="str">
            <v>1104-001</v>
          </cell>
          <cell r="B26" t="str">
            <v>Veronica Prieto Medrano</v>
          </cell>
          <cell r="C26">
            <v>61932.54</v>
          </cell>
          <cell r="D26" t="str">
            <v xml:space="preserve"> </v>
          </cell>
          <cell r="E26">
            <v>0</v>
          </cell>
          <cell r="F26">
            <v>5583.75</v>
          </cell>
          <cell r="G26">
            <v>56348.79</v>
          </cell>
          <cell r="H26" t="str">
            <v xml:space="preserve"> </v>
          </cell>
        </row>
        <row r="27">
          <cell r="A27" t="str">
            <v>1105-000</v>
          </cell>
          <cell r="B27" t="str">
            <v>IVA ACREDITABLE</v>
          </cell>
          <cell r="C27">
            <v>35207.660000000003</v>
          </cell>
          <cell r="D27" t="str">
            <v xml:space="preserve"> </v>
          </cell>
          <cell r="E27">
            <v>3309</v>
          </cell>
          <cell r="F27">
            <v>870</v>
          </cell>
          <cell r="G27">
            <v>37646.660000000003</v>
          </cell>
          <cell r="H27" t="str">
            <v xml:space="preserve"> </v>
          </cell>
        </row>
        <row r="28">
          <cell r="A28" t="str">
            <v>1105-001</v>
          </cell>
          <cell r="B28" t="str">
            <v>Iva Acreditable Pend. de Pago</v>
          </cell>
          <cell r="C28">
            <v>8528.36</v>
          </cell>
          <cell r="D28" t="str">
            <v xml:space="preserve"> </v>
          </cell>
          <cell r="E28">
            <v>1860.93</v>
          </cell>
          <cell r="F28">
            <v>870</v>
          </cell>
          <cell r="G28">
            <v>9519.2900000000009</v>
          </cell>
          <cell r="H28" t="str">
            <v xml:space="preserve"> </v>
          </cell>
        </row>
        <row r="29">
          <cell r="A29" t="str">
            <v>1105-002</v>
          </cell>
          <cell r="B29" t="str">
            <v>Iva  Acreditable Efect. Pagado</v>
          </cell>
          <cell r="C29">
            <v>26679.3</v>
          </cell>
          <cell r="D29" t="str">
            <v xml:space="preserve"> </v>
          </cell>
          <cell r="E29">
            <v>1448.07</v>
          </cell>
          <cell r="F29">
            <v>0</v>
          </cell>
          <cell r="G29">
            <v>28127.37</v>
          </cell>
          <cell r="H29" t="str">
            <v xml:space="preserve"> </v>
          </cell>
        </row>
        <row r="30">
          <cell r="A30" t="str">
            <v>1107-000</v>
          </cell>
          <cell r="B30" t="str">
            <v>ANTICIPO A PROVEEDORES</v>
          </cell>
          <cell r="C30">
            <v>665640</v>
          </cell>
          <cell r="D30" t="str">
            <v xml:space="preserve"> </v>
          </cell>
          <cell r="E30">
            <v>2035889.77</v>
          </cell>
          <cell r="F30">
            <v>0</v>
          </cell>
          <cell r="G30">
            <v>2701529.77</v>
          </cell>
          <cell r="H30" t="str">
            <v xml:space="preserve"> </v>
          </cell>
        </row>
        <row r="31">
          <cell r="A31" t="str">
            <v>1107-005</v>
          </cell>
          <cell r="B31" t="str">
            <v>Cornelius Thiessen Fehr</v>
          </cell>
          <cell r="C31">
            <v>35000</v>
          </cell>
          <cell r="D31" t="str">
            <v xml:space="preserve"> </v>
          </cell>
          <cell r="E31">
            <v>310000</v>
          </cell>
          <cell r="F31">
            <v>0</v>
          </cell>
          <cell r="G31">
            <v>345000</v>
          </cell>
          <cell r="H31" t="str">
            <v xml:space="preserve"> </v>
          </cell>
        </row>
        <row r="32">
          <cell r="A32" t="str">
            <v>1107-006</v>
          </cell>
          <cell r="B32" t="str">
            <v>Jacob Wiebe Klassen</v>
          </cell>
          <cell r="C32">
            <v>200000</v>
          </cell>
          <cell r="D32" t="str">
            <v xml:space="preserve"> </v>
          </cell>
          <cell r="E32">
            <v>300000</v>
          </cell>
          <cell r="F32">
            <v>0</v>
          </cell>
          <cell r="G32">
            <v>500000</v>
          </cell>
          <cell r="H32" t="str">
            <v xml:space="preserve"> </v>
          </cell>
        </row>
        <row r="33">
          <cell r="A33" t="str">
            <v>1107-034</v>
          </cell>
          <cell r="B33" t="str">
            <v>Anna Wieler Wiebe</v>
          </cell>
          <cell r="C33">
            <v>0</v>
          </cell>
          <cell r="D33" t="str">
            <v xml:space="preserve"> </v>
          </cell>
          <cell r="E33">
            <v>500000</v>
          </cell>
          <cell r="F33">
            <v>0</v>
          </cell>
          <cell r="G33">
            <v>500000</v>
          </cell>
          <cell r="H33" t="str">
            <v xml:space="preserve"> </v>
          </cell>
        </row>
        <row r="34">
          <cell r="A34" t="str">
            <v>1107-038</v>
          </cell>
          <cell r="B34" t="str">
            <v>David Hiebert Wiebe</v>
          </cell>
          <cell r="C34">
            <v>0</v>
          </cell>
          <cell r="D34" t="str">
            <v xml:space="preserve"> </v>
          </cell>
          <cell r="E34">
            <v>79140</v>
          </cell>
          <cell r="F34">
            <v>0</v>
          </cell>
          <cell r="G34">
            <v>79140</v>
          </cell>
          <cell r="H34" t="str">
            <v xml:space="preserve"> </v>
          </cell>
        </row>
        <row r="35">
          <cell r="A35" t="str">
            <v>1107-039</v>
          </cell>
          <cell r="B35" t="str">
            <v>Anna Friessen Peters</v>
          </cell>
          <cell r="C35">
            <v>0</v>
          </cell>
          <cell r="D35" t="str">
            <v xml:space="preserve"> </v>
          </cell>
          <cell r="E35">
            <v>540000</v>
          </cell>
          <cell r="F35">
            <v>0</v>
          </cell>
          <cell r="G35">
            <v>540000</v>
          </cell>
          <cell r="H35" t="str">
            <v xml:space="preserve"> </v>
          </cell>
        </row>
        <row r="36">
          <cell r="A36" t="str">
            <v>1107-045</v>
          </cell>
          <cell r="B36" t="str">
            <v>Productores Unidos Por Un Ideal SPR DE RL</v>
          </cell>
          <cell r="C36">
            <v>0</v>
          </cell>
          <cell r="D36" t="str">
            <v xml:space="preserve"> </v>
          </cell>
          <cell r="E36">
            <v>290000</v>
          </cell>
          <cell r="F36">
            <v>0</v>
          </cell>
          <cell r="G36">
            <v>290000</v>
          </cell>
          <cell r="H36" t="str">
            <v xml:space="preserve"> </v>
          </cell>
        </row>
        <row r="37">
          <cell r="A37" t="str">
            <v>1107-047</v>
          </cell>
          <cell r="B37" t="str">
            <v>Abraham Peters Dyck</v>
          </cell>
          <cell r="C37">
            <v>0</v>
          </cell>
          <cell r="D37" t="str">
            <v xml:space="preserve"> </v>
          </cell>
          <cell r="E37">
            <v>16749.77</v>
          </cell>
          <cell r="F37">
            <v>0</v>
          </cell>
          <cell r="G37">
            <v>16749.77</v>
          </cell>
          <cell r="H37" t="str">
            <v xml:space="preserve"> </v>
          </cell>
        </row>
        <row r="38">
          <cell r="A38" t="str">
            <v>2000-000</v>
          </cell>
          <cell r="B38" t="str">
            <v>PASIVO</v>
          </cell>
          <cell r="C38" t="str">
            <v xml:space="preserve"> </v>
          </cell>
          <cell r="D38">
            <v>1040183.56</v>
          </cell>
          <cell r="E38">
            <v>406605.6</v>
          </cell>
          <cell r="F38">
            <v>304479.64</v>
          </cell>
          <cell r="G38" t="str">
            <v xml:space="preserve"> </v>
          </cell>
          <cell r="H38">
            <v>938057.6</v>
          </cell>
        </row>
        <row r="39">
          <cell r="A39" t="str">
            <v>2100-000</v>
          </cell>
          <cell r="B39" t="str">
            <v>PASIVO A CORTO PLAZO</v>
          </cell>
          <cell r="C39" t="str">
            <v xml:space="preserve"> </v>
          </cell>
          <cell r="D39">
            <v>1040183.56</v>
          </cell>
          <cell r="E39">
            <v>406605.6</v>
          </cell>
          <cell r="F39">
            <v>304479.64</v>
          </cell>
          <cell r="G39" t="str">
            <v xml:space="preserve"> </v>
          </cell>
          <cell r="H39">
            <v>938057.6</v>
          </cell>
        </row>
        <row r="40">
          <cell r="A40" t="str">
            <v>2101-000</v>
          </cell>
          <cell r="B40" t="str">
            <v>PROVEEDORES</v>
          </cell>
          <cell r="C40" t="str">
            <v xml:space="preserve"> </v>
          </cell>
          <cell r="D40">
            <v>964466.6</v>
          </cell>
          <cell r="E40">
            <v>399935.6</v>
          </cell>
          <cell r="F40">
            <v>290208</v>
          </cell>
          <cell r="G40" t="str">
            <v xml:space="preserve"> </v>
          </cell>
          <cell r="H40">
            <v>854739</v>
          </cell>
        </row>
        <row r="41">
          <cell r="A41" t="str">
            <v>2101-052</v>
          </cell>
          <cell r="B41" t="str">
            <v>Juan Reynaldo Griesbrecht Reimer</v>
          </cell>
          <cell r="C41" t="str">
            <v xml:space="preserve"> </v>
          </cell>
          <cell r="D41">
            <v>0</v>
          </cell>
          <cell r="E41">
            <v>0</v>
          </cell>
          <cell r="F41">
            <v>57346</v>
          </cell>
          <cell r="G41" t="str">
            <v xml:space="preserve"> </v>
          </cell>
          <cell r="H41">
            <v>57346</v>
          </cell>
        </row>
        <row r="42">
          <cell r="A42" t="str">
            <v>2101-055</v>
          </cell>
          <cell r="B42" t="str">
            <v>Las Virginias Campos Dieciseis y Diecisiete S.P.R.</v>
          </cell>
          <cell r="C42" t="str">
            <v xml:space="preserve"> </v>
          </cell>
          <cell r="D42">
            <v>123318</v>
          </cell>
          <cell r="E42">
            <v>100000</v>
          </cell>
          <cell r="F42">
            <v>0</v>
          </cell>
          <cell r="G42" t="str">
            <v xml:space="preserve"> </v>
          </cell>
          <cell r="H42">
            <v>23318</v>
          </cell>
        </row>
        <row r="43">
          <cell r="A43" t="str">
            <v>2101-056</v>
          </cell>
          <cell r="B43" t="str">
            <v>Rancho Dublan S.P.R. de R.L.</v>
          </cell>
          <cell r="C43" t="str">
            <v xml:space="preserve"> </v>
          </cell>
          <cell r="D43">
            <v>96170</v>
          </cell>
          <cell r="E43">
            <v>90000</v>
          </cell>
          <cell r="F43">
            <v>0</v>
          </cell>
          <cell r="G43" t="str">
            <v xml:space="preserve"> </v>
          </cell>
          <cell r="H43">
            <v>6170</v>
          </cell>
        </row>
        <row r="44">
          <cell r="A44" t="str">
            <v>2101-057</v>
          </cell>
          <cell r="B44" t="str">
            <v>Rodolfo Melendez Maldonado</v>
          </cell>
          <cell r="C44" t="str">
            <v xml:space="preserve"> </v>
          </cell>
          <cell r="D44">
            <v>0</v>
          </cell>
          <cell r="E44">
            <v>82918</v>
          </cell>
          <cell r="F44">
            <v>82918</v>
          </cell>
          <cell r="G44" t="str">
            <v xml:space="preserve"> </v>
          </cell>
          <cell r="H44">
            <v>0</v>
          </cell>
        </row>
        <row r="45">
          <cell r="A45" t="str">
            <v>2101-060</v>
          </cell>
          <cell r="B45" t="str">
            <v>Rosario Arnulfo Leyva Robles</v>
          </cell>
          <cell r="C45" t="str">
            <v xml:space="preserve"> </v>
          </cell>
          <cell r="D45">
            <v>0</v>
          </cell>
          <cell r="E45">
            <v>0</v>
          </cell>
          <cell r="F45">
            <v>149944</v>
          </cell>
          <cell r="G45" t="str">
            <v xml:space="preserve"> </v>
          </cell>
          <cell r="H45">
            <v>149944</v>
          </cell>
        </row>
        <row r="46">
          <cell r="A46" t="str">
            <v>2101-074</v>
          </cell>
          <cell r="B46" t="str">
            <v>Granos y Semillas Lopez S.A. de C.V.</v>
          </cell>
          <cell r="C46" t="str">
            <v xml:space="preserve"> </v>
          </cell>
          <cell r="D46">
            <v>127017.60000000001</v>
          </cell>
          <cell r="E46">
            <v>127017.60000000001</v>
          </cell>
          <cell r="F46">
            <v>0</v>
          </cell>
          <cell r="G46" t="str">
            <v xml:space="preserve"> </v>
          </cell>
          <cell r="H46">
            <v>0</v>
          </cell>
        </row>
        <row r="47">
          <cell r="A47" t="str">
            <v>2102-000</v>
          </cell>
          <cell r="B47" t="str">
            <v>ACREEDORES DIVERSOS</v>
          </cell>
          <cell r="C47" t="str">
            <v xml:space="preserve"> </v>
          </cell>
          <cell r="D47">
            <v>66086.960000000006</v>
          </cell>
          <cell r="E47">
            <v>6670</v>
          </cell>
          <cell r="F47">
            <v>14266.48</v>
          </cell>
          <cell r="G47" t="str">
            <v xml:space="preserve"> </v>
          </cell>
          <cell r="H47">
            <v>73683.44</v>
          </cell>
        </row>
        <row r="48">
          <cell r="A48" t="str">
            <v>2102-023</v>
          </cell>
          <cell r="B48" t="str">
            <v>Martin Armenta Prieto</v>
          </cell>
          <cell r="C48" t="str">
            <v xml:space="preserve"> </v>
          </cell>
          <cell r="D48">
            <v>11672.5</v>
          </cell>
          <cell r="E48">
            <v>6670</v>
          </cell>
          <cell r="F48">
            <v>0</v>
          </cell>
          <cell r="G48" t="str">
            <v xml:space="preserve"> </v>
          </cell>
          <cell r="H48">
            <v>5002.5</v>
          </cell>
        </row>
        <row r="49">
          <cell r="A49" t="str">
            <v>2102-055</v>
          </cell>
          <cell r="B49" t="str">
            <v>Carlos Rafael Morales Morales</v>
          </cell>
          <cell r="C49" t="str">
            <v xml:space="preserve"> </v>
          </cell>
          <cell r="D49">
            <v>17835.16</v>
          </cell>
          <cell r="E49">
            <v>0</v>
          </cell>
          <cell r="F49">
            <v>4883</v>
          </cell>
          <cell r="G49" t="str">
            <v xml:space="preserve"> </v>
          </cell>
          <cell r="H49">
            <v>22718.16</v>
          </cell>
        </row>
        <row r="50">
          <cell r="A50" t="str">
            <v>2102-175</v>
          </cell>
          <cell r="B50" t="str">
            <v>Laura Guadalupe Castillo Fernandez</v>
          </cell>
          <cell r="C50" t="str">
            <v xml:space="preserve"> </v>
          </cell>
          <cell r="D50">
            <v>0</v>
          </cell>
          <cell r="E50">
            <v>0</v>
          </cell>
          <cell r="F50">
            <v>9383.48</v>
          </cell>
          <cell r="G50" t="str">
            <v xml:space="preserve"> </v>
          </cell>
          <cell r="H50">
            <v>9383.48</v>
          </cell>
        </row>
        <row r="51">
          <cell r="A51" t="str">
            <v>2103-000</v>
          </cell>
          <cell r="B51" t="str">
            <v>IMPUESTOS POR PAGAR</v>
          </cell>
          <cell r="C51" t="str">
            <v xml:space="preserve"> </v>
          </cell>
          <cell r="D51">
            <v>9630</v>
          </cell>
          <cell r="E51">
            <v>0</v>
          </cell>
          <cell r="F51">
            <v>5.16</v>
          </cell>
          <cell r="G51" t="str">
            <v xml:space="preserve"> </v>
          </cell>
          <cell r="H51">
            <v>9635.16</v>
          </cell>
        </row>
        <row r="52">
          <cell r="A52" t="str">
            <v>2103-003</v>
          </cell>
          <cell r="B52" t="str">
            <v>Retencion 4% Fletes</v>
          </cell>
          <cell r="C52" t="str">
            <v xml:space="preserve"> </v>
          </cell>
          <cell r="D52">
            <v>630</v>
          </cell>
          <cell r="E52">
            <v>0</v>
          </cell>
          <cell r="F52">
            <v>5.16</v>
          </cell>
          <cell r="G52" t="str">
            <v xml:space="preserve"> </v>
          </cell>
          <cell r="H52">
            <v>635.16</v>
          </cell>
        </row>
        <row r="53">
          <cell r="A53" t="str">
            <v>4000-000</v>
          </cell>
          <cell r="B53" t="str">
            <v>INGRESOS</v>
          </cell>
          <cell r="C53" t="str">
            <v xml:space="preserve"> </v>
          </cell>
          <cell r="D53">
            <v>3401556.5</v>
          </cell>
          <cell r="E53">
            <v>0</v>
          </cell>
          <cell r="F53">
            <v>2701595.5</v>
          </cell>
          <cell r="G53" t="str">
            <v xml:space="preserve"> </v>
          </cell>
          <cell r="H53">
            <v>6103152</v>
          </cell>
        </row>
        <row r="54">
          <cell r="A54" t="str">
            <v>4100-000</v>
          </cell>
          <cell r="B54" t="str">
            <v>VENTAS</v>
          </cell>
          <cell r="C54" t="str">
            <v xml:space="preserve"> </v>
          </cell>
          <cell r="D54">
            <v>3385556.5</v>
          </cell>
          <cell r="E54">
            <v>0</v>
          </cell>
          <cell r="F54">
            <v>2701595.5</v>
          </cell>
          <cell r="G54" t="str">
            <v xml:space="preserve"> </v>
          </cell>
          <cell r="H54">
            <v>6087152</v>
          </cell>
        </row>
        <row r="55">
          <cell r="A55" t="str">
            <v>4100-001</v>
          </cell>
          <cell r="B55" t="str">
            <v>Venta de Frijol</v>
          </cell>
          <cell r="C55" t="str">
            <v xml:space="preserve"> </v>
          </cell>
          <cell r="D55">
            <v>3126569.5</v>
          </cell>
          <cell r="E55">
            <v>0</v>
          </cell>
          <cell r="F55">
            <v>2233018.5</v>
          </cell>
          <cell r="G55" t="str">
            <v xml:space="preserve"> </v>
          </cell>
          <cell r="H55">
            <v>5359588</v>
          </cell>
        </row>
        <row r="56">
          <cell r="A56" t="str">
            <v>4100-002</v>
          </cell>
          <cell r="B56" t="str">
            <v>Venta de Maiz</v>
          </cell>
          <cell r="C56" t="str">
            <v xml:space="preserve"> </v>
          </cell>
          <cell r="D56">
            <v>258987</v>
          </cell>
          <cell r="E56">
            <v>0</v>
          </cell>
          <cell r="F56">
            <v>468577</v>
          </cell>
          <cell r="G56" t="str">
            <v xml:space="preserve"> </v>
          </cell>
          <cell r="H56">
            <v>727564</v>
          </cell>
        </row>
        <row r="57">
          <cell r="A57" t="str">
            <v>5000-000</v>
          </cell>
          <cell r="B57" t="str">
            <v>EGRESOS</v>
          </cell>
          <cell r="C57">
            <v>3487404.05</v>
          </cell>
          <cell r="D57" t="str">
            <v xml:space="preserve"> </v>
          </cell>
          <cell r="E57">
            <v>413276.19</v>
          </cell>
          <cell r="F57">
            <v>0</v>
          </cell>
          <cell r="G57">
            <v>3900680.24</v>
          </cell>
          <cell r="H57" t="str">
            <v xml:space="preserve"> </v>
          </cell>
        </row>
        <row r="58">
          <cell r="A58" t="str">
            <v>5100-000</v>
          </cell>
          <cell r="B58" t="str">
            <v>COMPRAS</v>
          </cell>
          <cell r="C58">
            <v>3366804.6</v>
          </cell>
          <cell r="D58" t="str">
            <v xml:space="preserve"> </v>
          </cell>
          <cell r="E58">
            <v>392856</v>
          </cell>
          <cell r="F58">
            <v>0</v>
          </cell>
          <cell r="G58">
            <v>3759660.6</v>
          </cell>
          <cell r="H58" t="str">
            <v xml:space="preserve"> </v>
          </cell>
        </row>
        <row r="59">
          <cell r="A59" t="str">
            <v>5100-001</v>
          </cell>
          <cell r="B59" t="str">
            <v>Compra de Maiz</v>
          </cell>
          <cell r="C59">
            <v>535075.6</v>
          </cell>
          <cell r="D59" t="str">
            <v xml:space="preserve"> </v>
          </cell>
          <cell r="E59">
            <v>309938</v>
          </cell>
          <cell r="F59">
            <v>0</v>
          </cell>
          <cell r="G59">
            <v>845013.6</v>
          </cell>
          <cell r="H59" t="str">
            <v xml:space="preserve"> </v>
          </cell>
        </row>
        <row r="60">
          <cell r="A60" t="str">
            <v>5100-002</v>
          </cell>
          <cell r="B60" t="str">
            <v>Compra de Frijol</v>
          </cell>
          <cell r="C60">
            <v>2804729</v>
          </cell>
          <cell r="D60" t="str">
            <v xml:space="preserve"> </v>
          </cell>
          <cell r="E60">
            <v>82918</v>
          </cell>
          <cell r="F60">
            <v>0</v>
          </cell>
          <cell r="G60">
            <v>2887647</v>
          </cell>
          <cell r="H60" t="str">
            <v xml:space="preserve"> </v>
          </cell>
        </row>
        <row r="61">
          <cell r="A61" t="str">
            <v>5200-000</v>
          </cell>
          <cell r="B61" t="str">
            <v>GASTOS GENERALES</v>
          </cell>
          <cell r="C61">
            <v>113901.07</v>
          </cell>
          <cell r="D61" t="str">
            <v xml:space="preserve"> </v>
          </cell>
          <cell r="E61">
            <v>17491.689999999999</v>
          </cell>
          <cell r="F61">
            <v>0</v>
          </cell>
          <cell r="G61">
            <v>131392.76</v>
          </cell>
          <cell r="H61" t="str">
            <v xml:space="preserve"> </v>
          </cell>
        </row>
        <row r="62">
          <cell r="A62" t="str">
            <v>5200-200</v>
          </cell>
          <cell r="B62" t="str">
            <v>SERVICIOS</v>
          </cell>
          <cell r="C62">
            <v>16349.06</v>
          </cell>
          <cell r="D62" t="str">
            <v xml:space="preserve"> </v>
          </cell>
          <cell r="E62">
            <v>8297.5499999999993</v>
          </cell>
          <cell r="F62">
            <v>0</v>
          </cell>
          <cell r="G62">
            <v>24646.61</v>
          </cell>
          <cell r="H62" t="str">
            <v xml:space="preserve"> </v>
          </cell>
        </row>
        <row r="63">
          <cell r="A63" t="str">
            <v>5200-211</v>
          </cell>
          <cell r="B63" t="str">
            <v>Otros Impuestos y Derechos Estatales</v>
          </cell>
          <cell r="C63">
            <v>46.06</v>
          </cell>
          <cell r="D63" t="str">
            <v xml:space="preserve"> </v>
          </cell>
          <cell r="E63">
            <v>9</v>
          </cell>
          <cell r="F63">
            <v>0</v>
          </cell>
          <cell r="G63">
            <v>55.06</v>
          </cell>
          <cell r="H63" t="str">
            <v xml:space="preserve"> </v>
          </cell>
        </row>
        <row r="64">
          <cell r="A64" t="str">
            <v>5200-212</v>
          </cell>
          <cell r="B64" t="str">
            <v>Fletes y Acarreos</v>
          </cell>
          <cell r="C64">
            <v>15750</v>
          </cell>
          <cell r="D64" t="str">
            <v xml:space="preserve"> </v>
          </cell>
          <cell r="E64">
            <v>8288.5499999999993</v>
          </cell>
          <cell r="F64">
            <v>0</v>
          </cell>
          <cell r="G64">
            <v>24038.55</v>
          </cell>
          <cell r="H64" t="str">
            <v xml:space="preserve"> </v>
          </cell>
        </row>
        <row r="65">
          <cell r="A65" t="str">
            <v>5200-300</v>
          </cell>
          <cell r="B65" t="str">
            <v>MANTENIMIENTOS</v>
          </cell>
          <cell r="C65">
            <v>44275.64</v>
          </cell>
          <cell r="D65" t="str">
            <v xml:space="preserve"> </v>
          </cell>
          <cell r="E65">
            <v>5865.62</v>
          </cell>
          <cell r="F65">
            <v>0</v>
          </cell>
          <cell r="G65">
            <v>50141.26</v>
          </cell>
          <cell r="H65" t="str">
            <v xml:space="preserve"> </v>
          </cell>
        </row>
        <row r="66">
          <cell r="A66" t="str">
            <v>5200-301</v>
          </cell>
          <cell r="B66" t="str">
            <v>Mtto. de equipo de transporte</v>
          </cell>
          <cell r="C66">
            <v>44275.64</v>
          </cell>
          <cell r="D66" t="str">
            <v xml:space="preserve"> </v>
          </cell>
          <cell r="E66">
            <v>5865.62</v>
          </cell>
          <cell r="F66">
            <v>0</v>
          </cell>
          <cell r="G66">
            <v>50141.26</v>
          </cell>
          <cell r="H66" t="str">
            <v xml:space="preserve"> </v>
          </cell>
        </row>
        <row r="67">
          <cell r="A67" t="str">
            <v>5200-400</v>
          </cell>
          <cell r="B67" t="str">
            <v>GASTOS DE VIAJE</v>
          </cell>
          <cell r="C67">
            <v>40996.339999999997</v>
          </cell>
          <cell r="D67" t="str">
            <v xml:space="preserve"> </v>
          </cell>
          <cell r="E67">
            <v>3328.52</v>
          </cell>
          <cell r="F67">
            <v>0</v>
          </cell>
          <cell r="G67">
            <v>44324.86</v>
          </cell>
          <cell r="H67" t="str">
            <v xml:space="preserve"> </v>
          </cell>
        </row>
        <row r="68">
          <cell r="A68" t="str">
            <v>5200-402</v>
          </cell>
          <cell r="B68" t="str">
            <v>Cuotas de Peaje</v>
          </cell>
          <cell r="C68">
            <v>7014.37</v>
          </cell>
          <cell r="D68" t="str">
            <v xml:space="preserve"> </v>
          </cell>
          <cell r="E68">
            <v>1525</v>
          </cell>
          <cell r="F68">
            <v>0</v>
          </cell>
          <cell r="G68">
            <v>8539.3700000000008</v>
          </cell>
          <cell r="H68" t="str">
            <v xml:space="preserve"> </v>
          </cell>
        </row>
        <row r="69">
          <cell r="A69" t="str">
            <v>5200-403</v>
          </cell>
          <cell r="B69" t="str">
            <v>Combustibles y Lubricantes</v>
          </cell>
          <cell r="C69">
            <v>31490.53</v>
          </cell>
          <cell r="D69" t="str">
            <v xml:space="preserve"> </v>
          </cell>
          <cell r="E69">
            <v>1353.52</v>
          </cell>
          <cell r="F69">
            <v>0</v>
          </cell>
          <cell r="G69">
            <v>32844.050000000003</v>
          </cell>
          <cell r="H69" t="str">
            <v xml:space="preserve"> </v>
          </cell>
        </row>
        <row r="70">
          <cell r="A70" t="str">
            <v>5200-404</v>
          </cell>
          <cell r="B70" t="str">
            <v>Hospedaje</v>
          </cell>
          <cell r="C70">
            <v>1979.27</v>
          </cell>
          <cell r="D70" t="str">
            <v xml:space="preserve"> </v>
          </cell>
          <cell r="E70">
            <v>300</v>
          </cell>
          <cell r="F70">
            <v>0</v>
          </cell>
          <cell r="G70">
            <v>2279.27</v>
          </cell>
          <cell r="H70" t="str">
            <v xml:space="preserve"> </v>
          </cell>
        </row>
        <row r="71">
          <cell r="A71" t="str">
            <v>5200-405</v>
          </cell>
          <cell r="B71" t="str">
            <v>Consumo</v>
          </cell>
          <cell r="C71">
            <v>512.16999999999996</v>
          </cell>
          <cell r="D71" t="str">
            <v xml:space="preserve"> </v>
          </cell>
          <cell r="E71">
            <v>150</v>
          </cell>
          <cell r="F71">
            <v>0</v>
          </cell>
          <cell r="G71">
            <v>662.17</v>
          </cell>
          <cell r="H71" t="str">
            <v xml:space="preserve"> </v>
          </cell>
        </row>
        <row r="72">
          <cell r="A72" t="str">
            <v>5300-000</v>
          </cell>
          <cell r="B72" t="str">
            <v>GASTOS FINANCIEROS</v>
          </cell>
          <cell r="C72">
            <v>2952</v>
          </cell>
          <cell r="D72" t="str">
            <v xml:space="preserve"> </v>
          </cell>
          <cell r="E72">
            <v>502</v>
          </cell>
          <cell r="F72">
            <v>0</v>
          </cell>
          <cell r="G72">
            <v>3454</v>
          </cell>
          <cell r="H72" t="str">
            <v xml:space="preserve"> </v>
          </cell>
        </row>
        <row r="73">
          <cell r="A73" t="str">
            <v>5300-001</v>
          </cell>
          <cell r="B73" t="str">
            <v>Comisiones Bancarias</v>
          </cell>
          <cell r="C73">
            <v>2952</v>
          </cell>
          <cell r="D73" t="str">
            <v xml:space="preserve"> </v>
          </cell>
          <cell r="E73">
            <v>502</v>
          </cell>
          <cell r="F73">
            <v>0</v>
          </cell>
          <cell r="G73">
            <v>3454</v>
          </cell>
          <cell r="H73" t="str">
            <v xml:space="preserve"> </v>
          </cell>
        </row>
        <row r="74">
          <cell r="A74" t="str">
            <v>5500-000</v>
          </cell>
          <cell r="B74" t="str">
            <v>GASTOS NO DEDUCIBLES</v>
          </cell>
          <cell r="C74">
            <v>3746.38</v>
          </cell>
          <cell r="D74" t="str">
            <v xml:space="preserve"> </v>
          </cell>
          <cell r="E74">
            <v>2426.5</v>
          </cell>
          <cell r="F74">
            <v>0</v>
          </cell>
          <cell r="G74">
            <v>6172.88</v>
          </cell>
          <cell r="H74" t="str">
            <v xml:space="preserve"> </v>
          </cell>
        </row>
        <row r="75">
          <cell r="A75" t="str">
            <v>5500-002</v>
          </cell>
          <cell r="B75" t="str">
            <v>No Reunen Requisitos Fiscales</v>
          </cell>
          <cell r="C75">
            <v>0</v>
          </cell>
          <cell r="D75" t="str">
            <v xml:space="preserve"> </v>
          </cell>
          <cell r="E75">
            <v>2426.5</v>
          </cell>
          <cell r="F75">
            <v>0</v>
          </cell>
          <cell r="G75">
            <v>2426.5</v>
          </cell>
          <cell r="H75" t="str">
            <v xml:space="preserve"> </v>
          </cell>
        </row>
        <row r="76">
          <cell r="A76" t="str">
            <v xml:space="preserve"> </v>
          </cell>
        </row>
        <row r="77">
          <cell r="B77" t="str">
            <v>Total cuentas no impresas</v>
          </cell>
          <cell r="C77">
            <v>483777.41</v>
          </cell>
          <cell r="E77">
            <v>0</v>
          </cell>
          <cell r="F77">
            <v>0</v>
          </cell>
          <cell r="G77">
            <v>483777.41</v>
          </cell>
        </row>
        <row r="78">
          <cell r="B78" t="str">
            <v xml:space="preserve"> </v>
          </cell>
          <cell r="D78">
            <v>955025.05</v>
          </cell>
          <cell r="H78">
            <v>955025.05</v>
          </cell>
        </row>
      </sheetData>
      <sheetData sheetId="10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534364.47</v>
          </cell>
          <cell r="D8" t="str">
            <v xml:space="preserve"> </v>
          </cell>
          <cell r="E8">
            <v>2324877.2200000002</v>
          </cell>
          <cell r="F8">
            <v>2183524.9300000002</v>
          </cell>
          <cell r="G8">
            <v>675716.76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534364.47</v>
          </cell>
          <cell r="D9" t="str">
            <v xml:space="preserve"> </v>
          </cell>
          <cell r="E9">
            <v>2324877.2200000002</v>
          </cell>
          <cell r="F9">
            <v>2183524.9300000002</v>
          </cell>
          <cell r="G9">
            <v>675716.76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35585.17</v>
          </cell>
          <cell r="D10" t="str">
            <v xml:space="preserve"> </v>
          </cell>
          <cell r="E10">
            <v>987892</v>
          </cell>
          <cell r="F10">
            <v>1003663.77</v>
          </cell>
          <cell r="G10">
            <v>19813.400000000001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35585.17</v>
          </cell>
          <cell r="D11" t="str">
            <v xml:space="preserve"> </v>
          </cell>
          <cell r="E11">
            <v>987892</v>
          </cell>
          <cell r="F11">
            <v>1003663.77</v>
          </cell>
          <cell r="G11">
            <v>19813.400000000001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98193</v>
          </cell>
          <cell r="D12" t="str">
            <v xml:space="preserve"> </v>
          </cell>
          <cell r="E12">
            <v>513153</v>
          </cell>
          <cell r="F12">
            <v>599392</v>
          </cell>
          <cell r="G12">
            <v>11954</v>
          </cell>
          <cell r="H12" t="str">
            <v xml:space="preserve"> </v>
          </cell>
        </row>
        <row r="13">
          <cell r="A13" t="str">
            <v>1103-008</v>
          </cell>
          <cell r="B13" t="str">
            <v>Alonso Pacheco Garcia</v>
          </cell>
          <cell r="C13">
            <v>91125</v>
          </cell>
          <cell r="D13" t="str">
            <v xml:space="preserve"> </v>
          </cell>
          <cell r="E13">
            <v>0</v>
          </cell>
          <cell r="F13">
            <v>91125</v>
          </cell>
          <cell r="G13">
            <v>0</v>
          </cell>
          <cell r="H13" t="str">
            <v xml:space="preserve"> </v>
          </cell>
        </row>
        <row r="14">
          <cell r="A14" t="str">
            <v>1103-011</v>
          </cell>
          <cell r="B14" t="str">
            <v>Gonzalo Gallegos Montes</v>
          </cell>
          <cell r="C14">
            <v>393</v>
          </cell>
          <cell r="D14" t="str">
            <v xml:space="preserve"> </v>
          </cell>
          <cell r="E14">
            <v>408267</v>
          </cell>
          <cell r="F14">
            <v>408267</v>
          </cell>
          <cell r="G14">
            <v>393</v>
          </cell>
          <cell r="H14" t="str">
            <v xml:space="preserve"> </v>
          </cell>
        </row>
        <row r="15">
          <cell r="A15" t="str">
            <v>1103-017</v>
          </cell>
          <cell r="B15" t="str">
            <v>Adrian Alberto Gaxiola Rosas</v>
          </cell>
          <cell r="C15">
            <v>0</v>
          </cell>
          <cell r="D15" t="str">
            <v xml:space="preserve"> </v>
          </cell>
          <cell r="E15">
            <v>104886</v>
          </cell>
          <cell r="F15">
            <v>100000</v>
          </cell>
          <cell r="G15">
            <v>4886</v>
          </cell>
          <cell r="H15" t="str">
            <v xml:space="preserve"> </v>
          </cell>
        </row>
        <row r="16">
          <cell r="A16" t="str">
            <v>1104-000</v>
          </cell>
          <cell r="B16" t="str">
            <v>DEUDORES DIVERSOS</v>
          </cell>
          <cell r="C16">
            <v>-4607.46</v>
          </cell>
          <cell r="D16" t="str">
            <v xml:space="preserve"> </v>
          </cell>
          <cell r="E16">
            <v>85196.79</v>
          </cell>
          <cell r="F16">
            <v>14484.16</v>
          </cell>
          <cell r="G16">
            <v>66105.17</v>
          </cell>
          <cell r="H16" t="str">
            <v xml:space="preserve"> </v>
          </cell>
        </row>
        <row r="17">
          <cell r="A17" t="str">
            <v>1104-001</v>
          </cell>
          <cell r="B17" t="str">
            <v>Veronica Prieto Medrano</v>
          </cell>
          <cell r="C17">
            <v>-4607.46</v>
          </cell>
          <cell r="D17" t="str">
            <v xml:space="preserve"> </v>
          </cell>
          <cell r="E17">
            <v>85196.79</v>
          </cell>
          <cell r="F17">
            <v>14484.16</v>
          </cell>
          <cell r="G17">
            <v>66105.17</v>
          </cell>
          <cell r="H17" t="str">
            <v xml:space="preserve"> </v>
          </cell>
        </row>
        <row r="18">
          <cell r="A18" t="str">
            <v>1105-000</v>
          </cell>
          <cell r="B18" t="str">
            <v>IVA ACREDITABLE</v>
          </cell>
          <cell r="C18">
            <v>24521.759999999998</v>
          </cell>
          <cell r="D18" t="str">
            <v xml:space="preserve"> </v>
          </cell>
          <cell r="E18">
            <v>3510.43</v>
          </cell>
          <cell r="F18">
            <v>0</v>
          </cell>
          <cell r="G18">
            <v>28032.19</v>
          </cell>
          <cell r="H18" t="str">
            <v xml:space="preserve"> </v>
          </cell>
        </row>
        <row r="19">
          <cell r="A19" t="str">
            <v>1105-001</v>
          </cell>
          <cell r="B19" t="str">
            <v>Iva Acreditable Pend. de Pago</v>
          </cell>
          <cell r="C19">
            <v>4614.42</v>
          </cell>
          <cell r="D19" t="str">
            <v xml:space="preserve"> </v>
          </cell>
          <cell r="E19">
            <v>1565.98</v>
          </cell>
          <cell r="F19">
            <v>0</v>
          </cell>
          <cell r="G19">
            <v>6180.4</v>
          </cell>
          <cell r="H19" t="str">
            <v xml:space="preserve"> </v>
          </cell>
        </row>
        <row r="20">
          <cell r="A20" t="str">
            <v>1105-002</v>
          </cell>
          <cell r="B20" t="str">
            <v>Iva  Acreditable Efect. Pagado</v>
          </cell>
          <cell r="C20">
            <v>19907.34</v>
          </cell>
          <cell r="D20" t="str">
            <v xml:space="preserve"> </v>
          </cell>
          <cell r="E20">
            <v>1944.45</v>
          </cell>
          <cell r="F20">
            <v>0</v>
          </cell>
          <cell r="G20">
            <v>21851.79</v>
          </cell>
          <cell r="H20" t="str">
            <v xml:space="preserve"> </v>
          </cell>
        </row>
        <row r="21">
          <cell r="A21" t="str">
            <v>1107-000</v>
          </cell>
          <cell r="B21" t="str">
            <v>ANTICIPO A PROVEEDORES</v>
          </cell>
          <cell r="C21">
            <v>380500</v>
          </cell>
          <cell r="D21" t="str">
            <v xml:space="preserve"> </v>
          </cell>
          <cell r="E21">
            <v>735125</v>
          </cell>
          <cell r="F21">
            <v>565985</v>
          </cell>
          <cell r="G21">
            <v>549640</v>
          </cell>
          <cell r="H21" t="str">
            <v xml:space="preserve"> </v>
          </cell>
        </row>
        <row r="22">
          <cell r="A22" t="str">
            <v>1107-012</v>
          </cell>
          <cell r="B22" t="str">
            <v>VECS681230911</v>
          </cell>
          <cell r="C22">
            <v>0</v>
          </cell>
          <cell r="D22" t="str">
            <v xml:space="preserve"> </v>
          </cell>
          <cell r="E22">
            <v>100000</v>
          </cell>
          <cell r="F22">
            <v>0</v>
          </cell>
          <cell r="G22">
            <v>100000</v>
          </cell>
          <cell r="H22" t="str">
            <v xml:space="preserve"> </v>
          </cell>
        </row>
        <row r="23">
          <cell r="A23" t="str">
            <v>1107-028</v>
          </cell>
          <cell r="B23" t="str">
            <v>Victor Manuel Fernandez Ortiz</v>
          </cell>
          <cell r="C23">
            <v>280500</v>
          </cell>
          <cell r="D23" t="str">
            <v xml:space="preserve"> </v>
          </cell>
          <cell r="E23">
            <v>15000</v>
          </cell>
          <cell r="F23">
            <v>295500</v>
          </cell>
          <cell r="G23">
            <v>0</v>
          </cell>
          <cell r="H23" t="str">
            <v xml:space="preserve"> </v>
          </cell>
        </row>
        <row r="24">
          <cell r="A24" t="str">
            <v>1107-029</v>
          </cell>
          <cell r="B24" t="str">
            <v>Gonzalo Gallegos Montes</v>
          </cell>
          <cell r="C24">
            <v>70000</v>
          </cell>
          <cell r="D24" t="str">
            <v xml:space="preserve"> </v>
          </cell>
          <cell r="E24">
            <v>0</v>
          </cell>
          <cell r="F24">
            <v>70000</v>
          </cell>
          <cell r="G24">
            <v>0</v>
          </cell>
          <cell r="H24" t="str">
            <v xml:space="preserve"> </v>
          </cell>
        </row>
        <row r="25">
          <cell r="A25" t="str">
            <v>1107-031</v>
          </cell>
          <cell r="B25" t="str">
            <v>Jacobo Wiebe Martens</v>
          </cell>
          <cell r="C25">
            <v>0</v>
          </cell>
          <cell r="D25" t="str">
            <v xml:space="preserve"> </v>
          </cell>
          <cell r="E25">
            <v>80485</v>
          </cell>
          <cell r="F25">
            <v>80485</v>
          </cell>
          <cell r="G25">
            <v>0</v>
          </cell>
          <cell r="H25" t="str">
            <v xml:space="preserve"> </v>
          </cell>
        </row>
        <row r="26">
          <cell r="A26" t="str">
            <v>1107-046</v>
          </cell>
          <cell r="B26" t="str">
            <v>Heinrich Wiebe Fehr</v>
          </cell>
          <cell r="C26">
            <v>0</v>
          </cell>
          <cell r="D26" t="str">
            <v xml:space="preserve"> </v>
          </cell>
          <cell r="E26">
            <v>419640</v>
          </cell>
          <cell r="F26">
            <v>0</v>
          </cell>
          <cell r="G26">
            <v>419640</v>
          </cell>
          <cell r="H26" t="str">
            <v xml:space="preserve"> </v>
          </cell>
        </row>
        <row r="27">
          <cell r="A27" t="str">
            <v>1107-050</v>
          </cell>
          <cell r="B27" t="str">
            <v>Cornelius Unger Hieberth</v>
          </cell>
          <cell r="C27">
            <v>0</v>
          </cell>
          <cell r="D27" t="str">
            <v xml:space="preserve"> </v>
          </cell>
          <cell r="E27">
            <v>120000</v>
          </cell>
          <cell r="F27">
            <v>120000</v>
          </cell>
          <cell r="G27">
            <v>0</v>
          </cell>
          <cell r="H27" t="str">
            <v xml:space="preserve"> </v>
          </cell>
        </row>
        <row r="28">
          <cell r="A28" t="str">
            <v>2000-000</v>
          </cell>
          <cell r="B28" t="str">
            <v>PASIVO</v>
          </cell>
          <cell r="C28" t="str">
            <v xml:space="preserve"> </v>
          </cell>
          <cell r="D28">
            <v>250189.98</v>
          </cell>
          <cell r="E28">
            <v>327000</v>
          </cell>
          <cell r="F28">
            <v>1414818.94</v>
          </cell>
          <cell r="G28" t="str">
            <v xml:space="preserve"> </v>
          </cell>
          <cell r="H28">
            <v>1338008.92</v>
          </cell>
        </row>
        <row r="29">
          <cell r="A29" t="str">
            <v>2100-000</v>
          </cell>
          <cell r="B29" t="str">
            <v>PASIVO A CORTO PLAZO</v>
          </cell>
          <cell r="C29" t="str">
            <v xml:space="preserve"> </v>
          </cell>
          <cell r="D29">
            <v>250189.98</v>
          </cell>
          <cell r="E29">
            <v>327000</v>
          </cell>
          <cell r="F29">
            <v>1414818.94</v>
          </cell>
          <cell r="G29" t="str">
            <v xml:space="preserve"> </v>
          </cell>
          <cell r="H29">
            <v>1338008.92</v>
          </cell>
        </row>
        <row r="30">
          <cell r="A30" t="str">
            <v>2101-000</v>
          </cell>
          <cell r="B30" t="str">
            <v>PROVEEDORES</v>
          </cell>
          <cell r="C30" t="str">
            <v xml:space="preserve"> </v>
          </cell>
          <cell r="D30">
            <v>204480</v>
          </cell>
          <cell r="E30">
            <v>177000</v>
          </cell>
          <cell r="F30">
            <v>1014313</v>
          </cell>
          <cell r="G30" t="str">
            <v xml:space="preserve"> </v>
          </cell>
          <cell r="H30">
            <v>1041793</v>
          </cell>
        </row>
        <row r="31">
          <cell r="A31" t="str">
            <v>2101-003</v>
          </cell>
          <cell r="B31" t="str">
            <v>Ynosencio Lopez Herrera</v>
          </cell>
          <cell r="C31" t="str">
            <v xml:space="preserve"> </v>
          </cell>
          <cell r="D31">
            <v>0</v>
          </cell>
          <cell r="E31">
            <v>27000</v>
          </cell>
          <cell r="F31">
            <v>27000</v>
          </cell>
          <cell r="G31" t="str">
            <v xml:space="preserve"> </v>
          </cell>
          <cell r="H31">
            <v>0</v>
          </cell>
        </row>
        <row r="32">
          <cell r="A32" t="str">
            <v>2101-038</v>
          </cell>
          <cell r="B32" t="str">
            <v>Jacobo Wiebe Martens</v>
          </cell>
          <cell r="C32" t="str">
            <v xml:space="preserve"> </v>
          </cell>
          <cell r="D32">
            <v>0</v>
          </cell>
          <cell r="E32">
            <v>0</v>
          </cell>
          <cell r="F32">
            <v>20000</v>
          </cell>
          <cell r="G32" t="str">
            <v xml:space="preserve"> </v>
          </cell>
          <cell r="H32">
            <v>20000</v>
          </cell>
        </row>
        <row r="33">
          <cell r="A33" t="str">
            <v>2101-053</v>
          </cell>
          <cell r="B33" t="str">
            <v>Victor Manuel Fernandez Ortiz</v>
          </cell>
          <cell r="C33" t="str">
            <v xml:space="preserve"> </v>
          </cell>
          <cell r="D33">
            <v>0</v>
          </cell>
          <cell r="E33">
            <v>0</v>
          </cell>
          <cell r="F33">
            <v>109500</v>
          </cell>
          <cell r="G33" t="str">
            <v xml:space="preserve"> </v>
          </cell>
          <cell r="H33">
            <v>109500</v>
          </cell>
        </row>
        <row r="34">
          <cell r="A34" t="str">
            <v>2101-055</v>
          </cell>
          <cell r="B34" t="str">
            <v>Las Virginias Campos Dieciseis y Diecisiete S.P.R.</v>
          </cell>
          <cell r="C34" t="str">
            <v xml:space="preserve"> </v>
          </cell>
          <cell r="D34">
            <v>0</v>
          </cell>
          <cell r="E34">
            <v>0</v>
          </cell>
          <cell r="F34">
            <v>123318</v>
          </cell>
          <cell r="G34" t="str">
            <v xml:space="preserve"> </v>
          </cell>
          <cell r="H34">
            <v>123318</v>
          </cell>
        </row>
        <row r="35">
          <cell r="A35" t="str">
            <v>2101-059</v>
          </cell>
          <cell r="B35" t="str">
            <v>Gonzalo Gallegos Montes</v>
          </cell>
          <cell r="C35" t="str">
            <v xml:space="preserve"> </v>
          </cell>
          <cell r="D35">
            <v>0</v>
          </cell>
          <cell r="E35">
            <v>0</v>
          </cell>
          <cell r="F35">
            <v>15590</v>
          </cell>
          <cell r="G35" t="str">
            <v xml:space="preserve"> </v>
          </cell>
          <cell r="H35">
            <v>15590</v>
          </cell>
        </row>
        <row r="36">
          <cell r="A36" t="str">
            <v>2101-063</v>
          </cell>
          <cell r="B36" t="str">
            <v>Ejido La Cañada</v>
          </cell>
          <cell r="C36" t="str">
            <v xml:space="preserve"> </v>
          </cell>
          <cell r="D36">
            <v>0</v>
          </cell>
          <cell r="E36">
            <v>150000</v>
          </cell>
          <cell r="F36">
            <v>538980</v>
          </cell>
          <cell r="G36" t="str">
            <v xml:space="preserve"> </v>
          </cell>
          <cell r="H36">
            <v>388980</v>
          </cell>
        </row>
        <row r="37">
          <cell r="A37" t="str">
            <v>2101-067</v>
          </cell>
          <cell r="B37" t="str">
            <v>Adrian Alberto Gaxiola Rosas</v>
          </cell>
          <cell r="C37" t="str">
            <v xml:space="preserve"> </v>
          </cell>
          <cell r="D37">
            <v>0</v>
          </cell>
          <cell r="E37">
            <v>0</v>
          </cell>
          <cell r="F37">
            <v>128000</v>
          </cell>
          <cell r="G37" t="str">
            <v xml:space="preserve"> </v>
          </cell>
          <cell r="H37">
            <v>128000</v>
          </cell>
        </row>
        <row r="38">
          <cell r="A38" t="str">
            <v>2101-068</v>
          </cell>
          <cell r="B38" t="str">
            <v>Cornelius Unger Hieberth</v>
          </cell>
          <cell r="C38" t="str">
            <v xml:space="preserve"> </v>
          </cell>
          <cell r="D38">
            <v>0</v>
          </cell>
          <cell r="E38">
            <v>0</v>
          </cell>
          <cell r="F38">
            <v>51925</v>
          </cell>
          <cell r="G38" t="str">
            <v xml:space="preserve"> </v>
          </cell>
          <cell r="H38">
            <v>51925</v>
          </cell>
        </row>
        <row r="39">
          <cell r="A39" t="str">
            <v>2102-000</v>
          </cell>
          <cell r="B39" t="str">
            <v>ACREEDORES DIVERSOS</v>
          </cell>
          <cell r="C39" t="str">
            <v xml:space="preserve"> </v>
          </cell>
          <cell r="D39">
            <v>36079.980000000003</v>
          </cell>
          <cell r="E39">
            <v>0</v>
          </cell>
          <cell r="F39">
            <v>12005.94</v>
          </cell>
          <cell r="G39" t="str">
            <v xml:space="preserve"> </v>
          </cell>
          <cell r="H39">
            <v>48085.919999999998</v>
          </cell>
        </row>
        <row r="40">
          <cell r="A40" t="str">
            <v>2102-013</v>
          </cell>
          <cell r="B40" t="str">
            <v>Grupo Cany S.A. de C.V.</v>
          </cell>
          <cell r="C40" t="str">
            <v xml:space="preserve"> </v>
          </cell>
          <cell r="D40">
            <v>10161.4</v>
          </cell>
          <cell r="E40">
            <v>0</v>
          </cell>
          <cell r="F40">
            <v>3335</v>
          </cell>
          <cell r="G40" t="str">
            <v xml:space="preserve"> </v>
          </cell>
          <cell r="H40">
            <v>13496.4</v>
          </cell>
        </row>
        <row r="41">
          <cell r="A41" t="str">
            <v>2102-055</v>
          </cell>
          <cell r="B41" t="str">
            <v>Carlos Rafael Morales Morales</v>
          </cell>
          <cell r="C41" t="str">
            <v xml:space="preserve"> </v>
          </cell>
          <cell r="D41">
            <v>2415.9299999999998</v>
          </cell>
          <cell r="E41">
            <v>0</v>
          </cell>
          <cell r="F41">
            <v>8670.94</v>
          </cell>
          <cell r="G41" t="str">
            <v xml:space="preserve"> </v>
          </cell>
          <cell r="H41">
            <v>11086.87</v>
          </cell>
        </row>
        <row r="42">
          <cell r="A42" t="str">
            <v>2105-000</v>
          </cell>
          <cell r="B42" t="str">
            <v>ANTICIPO DE CLIENTES</v>
          </cell>
          <cell r="C42" t="str">
            <v xml:space="preserve"> </v>
          </cell>
          <cell r="D42">
            <v>0</v>
          </cell>
          <cell r="E42">
            <v>150000</v>
          </cell>
          <cell r="F42">
            <v>388500</v>
          </cell>
          <cell r="G42" t="str">
            <v xml:space="preserve"> </v>
          </cell>
          <cell r="H42">
            <v>238500</v>
          </cell>
        </row>
        <row r="43">
          <cell r="A43" t="str">
            <v>2105-001</v>
          </cell>
          <cell r="B43" t="str">
            <v>Gonzalo Gallegos Montes</v>
          </cell>
          <cell r="C43" t="str">
            <v xml:space="preserve"> </v>
          </cell>
          <cell r="D43">
            <v>0</v>
          </cell>
          <cell r="E43">
            <v>50000</v>
          </cell>
          <cell r="F43">
            <v>113000</v>
          </cell>
          <cell r="G43" t="str">
            <v xml:space="preserve"> </v>
          </cell>
          <cell r="H43">
            <v>63000</v>
          </cell>
        </row>
        <row r="44">
          <cell r="A44" t="str">
            <v>2105-002</v>
          </cell>
          <cell r="B44" t="str">
            <v>Consorcio Abarrotero Mexicano SA DE CV</v>
          </cell>
          <cell r="C44" t="str">
            <v xml:space="preserve"> </v>
          </cell>
          <cell r="D44">
            <v>0</v>
          </cell>
          <cell r="E44">
            <v>0</v>
          </cell>
          <cell r="F44">
            <v>175500</v>
          </cell>
          <cell r="G44" t="str">
            <v xml:space="preserve"> </v>
          </cell>
          <cell r="H44">
            <v>175500</v>
          </cell>
        </row>
        <row r="45">
          <cell r="A45" t="str">
            <v>2105-007</v>
          </cell>
          <cell r="B45" t="str">
            <v>Adrian Alberto Gaxilola Rosas</v>
          </cell>
          <cell r="C45" t="str">
            <v xml:space="preserve"> </v>
          </cell>
          <cell r="D45">
            <v>0</v>
          </cell>
          <cell r="E45">
            <v>100000</v>
          </cell>
          <cell r="F45">
            <v>100000</v>
          </cell>
          <cell r="G45" t="str">
            <v xml:space="preserve"> </v>
          </cell>
          <cell r="H45">
            <v>0</v>
          </cell>
        </row>
        <row r="46">
          <cell r="A46" t="str">
            <v>4000-000</v>
          </cell>
          <cell r="B46" t="str">
            <v>INGRESOS</v>
          </cell>
          <cell r="C46" t="str">
            <v xml:space="preserve"> </v>
          </cell>
          <cell r="D46">
            <v>391079.3</v>
          </cell>
          <cell r="E46">
            <v>0</v>
          </cell>
          <cell r="F46">
            <v>663153</v>
          </cell>
          <cell r="G46" t="str">
            <v xml:space="preserve"> </v>
          </cell>
          <cell r="H46">
            <v>1054232.3</v>
          </cell>
        </row>
        <row r="47">
          <cell r="A47" t="str">
            <v>4100-000</v>
          </cell>
          <cell r="B47" t="str">
            <v>VENTAS</v>
          </cell>
          <cell r="C47" t="str">
            <v xml:space="preserve"> </v>
          </cell>
          <cell r="D47">
            <v>391079.3</v>
          </cell>
          <cell r="E47">
            <v>0</v>
          </cell>
          <cell r="F47">
            <v>663153</v>
          </cell>
          <cell r="G47" t="str">
            <v xml:space="preserve"> </v>
          </cell>
          <cell r="H47">
            <v>1054232.3</v>
          </cell>
        </row>
        <row r="48">
          <cell r="A48" t="str">
            <v>4100-001</v>
          </cell>
          <cell r="B48" t="str">
            <v>Venta de Frijol</v>
          </cell>
          <cell r="C48" t="str">
            <v xml:space="preserve"> </v>
          </cell>
          <cell r="D48">
            <v>391079.3</v>
          </cell>
          <cell r="E48">
            <v>0</v>
          </cell>
          <cell r="F48">
            <v>663153</v>
          </cell>
          <cell r="G48" t="str">
            <v xml:space="preserve"> </v>
          </cell>
          <cell r="H48">
            <v>1054232.3</v>
          </cell>
        </row>
        <row r="49">
          <cell r="A49" t="str">
            <v>5000-000</v>
          </cell>
          <cell r="B49" t="str">
            <v>EGRESOS</v>
          </cell>
          <cell r="C49">
            <v>324829.28999999998</v>
          </cell>
          <cell r="D49" t="str">
            <v xml:space="preserve"> </v>
          </cell>
          <cell r="E49">
            <v>1609619.65</v>
          </cell>
          <cell r="F49">
            <v>0</v>
          </cell>
          <cell r="G49">
            <v>1934448.94</v>
          </cell>
          <cell r="H49" t="str">
            <v xml:space="preserve"> </v>
          </cell>
        </row>
        <row r="50">
          <cell r="A50" t="str">
            <v>5100-000</v>
          </cell>
          <cell r="B50" t="str">
            <v>COMPRAS</v>
          </cell>
          <cell r="C50">
            <v>284410</v>
          </cell>
          <cell r="D50" t="str">
            <v xml:space="preserve"> </v>
          </cell>
          <cell r="E50">
            <v>1580298</v>
          </cell>
          <cell r="F50">
            <v>0</v>
          </cell>
          <cell r="G50">
            <v>1864708</v>
          </cell>
          <cell r="H50" t="str">
            <v xml:space="preserve"> </v>
          </cell>
        </row>
        <row r="51">
          <cell r="A51" t="str">
            <v>5100-002</v>
          </cell>
          <cell r="B51" t="str">
            <v>Compra de Frijol</v>
          </cell>
          <cell r="C51">
            <v>284410</v>
          </cell>
          <cell r="D51" t="str">
            <v xml:space="preserve"> </v>
          </cell>
          <cell r="E51">
            <v>1553298</v>
          </cell>
          <cell r="F51">
            <v>0</v>
          </cell>
          <cell r="G51">
            <v>1837708</v>
          </cell>
          <cell r="H51" t="str">
            <v xml:space="preserve"> </v>
          </cell>
        </row>
        <row r="52">
          <cell r="A52" t="str">
            <v>5100-003</v>
          </cell>
          <cell r="B52" t="str">
            <v>Compra de Garbanzo</v>
          </cell>
          <cell r="C52">
            <v>0</v>
          </cell>
          <cell r="D52" t="str">
            <v xml:space="preserve"> </v>
          </cell>
          <cell r="E52">
            <v>27000</v>
          </cell>
          <cell r="F52">
            <v>0</v>
          </cell>
          <cell r="G52">
            <v>27000</v>
          </cell>
          <cell r="H52" t="str">
            <v xml:space="preserve"> </v>
          </cell>
        </row>
        <row r="53">
          <cell r="A53" t="str">
            <v>5200-000</v>
          </cell>
          <cell r="B53" t="str">
            <v>GASTOS GENERALES</v>
          </cell>
          <cell r="C53">
            <v>39300.29</v>
          </cell>
          <cell r="D53" t="str">
            <v xml:space="preserve"> </v>
          </cell>
          <cell r="E53">
            <v>26054.27</v>
          </cell>
          <cell r="F53">
            <v>0</v>
          </cell>
          <cell r="G53">
            <v>65354.559999999998</v>
          </cell>
          <cell r="H53" t="str">
            <v xml:space="preserve"> </v>
          </cell>
        </row>
        <row r="54">
          <cell r="A54" t="str">
            <v>5200-300</v>
          </cell>
          <cell r="B54" t="str">
            <v>MANTENIMIENTOS</v>
          </cell>
          <cell r="C54">
            <v>5182.93</v>
          </cell>
          <cell r="D54" t="str">
            <v xml:space="preserve"> </v>
          </cell>
          <cell r="E54">
            <v>13669.96</v>
          </cell>
          <cell r="F54">
            <v>0</v>
          </cell>
          <cell r="G54">
            <v>18852.89</v>
          </cell>
          <cell r="H54" t="str">
            <v xml:space="preserve"> </v>
          </cell>
        </row>
        <row r="55">
          <cell r="A55" t="str">
            <v>5200-301</v>
          </cell>
          <cell r="B55" t="str">
            <v>Mtto. de equipo de transporte</v>
          </cell>
          <cell r="C55">
            <v>5182.93</v>
          </cell>
          <cell r="D55" t="str">
            <v xml:space="preserve"> </v>
          </cell>
          <cell r="E55">
            <v>13669.96</v>
          </cell>
          <cell r="F55">
            <v>0</v>
          </cell>
          <cell r="G55">
            <v>18852.89</v>
          </cell>
          <cell r="H55" t="str">
            <v xml:space="preserve"> </v>
          </cell>
        </row>
        <row r="56">
          <cell r="A56" t="str">
            <v>5200-400</v>
          </cell>
          <cell r="B56" t="str">
            <v>GASTOS DE VIAJE</v>
          </cell>
          <cell r="C56">
            <v>9190.59</v>
          </cell>
          <cell r="D56" t="str">
            <v xml:space="preserve"> </v>
          </cell>
          <cell r="E56">
            <v>12240.81</v>
          </cell>
          <cell r="F56">
            <v>0</v>
          </cell>
          <cell r="G56">
            <v>21431.4</v>
          </cell>
          <cell r="H56" t="str">
            <v xml:space="preserve"> </v>
          </cell>
        </row>
        <row r="57">
          <cell r="A57" t="str">
            <v>5200-402</v>
          </cell>
          <cell r="B57" t="str">
            <v>Cuotas de Peaje</v>
          </cell>
          <cell r="C57">
            <v>1851.11</v>
          </cell>
          <cell r="D57" t="str">
            <v xml:space="preserve"> </v>
          </cell>
          <cell r="E57">
            <v>2581.5300000000002</v>
          </cell>
          <cell r="F57">
            <v>0</v>
          </cell>
          <cell r="G57">
            <v>4432.6400000000003</v>
          </cell>
          <cell r="H57" t="str">
            <v xml:space="preserve"> </v>
          </cell>
        </row>
        <row r="58">
          <cell r="A58" t="str">
            <v>5200-403</v>
          </cell>
          <cell r="B58" t="str">
            <v>Combustibles y Lubricantes</v>
          </cell>
          <cell r="C58">
            <v>7039.48</v>
          </cell>
          <cell r="D58" t="str">
            <v xml:space="preserve"> </v>
          </cell>
          <cell r="E58">
            <v>9516.68</v>
          </cell>
          <cell r="F58">
            <v>0</v>
          </cell>
          <cell r="G58">
            <v>16556.16</v>
          </cell>
          <cell r="H58" t="str">
            <v xml:space="preserve"> </v>
          </cell>
        </row>
        <row r="59">
          <cell r="A59" t="str">
            <v>5200-405</v>
          </cell>
          <cell r="B59" t="str">
            <v>Consumo</v>
          </cell>
          <cell r="C59">
            <v>0</v>
          </cell>
          <cell r="D59" t="str">
            <v xml:space="preserve"> </v>
          </cell>
          <cell r="E59">
            <v>142.6</v>
          </cell>
          <cell r="F59">
            <v>0</v>
          </cell>
          <cell r="G59">
            <v>142.6</v>
          </cell>
          <cell r="H59" t="str">
            <v xml:space="preserve"> </v>
          </cell>
        </row>
        <row r="60">
          <cell r="A60" t="str">
            <v>5200-500</v>
          </cell>
          <cell r="B60" t="str">
            <v>MATERIALES DE TRABAJO</v>
          </cell>
          <cell r="C60">
            <v>9167.77</v>
          </cell>
          <cell r="D60" t="str">
            <v xml:space="preserve"> </v>
          </cell>
          <cell r="E60">
            <v>143.5</v>
          </cell>
          <cell r="F60">
            <v>0</v>
          </cell>
          <cell r="G60">
            <v>9311.27</v>
          </cell>
          <cell r="H60" t="str">
            <v xml:space="preserve"> </v>
          </cell>
        </row>
        <row r="61">
          <cell r="A61" t="str">
            <v>5300-000</v>
          </cell>
          <cell r="B61" t="str">
            <v>GASTOS FINANCIEROS</v>
          </cell>
          <cell r="C61">
            <v>306</v>
          </cell>
          <cell r="D61" t="str">
            <v xml:space="preserve"> </v>
          </cell>
          <cell r="E61">
            <v>334</v>
          </cell>
          <cell r="F61">
            <v>0</v>
          </cell>
          <cell r="G61">
            <v>640</v>
          </cell>
          <cell r="H61" t="str">
            <v xml:space="preserve"> </v>
          </cell>
        </row>
        <row r="62">
          <cell r="A62" t="str">
            <v>5300-001</v>
          </cell>
          <cell r="B62" t="str">
            <v>Comisiones Bancarias</v>
          </cell>
          <cell r="C62">
            <v>306</v>
          </cell>
          <cell r="D62" t="str">
            <v xml:space="preserve"> </v>
          </cell>
          <cell r="E62">
            <v>334</v>
          </cell>
          <cell r="F62">
            <v>0</v>
          </cell>
          <cell r="G62">
            <v>640</v>
          </cell>
          <cell r="H62" t="str">
            <v xml:space="preserve"> </v>
          </cell>
        </row>
        <row r="63">
          <cell r="A63" t="str">
            <v>5500-000</v>
          </cell>
          <cell r="B63" t="str">
            <v>GASTOS NO DEDUCIBLES</v>
          </cell>
          <cell r="C63">
            <v>813</v>
          </cell>
          <cell r="D63" t="str">
            <v xml:space="preserve"> </v>
          </cell>
          <cell r="E63">
            <v>2933.38</v>
          </cell>
          <cell r="F63">
            <v>0</v>
          </cell>
          <cell r="G63">
            <v>3746.38</v>
          </cell>
          <cell r="H63" t="str">
            <v xml:space="preserve"> </v>
          </cell>
        </row>
        <row r="64">
          <cell r="A64" t="str">
            <v>5500-001</v>
          </cell>
          <cell r="B64" t="str">
            <v>No Comprobados</v>
          </cell>
          <cell r="C64">
            <v>813</v>
          </cell>
          <cell r="D64" t="str">
            <v xml:space="preserve"> </v>
          </cell>
          <cell r="E64">
            <v>2933.38</v>
          </cell>
          <cell r="F64">
            <v>0</v>
          </cell>
          <cell r="G64">
            <v>3746.38</v>
          </cell>
          <cell r="H64" t="str">
            <v xml:space="preserve"> </v>
          </cell>
        </row>
        <row r="65">
          <cell r="A65" t="str">
            <v xml:space="preserve"> </v>
          </cell>
        </row>
        <row r="66">
          <cell r="B66" t="str">
            <v>Total cuentas no impresas</v>
          </cell>
          <cell r="C66">
            <v>52906</v>
          </cell>
          <cell r="E66">
            <v>0</v>
          </cell>
          <cell r="F66">
            <v>0</v>
          </cell>
          <cell r="G66">
            <v>52906</v>
          </cell>
        </row>
        <row r="67">
          <cell r="B67" t="str">
            <v xml:space="preserve"> </v>
          </cell>
          <cell r="D67">
            <v>513097.4</v>
          </cell>
          <cell r="H67">
            <v>513097.4</v>
          </cell>
        </row>
        <row r="68">
          <cell r="A68" t="str">
            <v xml:space="preserve"> </v>
          </cell>
        </row>
        <row r="70">
          <cell r="B70" t="str">
            <v xml:space="preserve">Sumas Iguales: </v>
          </cell>
          <cell r="C70">
            <v>859193.76</v>
          </cell>
          <cell r="E70">
            <v>4261496.87</v>
          </cell>
          <cell r="F70">
            <v>4261496.87</v>
          </cell>
          <cell r="G70">
            <v>2610165.7000000002</v>
          </cell>
        </row>
        <row r="71">
          <cell r="D71">
            <v>916754.03</v>
          </cell>
          <cell r="H71">
            <v>2667725.9700000002</v>
          </cell>
        </row>
      </sheetData>
      <sheetData sheetId="11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3358453.84</v>
          </cell>
          <cell r="D8" t="str">
            <v xml:space="preserve"> </v>
          </cell>
          <cell r="E8">
            <v>1834620.32</v>
          </cell>
          <cell r="F8">
            <v>2586793.67</v>
          </cell>
          <cell r="G8">
            <v>2606280.4900000002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3358453.84</v>
          </cell>
          <cell r="D9" t="str">
            <v xml:space="preserve"> </v>
          </cell>
          <cell r="E9">
            <v>1834620.32</v>
          </cell>
          <cell r="F9">
            <v>2586793.67</v>
          </cell>
          <cell r="G9">
            <v>2606280.4900000002</v>
          </cell>
          <cell r="H9" t="str">
            <v xml:space="preserve"> </v>
          </cell>
        </row>
        <row r="10">
          <cell r="A10" t="str">
            <v>1101-000</v>
          </cell>
          <cell r="B10" t="str">
            <v xml:space="preserve">CAJA </v>
          </cell>
          <cell r="C10">
            <v>99</v>
          </cell>
          <cell r="D10" t="str">
            <v xml:space="preserve"> </v>
          </cell>
          <cell r="E10">
            <v>4000</v>
          </cell>
          <cell r="F10">
            <v>0</v>
          </cell>
          <cell r="G10">
            <v>4099</v>
          </cell>
          <cell r="H10" t="str">
            <v xml:space="preserve"> </v>
          </cell>
        </row>
        <row r="11">
          <cell r="A11" t="str">
            <v>1101-001</v>
          </cell>
          <cell r="B11" t="str">
            <v>Fondo Fijo</v>
          </cell>
          <cell r="C11">
            <v>99</v>
          </cell>
          <cell r="D11" t="str">
            <v xml:space="preserve"> </v>
          </cell>
          <cell r="E11">
            <v>4000</v>
          </cell>
          <cell r="F11">
            <v>0</v>
          </cell>
          <cell r="G11">
            <v>4099</v>
          </cell>
          <cell r="H11" t="str">
            <v xml:space="preserve"> </v>
          </cell>
        </row>
        <row r="12">
          <cell r="A12" t="str">
            <v>1102-000</v>
          </cell>
          <cell r="B12" t="str">
            <v>BANCOS</v>
          </cell>
          <cell r="C12">
            <v>157959.12</v>
          </cell>
          <cell r="D12" t="str">
            <v xml:space="preserve"> </v>
          </cell>
          <cell r="E12">
            <v>497472</v>
          </cell>
          <cell r="F12">
            <v>651938.48</v>
          </cell>
          <cell r="G12">
            <v>3492.64</v>
          </cell>
          <cell r="H12" t="str">
            <v xml:space="preserve"> </v>
          </cell>
        </row>
        <row r="13">
          <cell r="A13" t="str">
            <v>1102-001</v>
          </cell>
          <cell r="B13" t="str">
            <v>Santander Cta: 92001131081</v>
          </cell>
          <cell r="C13">
            <v>157959.12</v>
          </cell>
          <cell r="D13" t="str">
            <v xml:space="preserve"> </v>
          </cell>
          <cell r="E13">
            <v>497472</v>
          </cell>
          <cell r="F13">
            <v>651938.48</v>
          </cell>
          <cell r="G13">
            <v>3492.64</v>
          </cell>
          <cell r="H13" t="str">
            <v xml:space="preserve"> </v>
          </cell>
        </row>
        <row r="14">
          <cell r="A14" t="str">
            <v>1103-000</v>
          </cell>
          <cell r="B14" t="str">
            <v>CLIENTES</v>
          </cell>
          <cell r="C14">
            <v>403297.5</v>
          </cell>
          <cell r="D14" t="str">
            <v xml:space="preserve"> </v>
          </cell>
          <cell r="E14">
            <v>990404.5</v>
          </cell>
          <cell r="F14">
            <v>497472</v>
          </cell>
          <cell r="G14">
            <v>896230</v>
          </cell>
          <cell r="H14" t="str">
            <v xml:space="preserve"> </v>
          </cell>
        </row>
        <row r="15">
          <cell r="A15" t="str">
            <v>1103-003</v>
          </cell>
          <cell r="B15" t="str">
            <v>Abastecedora Coemrcial de Parral S.A. de C.V.</v>
          </cell>
          <cell r="C15">
            <v>0</v>
          </cell>
          <cell r="D15" t="str">
            <v xml:space="preserve"> </v>
          </cell>
          <cell r="E15">
            <v>65250</v>
          </cell>
          <cell r="F15">
            <v>65250</v>
          </cell>
          <cell r="G15">
            <v>0</v>
          </cell>
          <cell r="H15" t="str">
            <v xml:space="preserve"> </v>
          </cell>
        </row>
        <row r="16">
          <cell r="A16" t="str">
            <v>1103-005</v>
          </cell>
          <cell r="B16" t="str">
            <v>Amaya Comercial S.A. DE C.V.</v>
          </cell>
          <cell r="C16">
            <v>5000</v>
          </cell>
          <cell r="D16" t="str">
            <v xml:space="preserve"> </v>
          </cell>
          <cell r="E16">
            <v>0</v>
          </cell>
          <cell r="F16">
            <v>5000</v>
          </cell>
          <cell r="G16">
            <v>0</v>
          </cell>
          <cell r="H16" t="str">
            <v xml:space="preserve"> </v>
          </cell>
        </row>
        <row r="17">
          <cell r="A17" t="str">
            <v>1103-007</v>
          </cell>
          <cell r="B17" t="str">
            <v>Distribuidora de Granos y Semillas Baca S.A. de C.</v>
          </cell>
          <cell r="C17">
            <v>50020</v>
          </cell>
          <cell r="D17" t="str">
            <v xml:space="preserve"> </v>
          </cell>
          <cell r="E17">
            <v>656032.5</v>
          </cell>
          <cell r="F17">
            <v>132000</v>
          </cell>
          <cell r="G17">
            <v>574052.5</v>
          </cell>
          <cell r="H17" t="str">
            <v xml:space="preserve"> </v>
          </cell>
        </row>
        <row r="18">
          <cell r="A18" t="str">
            <v>1103-016</v>
          </cell>
          <cell r="B18" t="str">
            <v>Gloria Alicia Ramirez Hernandez</v>
          </cell>
          <cell r="C18">
            <v>10800</v>
          </cell>
          <cell r="D18" t="str">
            <v xml:space="preserve"> </v>
          </cell>
          <cell r="E18">
            <v>18000</v>
          </cell>
          <cell r="F18">
            <v>0</v>
          </cell>
          <cell r="G18">
            <v>28800</v>
          </cell>
          <cell r="H18" t="str">
            <v xml:space="preserve"> </v>
          </cell>
        </row>
        <row r="19">
          <cell r="A19" t="str">
            <v>1103-021</v>
          </cell>
          <cell r="B19" t="str">
            <v>Sonia Latife</v>
          </cell>
          <cell r="C19">
            <v>12600</v>
          </cell>
          <cell r="D19" t="str">
            <v xml:space="preserve"> </v>
          </cell>
          <cell r="E19">
            <v>0</v>
          </cell>
          <cell r="F19">
            <v>12600</v>
          </cell>
          <cell r="G19">
            <v>0</v>
          </cell>
          <cell r="H19" t="str">
            <v xml:space="preserve"> </v>
          </cell>
        </row>
        <row r="20">
          <cell r="A20" t="str">
            <v>1103-023</v>
          </cell>
          <cell r="B20" t="str">
            <v>Abarrotes del Norte de la Sierra S.A DE C.V.</v>
          </cell>
          <cell r="C20">
            <v>31500</v>
          </cell>
          <cell r="D20" t="str">
            <v xml:space="preserve"> </v>
          </cell>
          <cell r="E20">
            <v>0</v>
          </cell>
          <cell r="F20">
            <v>31500</v>
          </cell>
          <cell r="G20">
            <v>0</v>
          </cell>
          <cell r="H20" t="str">
            <v xml:space="preserve"> </v>
          </cell>
        </row>
        <row r="21">
          <cell r="A21" t="str">
            <v>1103-024</v>
          </cell>
          <cell r="B21" t="str">
            <v>Mario Villalobos Moreno</v>
          </cell>
          <cell r="C21">
            <v>0</v>
          </cell>
          <cell r="D21" t="str">
            <v xml:space="preserve"> </v>
          </cell>
          <cell r="E21">
            <v>60622</v>
          </cell>
          <cell r="F21">
            <v>60622</v>
          </cell>
          <cell r="G21">
            <v>0</v>
          </cell>
          <cell r="H21" t="str">
            <v xml:space="preserve"> </v>
          </cell>
        </row>
        <row r="22">
          <cell r="A22" t="str">
            <v>1103-025</v>
          </cell>
          <cell r="B22" t="str">
            <v>Abastecedora Mafi S.A de C.V.</v>
          </cell>
          <cell r="C22">
            <v>0</v>
          </cell>
          <cell r="D22" t="str">
            <v xml:space="preserve"> </v>
          </cell>
          <cell r="E22">
            <v>10500</v>
          </cell>
          <cell r="F22">
            <v>10500</v>
          </cell>
          <cell r="G22">
            <v>0</v>
          </cell>
          <cell r="H22" t="str">
            <v xml:space="preserve"> </v>
          </cell>
        </row>
        <row r="23">
          <cell r="A23" t="str">
            <v>1103-027</v>
          </cell>
          <cell r="B23" t="str">
            <v>Abel Baca Martinez</v>
          </cell>
          <cell r="C23">
            <v>0</v>
          </cell>
          <cell r="D23" t="str">
            <v xml:space="preserve"> </v>
          </cell>
          <cell r="E23">
            <v>180000</v>
          </cell>
          <cell r="F23">
            <v>180000</v>
          </cell>
          <cell r="G23">
            <v>0</v>
          </cell>
          <cell r="H23" t="str">
            <v xml:space="preserve"> </v>
          </cell>
        </row>
        <row r="24">
          <cell r="A24" t="str">
            <v>1104-000</v>
          </cell>
          <cell r="B24" t="str">
            <v>DEUDORES DIVERSOS</v>
          </cell>
          <cell r="C24">
            <v>56348.79</v>
          </cell>
          <cell r="D24" t="str">
            <v xml:space="preserve"> </v>
          </cell>
          <cell r="E24">
            <v>0</v>
          </cell>
          <cell r="F24">
            <v>3756.99</v>
          </cell>
          <cell r="G24">
            <v>52591.8</v>
          </cell>
          <cell r="H24" t="str">
            <v xml:space="preserve"> </v>
          </cell>
        </row>
        <row r="25">
          <cell r="A25" t="str">
            <v>1104-001</v>
          </cell>
          <cell r="B25" t="str">
            <v>Veronica Prieto Medrano</v>
          </cell>
          <cell r="C25">
            <v>56348.79</v>
          </cell>
          <cell r="D25" t="str">
            <v xml:space="preserve"> </v>
          </cell>
          <cell r="E25">
            <v>0</v>
          </cell>
          <cell r="F25">
            <v>3756.99</v>
          </cell>
          <cell r="G25">
            <v>52591.8</v>
          </cell>
          <cell r="H25" t="str">
            <v xml:space="preserve"> </v>
          </cell>
        </row>
        <row r="26">
          <cell r="A26" t="str">
            <v>1105-000</v>
          </cell>
          <cell r="B26" t="str">
            <v>IVA ACREDITABLE</v>
          </cell>
          <cell r="C26">
            <v>37646.660000000003</v>
          </cell>
          <cell r="D26" t="str">
            <v xml:space="preserve"> </v>
          </cell>
          <cell r="E26">
            <v>2236.7199999999998</v>
          </cell>
          <cell r="F26">
            <v>1876.43</v>
          </cell>
          <cell r="G26">
            <v>38006.949999999997</v>
          </cell>
          <cell r="H26" t="str">
            <v xml:space="preserve"> </v>
          </cell>
        </row>
        <row r="27">
          <cell r="A27" t="str">
            <v>1105-001</v>
          </cell>
          <cell r="B27" t="str">
            <v>Iva Acreditable Pend. de Pago</v>
          </cell>
          <cell r="C27">
            <v>9519.2900000000009</v>
          </cell>
          <cell r="D27" t="str">
            <v xml:space="preserve"> </v>
          </cell>
          <cell r="E27">
            <v>0</v>
          </cell>
          <cell r="F27">
            <v>1876.43</v>
          </cell>
          <cell r="G27">
            <v>7642.86</v>
          </cell>
          <cell r="H27" t="str">
            <v xml:space="preserve"> </v>
          </cell>
        </row>
        <row r="28">
          <cell r="A28" t="str">
            <v>1105-002</v>
          </cell>
          <cell r="B28" t="str">
            <v>Iva  Acreditable Efect. Pagado</v>
          </cell>
          <cell r="C28">
            <v>28127.37</v>
          </cell>
          <cell r="D28" t="str">
            <v xml:space="preserve"> </v>
          </cell>
          <cell r="E28">
            <v>2236.7199999999998</v>
          </cell>
          <cell r="F28">
            <v>0</v>
          </cell>
          <cell r="G28">
            <v>30364.09</v>
          </cell>
          <cell r="H28" t="str">
            <v xml:space="preserve"> </v>
          </cell>
        </row>
        <row r="29">
          <cell r="A29" t="str">
            <v>1107-000</v>
          </cell>
          <cell r="B29" t="str">
            <v>ANTICIPO A PROVEEDORES</v>
          </cell>
          <cell r="C29">
            <v>2701529.77</v>
          </cell>
          <cell r="D29" t="str">
            <v xml:space="preserve"> </v>
          </cell>
          <cell r="E29">
            <v>340000</v>
          </cell>
          <cell r="F29">
            <v>1431749.77</v>
          </cell>
          <cell r="G29">
            <v>1609780</v>
          </cell>
          <cell r="H29" t="str">
            <v xml:space="preserve"> </v>
          </cell>
        </row>
        <row r="30">
          <cell r="A30" t="str">
            <v>1107-005</v>
          </cell>
          <cell r="B30" t="str">
            <v>Cornelius Thiessen Fehr</v>
          </cell>
          <cell r="C30">
            <v>345000</v>
          </cell>
          <cell r="D30" t="str">
            <v xml:space="preserve"> </v>
          </cell>
          <cell r="E30">
            <v>0</v>
          </cell>
          <cell r="F30">
            <v>345000</v>
          </cell>
          <cell r="G30">
            <v>0</v>
          </cell>
          <cell r="H30" t="str">
            <v xml:space="preserve"> </v>
          </cell>
        </row>
        <row r="31">
          <cell r="A31" t="str">
            <v>1107-006</v>
          </cell>
          <cell r="B31" t="str">
            <v>Jacob Wiebe Klassen</v>
          </cell>
          <cell r="C31">
            <v>500000</v>
          </cell>
          <cell r="D31" t="str">
            <v xml:space="preserve"> </v>
          </cell>
          <cell r="E31">
            <v>0</v>
          </cell>
          <cell r="F31">
            <v>500000</v>
          </cell>
          <cell r="G31">
            <v>0</v>
          </cell>
          <cell r="H31" t="str">
            <v xml:space="preserve"> </v>
          </cell>
        </row>
        <row r="32">
          <cell r="A32" t="str">
            <v>1107-041</v>
          </cell>
          <cell r="B32" t="str">
            <v>Franz Rempel Friessen</v>
          </cell>
          <cell r="C32">
            <v>0</v>
          </cell>
          <cell r="D32" t="str">
            <v xml:space="preserve"> </v>
          </cell>
          <cell r="E32">
            <v>280000</v>
          </cell>
          <cell r="F32">
            <v>280000</v>
          </cell>
          <cell r="G32">
            <v>0</v>
          </cell>
          <cell r="H32" t="str">
            <v xml:space="preserve"> </v>
          </cell>
        </row>
        <row r="33">
          <cell r="A33" t="str">
            <v>1107-042</v>
          </cell>
          <cell r="B33" t="str">
            <v>Elizabeth Friesen Neudorf</v>
          </cell>
          <cell r="C33">
            <v>11000</v>
          </cell>
          <cell r="D33" t="str">
            <v xml:space="preserve"> </v>
          </cell>
          <cell r="E33">
            <v>60000</v>
          </cell>
          <cell r="F33">
            <v>0</v>
          </cell>
          <cell r="G33">
            <v>71000</v>
          </cell>
          <cell r="H33" t="str">
            <v xml:space="preserve"> </v>
          </cell>
        </row>
        <row r="34">
          <cell r="A34" t="str">
            <v>1107-045</v>
          </cell>
          <cell r="B34" t="str">
            <v>Productores Unidos Por Un Ideal SPR DE RL</v>
          </cell>
          <cell r="C34">
            <v>290000</v>
          </cell>
          <cell r="D34" t="str">
            <v xml:space="preserve"> </v>
          </cell>
          <cell r="E34">
            <v>0</v>
          </cell>
          <cell r="F34">
            <v>290000</v>
          </cell>
          <cell r="G34">
            <v>0</v>
          </cell>
          <cell r="H34" t="str">
            <v xml:space="preserve"> </v>
          </cell>
        </row>
        <row r="35">
          <cell r="A35" t="str">
            <v>1107-047</v>
          </cell>
          <cell r="B35" t="str">
            <v>Abraham Peters Dyck</v>
          </cell>
          <cell r="C35">
            <v>16749.77</v>
          </cell>
          <cell r="D35" t="str">
            <v xml:space="preserve"> </v>
          </cell>
          <cell r="E35">
            <v>0</v>
          </cell>
          <cell r="F35">
            <v>16749.77</v>
          </cell>
          <cell r="G35">
            <v>0</v>
          </cell>
          <cell r="H35" t="str">
            <v xml:space="preserve"> </v>
          </cell>
        </row>
        <row r="36">
          <cell r="A36" t="str">
            <v>1108-000</v>
          </cell>
          <cell r="B36" t="str">
            <v>SUBSIDIO AL EMPLEO</v>
          </cell>
          <cell r="C36">
            <v>0</v>
          </cell>
          <cell r="D36" t="str">
            <v xml:space="preserve"> </v>
          </cell>
          <cell r="E36">
            <v>507.1</v>
          </cell>
          <cell r="F36">
            <v>0</v>
          </cell>
          <cell r="G36">
            <v>507.1</v>
          </cell>
          <cell r="H36" t="str">
            <v xml:space="preserve"> </v>
          </cell>
        </row>
        <row r="37">
          <cell r="A37" t="str">
            <v>2000-000</v>
          </cell>
          <cell r="B37" t="str">
            <v>PASIVO</v>
          </cell>
          <cell r="C37" t="str">
            <v xml:space="preserve"> </v>
          </cell>
          <cell r="D37">
            <v>938057.6</v>
          </cell>
          <cell r="E37">
            <v>249385.98</v>
          </cell>
          <cell r="F37">
            <v>686286.18</v>
          </cell>
          <cell r="G37" t="str">
            <v xml:space="preserve"> </v>
          </cell>
          <cell r="H37">
            <v>1374957.8</v>
          </cell>
        </row>
        <row r="38">
          <cell r="A38" t="str">
            <v>2100-000</v>
          </cell>
          <cell r="B38" t="str">
            <v>PASIVO A CORTO PLAZO</v>
          </cell>
          <cell r="C38" t="str">
            <v xml:space="preserve"> </v>
          </cell>
          <cell r="D38">
            <v>938057.6</v>
          </cell>
          <cell r="E38">
            <v>249385.98</v>
          </cell>
          <cell r="F38">
            <v>686286.18</v>
          </cell>
          <cell r="G38" t="str">
            <v xml:space="preserve"> </v>
          </cell>
          <cell r="H38">
            <v>1374957.8</v>
          </cell>
        </row>
        <row r="39">
          <cell r="A39" t="str">
            <v>2101-000</v>
          </cell>
          <cell r="B39" t="str">
            <v>PROVEEDORES</v>
          </cell>
          <cell r="C39" t="str">
            <v xml:space="preserve"> </v>
          </cell>
          <cell r="D39">
            <v>854739</v>
          </cell>
          <cell r="E39">
            <v>235000</v>
          </cell>
          <cell r="F39">
            <v>681946.23</v>
          </cell>
          <cell r="G39" t="str">
            <v xml:space="preserve"> </v>
          </cell>
          <cell r="H39">
            <v>1301685.23</v>
          </cell>
        </row>
        <row r="40">
          <cell r="A40" t="str">
            <v>2101-035</v>
          </cell>
          <cell r="B40" t="str">
            <v>Productores Unidos Por Un Ideal S.P.R. de R.L.</v>
          </cell>
          <cell r="C40" t="str">
            <v xml:space="preserve"> </v>
          </cell>
          <cell r="D40">
            <v>0</v>
          </cell>
          <cell r="E40">
            <v>60000</v>
          </cell>
          <cell r="F40">
            <v>272750</v>
          </cell>
          <cell r="G40" t="str">
            <v xml:space="preserve"> </v>
          </cell>
          <cell r="H40">
            <v>212750</v>
          </cell>
        </row>
        <row r="41">
          <cell r="A41" t="str">
            <v>2101-040</v>
          </cell>
          <cell r="B41" t="str">
            <v>Abraham Peters Dyck</v>
          </cell>
          <cell r="C41" t="str">
            <v xml:space="preserve"> </v>
          </cell>
          <cell r="D41">
            <v>0</v>
          </cell>
          <cell r="E41">
            <v>75000</v>
          </cell>
          <cell r="F41">
            <v>100754.23</v>
          </cell>
          <cell r="G41" t="str">
            <v xml:space="preserve"> </v>
          </cell>
          <cell r="H41">
            <v>25754.23</v>
          </cell>
        </row>
        <row r="42">
          <cell r="A42" t="str">
            <v>2101-048</v>
          </cell>
          <cell r="B42" t="str">
            <v>Jacobo Wiebe Klassen</v>
          </cell>
          <cell r="C42" t="str">
            <v xml:space="preserve"> </v>
          </cell>
          <cell r="D42">
            <v>0</v>
          </cell>
          <cell r="E42">
            <v>0</v>
          </cell>
          <cell r="F42">
            <v>32660</v>
          </cell>
          <cell r="G42" t="str">
            <v xml:space="preserve"> </v>
          </cell>
          <cell r="H42">
            <v>32660</v>
          </cell>
        </row>
        <row r="43">
          <cell r="A43" t="str">
            <v>2101-049</v>
          </cell>
          <cell r="B43" t="str">
            <v>Cornelius Thiessen Fehr</v>
          </cell>
          <cell r="C43" t="str">
            <v xml:space="preserve"> </v>
          </cell>
          <cell r="D43">
            <v>0</v>
          </cell>
          <cell r="E43">
            <v>100000</v>
          </cell>
          <cell r="F43">
            <v>105000</v>
          </cell>
          <cell r="G43" t="str">
            <v xml:space="preserve"> </v>
          </cell>
          <cell r="H43">
            <v>5000</v>
          </cell>
        </row>
        <row r="44">
          <cell r="A44" t="str">
            <v>2101-050</v>
          </cell>
          <cell r="B44" t="str">
            <v>Franz Rempel Friessen</v>
          </cell>
          <cell r="C44" t="str">
            <v xml:space="preserve"> </v>
          </cell>
          <cell r="D44">
            <v>0</v>
          </cell>
          <cell r="E44">
            <v>0</v>
          </cell>
          <cell r="F44">
            <v>120000</v>
          </cell>
          <cell r="G44" t="str">
            <v xml:space="preserve"> </v>
          </cell>
          <cell r="H44">
            <v>120000</v>
          </cell>
        </row>
        <row r="45">
          <cell r="A45" t="str">
            <v>2101-052</v>
          </cell>
          <cell r="B45" t="str">
            <v>Juan Reynaldo Griesbrecht Reimer</v>
          </cell>
          <cell r="C45" t="str">
            <v xml:space="preserve"> </v>
          </cell>
          <cell r="D45">
            <v>57346</v>
          </cell>
          <cell r="E45">
            <v>0</v>
          </cell>
          <cell r="F45">
            <v>50782</v>
          </cell>
          <cell r="G45" t="str">
            <v xml:space="preserve"> </v>
          </cell>
          <cell r="H45">
            <v>108128</v>
          </cell>
        </row>
        <row r="46">
          <cell r="A46" t="str">
            <v>2102-000</v>
          </cell>
          <cell r="B46" t="str">
            <v>ACREEDORES DIVERSOS</v>
          </cell>
          <cell r="C46" t="str">
            <v xml:space="preserve"> </v>
          </cell>
          <cell r="D46">
            <v>73683.44</v>
          </cell>
          <cell r="E46">
            <v>14385.98</v>
          </cell>
          <cell r="F46">
            <v>4279.88</v>
          </cell>
          <cell r="G46" t="str">
            <v xml:space="preserve"> </v>
          </cell>
          <cell r="H46">
            <v>63577.34</v>
          </cell>
        </row>
        <row r="47">
          <cell r="A47" t="str">
            <v>2102-023</v>
          </cell>
          <cell r="B47" t="str">
            <v>Martin Armenta Prieto</v>
          </cell>
          <cell r="C47" t="str">
            <v xml:space="preserve"> </v>
          </cell>
          <cell r="D47">
            <v>5002.5</v>
          </cell>
          <cell r="E47">
            <v>5002.5</v>
          </cell>
          <cell r="F47">
            <v>0</v>
          </cell>
          <cell r="G47" t="str">
            <v xml:space="preserve"> </v>
          </cell>
          <cell r="H47">
            <v>0</v>
          </cell>
        </row>
        <row r="48">
          <cell r="A48" t="str">
            <v>2102-172</v>
          </cell>
          <cell r="B48" t="str">
            <v>Sueldos por Pagar</v>
          </cell>
          <cell r="C48" t="str">
            <v xml:space="preserve"> </v>
          </cell>
          <cell r="D48">
            <v>0</v>
          </cell>
          <cell r="E48">
            <v>0</v>
          </cell>
          <cell r="F48">
            <v>4279.88</v>
          </cell>
          <cell r="G48" t="str">
            <v xml:space="preserve"> </v>
          </cell>
          <cell r="H48">
            <v>4279.88</v>
          </cell>
        </row>
        <row r="49">
          <cell r="A49" t="str">
            <v>2102-175</v>
          </cell>
          <cell r="B49" t="str">
            <v>Laura Guadalupe Castillo Fernandez</v>
          </cell>
          <cell r="C49" t="str">
            <v xml:space="preserve"> </v>
          </cell>
          <cell r="D49">
            <v>9383.48</v>
          </cell>
          <cell r="E49">
            <v>9383.48</v>
          </cell>
          <cell r="F49">
            <v>0</v>
          </cell>
          <cell r="G49" t="str">
            <v xml:space="preserve"> </v>
          </cell>
          <cell r="H49">
            <v>0</v>
          </cell>
        </row>
        <row r="50">
          <cell r="A50" t="str">
            <v>2103-000</v>
          </cell>
          <cell r="B50" t="str">
            <v>IMPUESTOS POR PAGAR</v>
          </cell>
          <cell r="C50" t="str">
            <v xml:space="preserve"> </v>
          </cell>
          <cell r="D50">
            <v>9635.16</v>
          </cell>
          <cell r="E50">
            <v>0</v>
          </cell>
          <cell r="F50">
            <v>60.07</v>
          </cell>
          <cell r="G50" t="str">
            <v xml:space="preserve"> </v>
          </cell>
          <cell r="H50">
            <v>9695.23</v>
          </cell>
        </row>
        <row r="51">
          <cell r="A51" t="str">
            <v>2103-004</v>
          </cell>
          <cell r="B51" t="str">
            <v>IMSS</v>
          </cell>
          <cell r="C51" t="str">
            <v xml:space="preserve"> </v>
          </cell>
          <cell r="D51">
            <v>0</v>
          </cell>
          <cell r="E51">
            <v>0</v>
          </cell>
          <cell r="F51">
            <v>60.07</v>
          </cell>
          <cell r="G51" t="str">
            <v xml:space="preserve"> </v>
          </cell>
          <cell r="H51">
            <v>60.07</v>
          </cell>
        </row>
        <row r="52">
          <cell r="A52" t="str">
            <v>4000-000</v>
          </cell>
          <cell r="B52" t="str">
            <v>INGRESOS</v>
          </cell>
          <cell r="C52" t="str">
            <v xml:space="preserve"> </v>
          </cell>
          <cell r="D52">
            <v>6103152</v>
          </cell>
          <cell r="E52">
            <v>0</v>
          </cell>
          <cell r="F52">
            <v>990407.02</v>
          </cell>
          <cell r="G52" t="str">
            <v xml:space="preserve"> </v>
          </cell>
          <cell r="H52">
            <v>7093559.0199999996</v>
          </cell>
        </row>
        <row r="53">
          <cell r="A53" t="str">
            <v>4100-000</v>
          </cell>
          <cell r="B53" t="str">
            <v>VENTAS</v>
          </cell>
          <cell r="C53" t="str">
            <v xml:space="preserve"> </v>
          </cell>
          <cell r="D53">
            <v>6087152</v>
          </cell>
          <cell r="E53">
            <v>0</v>
          </cell>
          <cell r="F53">
            <v>990404.5</v>
          </cell>
          <cell r="G53" t="str">
            <v xml:space="preserve"> </v>
          </cell>
          <cell r="H53">
            <v>7077556.5</v>
          </cell>
        </row>
        <row r="54">
          <cell r="A54" t="str">
            <v>4100-001</v>
          </cell>
          <cell r="B54" t="str">
            <v>Venta de Frijol</v>
          </cell>
          <cell r="C54" t="str">
            <v xml:space="preserve"> </v>
          </cell>
          <cell r="D54">
            <v>5359588</v>
          </cell>
          <cell r="E54">
            <v>0</v>
          </cell>
          <cell r="F54">
            <v>832267.5</v>
          </cell>
          <cell r="G54" t="str">
            <v xml:space="preserve"> </v>
          </cell>
          <cell r="H54">
            <v>6191855.5</v>
          </cell>
        </row>
        <row r="55">
          <cell r="A55" t="str">
            <v>4100-002</v>
          </cell>
          <cell r="B55" t="str">
            <v>Venta de Maiz</v>
          </cell>
          <cell r="C55" t="str">
            <v xml:space="preserve"> </v>
          </cell>
          <cell r="D55">
            <v>727564</v>
          </cell>
          <cell r="E55">
            <v>0</v>
          </cell>
          <cell r="F55">
            <v>158137</v>
          </cell>
          <cell r="G55" t="str">
            <v xml:space="preserve"> </v>
          </cell>
          <cell r="H55">
            <v>885701</v>
          </cell>
        </row>
        <row r="56">
          <cell r="A56" t="str">
            <v>4300-000</v>
          </cell>
          <cell r="B56" t="str">
            <v>OTROS PRODUCTOS</v>
          </cell>
          <cell r="C56" t="str">
            <v xml:space="preserve"> </v>
          </cell>
          <cell r="D56">
            <v>0</v>
          </cell>
          <cell r="E56">
            <v>0</v>
          </cell>
          <cell r="F56">
            <v>2.52</v>
          </cell>
          <cell r="G56" t="str">
            <v xml:space="preserve"> </v>
          </cell>
          <cell r="H56">
            <v>2.52</v>
          </cell>
        </row>
        <row r="57">
          <cell r="A57" t="str">
            <v>4300-001</v>
          </cell>
          <cell r="B57" t="str">
            <v>Ganancia por redondeo</v>
          </cell>
          <cell r="C57" t="str">
            <v xml:space="preserve"> </v>
          </cell>
          <cell r="D57">
            <v>0</v>
          </cell>
          <cell r="E57">
            <v>0</v>
          </cell>
          <cell r="F57">
            <v>2.52</v>
          </cell>
          <cell r="G57" t="str">
            <v xml:space="preserve"> </v>
          </cell>
          <cell r="H57">
            <v>2.52</v>
          </cell>
        </row>
        <row r="58">
          <cell r="A58" t="str">
            <v>5000-000</v>
          </cell>
          <cell r="B58" t="str">
            <v>EGRESOS</v>
          </cell>
          <cell r="C58">
            <v>3900680.24</v>
          </cell>
          <cell r="D58" t="str">
            <v xml:space="preserve"> </v>
          </cell>
          <cell r="E58">
            <v>2179480.5699999998</v>
          </cell>
          <cell r="F58">
            <v>0</v>
          </cell>
          <cell r="G58">
            <v>6080160.8099999996</v>
          </cell>
          <cell r="H58" t="str">
            <v xml:space="preserve"> </v>
          </cell>
        </row>
        <row r="59">
          <cell r="A59" t="str">
            <v>5100-000</v>
          </cell>
          <cell r="B59" t="str">
            <v>COMPRAS</v>
          </cell>
          <cell r="C59">
            <v>3759660.6</v>
          </cell>
          <cell r="D59" t="str">
            <v xml:space="preserve"> </v>
          </cell>
          <cell r="E59">
            <v>2171825.5</v>
          </cell>
          <cell r="F59">
            <v>0</v>
          </cell>
          <cell r="G59">
            <v>5931486.0999999996</v>
          </cell>
          <cell r="H59" t="str">
            <v xml:space="preserve"> </v>
          </cell>
        </row>
        <row r="60">
          <cell r="A60" t="str">
            <v>5100-001</v>
          </cell>
          <cell r="B60" t="str">
            <v>Compra de Maiz</v>
          </cell>
          <cell r="C60">
            <v>845013.6</v>
          </cell>
          <cell r="D60" t="str">
            <v xml:space="preserve"> </v>
          </cell>
          <cell r="E60">
            <v>105980</v>
          </cell>
          <cell r="F60">
            <v>0</v>
          </cell>
          <cell r="G60">
            <v>950993.6</v>
          </cell>
          <cell r="H60" t="str">
            <v xml:space="preserve"> </v>
          </cell>
        </row>
        <row r="61">
          <cell r="A61" t="str">
            <v>5100-002</v>
          </cell>
          <cell r="B61" t="str">
            <v>Compra de Frijol</v>
          </cell>
          <cell r="C61">
            <v>2887647</v>
          </cell>
          <cell r="D61" t="str">
            <v xml:space="preserve"> </v>
          </cell>
          <cell r="E61">
            <v>2065845.5</v>
          </cell>
          <cell r="F61">
            <v>0</v>
          </cell>
          <cell r="G61">
            <v>4953492.5</v>
          </cell>
          <cell r="H61" t="str">
            <v xml:space="preserve"> </v>
          </cell>
        </row>
        <row r="62">
          <cell r="A62" t="str">
            <v>5200-000</v>
          </cell>
          <cell r="B62" t="str">
            <v>GASTOS GENERALES</v>
          </cell>
          <cell r="C62">
            <v>131392.76</v>
          </cell>
          <cell r="D62" t="str">
            <v xml:space="preserve"> </v>
          </cell>
          <cell r="E62">
            <v>7284.86</v>
          </cell>
          <cell r="F62">
            <v>0</v>
          </cell>
          <cell r="G62">
            <v>138677.62</v>
          </cell>
          <cell r="H62" t="str">
            <v xml:space="preserve"> </v>
          </cell>
        </row>
        <row r="63">
          <cell r="A63" t="str">
            <v>5200-100</v>
          </cell>
          <cell r="B63" t="str">
            <v>PERSONAL</v>
          </cell>
          <cell r="C63">
            <v>0</v>
          </cell>
          <cell r="D63" t="str">
            <v xml:space="preserve"> </v>
          </cell>
          <cell r="E63">
            <v>3832.66</v>
          </cell>
          <cell r="F63">
            <v>0</v>
          </cell>
          <cell r="G63">
            <v>3832.66</v>
          </cell>
          <cell r="H63" t="str">
            <v xml:space="preserve"> </v>
          </cell>
        </row>
        <row r="64">
          <cell r="A64" t="str">
            <v>5200-103</v>
          </cell>
          <cell r="B64" t="str">
            <v>Sueldos y Salarios</v>
          </cell>
          <cell r="C64">
            <v>0</v>
          </cell>
          <cell r="D64" t="str">
            <v xml:space="preserve"> </v>
          </cell>
          <cell r="E64">
            <v>2298.84</v>
          </cell>
          <cell r="F64">
            <v>0</v>
          </cell>
          <cell r="G64">
            <v>2298.84</v>
          </cell>
          <cell r="H64" t="str">
            <v xml:space="preserve"> </v>
          </cell>
        </row>
        <row r="65">
          <cell r="A65" t="str">
            <v>5200-104</v>
          </cell>
          <cell r="B65" t="str">
            <v>Bono de Puntualidad</v>
          </cell>
          <cell r="C65">
            <v>0</v>
          </cell>
          <cell r="D65" t="str">
            <v xml:space="preserve"> </v>
          </cell>
          <cell r="E65">
            <v>229.87</v>
          </cell>
          <cell r="F65">
            <v>0</v>
          </cell>
          <cell r="G65">
            <v>229.87</v>
          </cell>
          <cell r="H65" t="str">
            <v xml:space="preserve"> </v>
          </cell>
        </row>
        <row r="66">
          <cell r="A66" t="str">
            <v>5200-105</v>
          </cell>
          <cell r="B66" t="str">
            <v>Bono de Asistencia</v>
          </cell>
          <cell r="C66">
            <v>0</v>
          </cell>
          <cell r="D66" t="str">
            <v xml:space="preserve"> </v>
          </cell>
          <cell r="E66">
            <v>229.87</v>
          </cell>
          <cell r="F66">
            <v>0</v>
          </cell>
          <cell r="G66">
            <v>229.87</v>
          </cell>
          <cell r="H66" t="str">
            <v xml:space="preserve"> </v>
          </cell>
        </row>
        <row r="67">
          <cell r="A67" t="str">
            <v>5200-106</v>
          </cell>
          <cell r="B67" t="str">
            <v>Despensa</v>
          </cell>
          <cell r="C67">
            <v>0</v>
          </cell>
          <cell r="D67" t="str">
            <v xml:space="preserve"> </v>
          </cell>
          <cell r="E67">
            <v>1074.08</v>
          </cell>
          <cell r="F67">
            <v>0</v>
          </cell>
          <cell r="G67">
            <v>1074.08</v>
          </cell>
          <cell r="H67" t="str">
            <v xml:space="preserve"> </v>
          </cell>
        </row>
        <row r="68">
          <cell r="A68" t="str">
            <v>5200-200</v>
          </cell>
          <cell r="B68" t="str">
            <v>SERVICIOS</v>
          </cell>
          <cell r="C68">
            <v>24646.61</v>
          </cell>
          <cell r="D68" t="str">
            <v xml:space="preserve"> </v>
          </cell>
          <cell r="E68">
            <v>619.11</v>
          </cell>
          <cell r="F68">
            <v>0</v>
          </cell>
          <cell r="G68">
            <v>25265.72</v>
          </cell>
          <cell r="H68" t="str">
            <v xml:space="preserve"> </v>
          </cell>
        </row>
        <row r="69">
          <cell r="A69" t="str">
            <v>5200-214</v>
          </cell>
          <cell r="B69" t="str">
            <v>Gastos Varios</v>
          </cell>
          <cell r="C69">
            <v>0</v>
          </cell>
          <cell r="D69" t="str">
            <v xml:space="preserve"> </v>
          </cell>
          <cell r="E69">
            <v>619.11</v>
          </cell>
          <cell r="F69">
            <v>0</v>
          </cell>
          <cell r="G69">
            <v>619.11</v>
          </cell>
          <cell r="H69" t="str">
            <v xml:space="preserve"> </v>
          </cell>
        </row>
        <row r="70">
          <cell r="A70" t="str">
            <v>5200-400</v>
          </cell>
          <cell r="B70" t="str">
            <v>GASTOS DE VIAJE</v>
          </cell>
          <cell r="C70">
            <v>44324.86</v>
          </cell>
          <cell r="D70" t="str">
            <v xml:space="preserve"> </v>
          </cell>
          <cell r="E70">
            <v>2833.09</v>
          </cell>
          <cell r="F70">
            <v>0</v>
          </cell>
          <cell r="G70">
            <v>47157.95</v>
          </cell>
          <cell r="H70" t="str">
            <v xml:space="preserve"> </v>
          </cell>
        </row>
        <row r="71">
          <cell r="A71" t="str">
            <v>5200-402</v>
          </cell>
          <cell r="B71" t="str">
            <v>Cuotas de Peaje</v>
          </cell>
          <cell r="C71">
            <v>8539.3700000000008</v>
          </cell>
          <cell r="D71" t="str">
            <v xml:space="preserve"> </v>
          </cell>
          <cell r="E71">
            <v>1235</v>
          </cell>
          <cell r="F71">
            <v>0</v>
          </cell>
          <cell r="G71">
            <v>9774.3700000000008</v>
          </cell>
          <cell r="H71" t="str">
            <v xml:space="preserve"> </v>
          </cell>
        </row>
        <row r="72">
          <cell r="A72" t="str">
            <v>5200-403</v>
          </cell>
          <cell r="B72" t="str">
            <v>Combustibles y Lubricantes</v>
          </cell>
          <cell r="C72">
            <v>32844.050000000003</v>
          </cell>
          <cell r="D72" t="str">
            <v xml:space="preserve"> </v>
          </cell>
          <cell r="E72">
            <v>1282.8699999999999</v>
          </cell>
          <cell r="F72">
            <v>0</v>
          </cell>
          <cell r="G72">
            <v>34126.92</v>
          </cell>
          <cell r="H72" t="str">
            <v xml:space="preserve"> </v>
          </cell>
        </row>
        <row r="73">
          <cell r="A73" t="str">
            <v>5200-405</v>
          </cell>
          <cell r="B73" t="str">
            <v>Consumo</v>
          </cell>
          <cell r="C73">
            <v>662.17</v>
          </cell>
          <cell r="D73" t="str">
            <v xml:space="preserve"> </v>
          </cell>
          <cell r="E73">
            <v>315.22000000000003</v>
          </cell>
          <cell r="F73">
            <v>0</v>
          </cell>
          <cell r="G73">
            <v>977.39</v>
          </cell>
          <cell r="H73" t="str">
            <v xml:space="preserve"> </v>
          </cell>
        </row>
        <row r="74">
          <cell r="A74" t="str">
            <v>5300-000</v>
          </cell>
          <cell r="B74" t="str">
            <v>GASTOS FINANCIEROS</v>
          </cell>
          <cell r="C74">
            <v>3454</v>
          </cell>
          <cell r="D74" t="str">
            <v xml:space="preserve"> </v>
          </cell>
          <cell r="E74">
            <v>370</v>
          </cell>
          <cell r="F74">
            <v>0</v>
          </cell>
          <cell r="G74">
            <v>3824</v>
          </cell>
          <cell r="H74" t="str">
            <v xml:space="preserve"> </v>
          </cell>
        </row>
        <row r="75">
          <cell r="A75" t="str">
            <v>5300-001</v>
          </cell>
          <cell r="B75" t="str">
            <v>Comisiones Bancarias</v>
          </cell>
          <cell r="C75">
            <v>3454</v>
          </cell>
          <cell r="D75" t="str">
            <v xml:space="preserve"> </v>
          </cell>
          <cell r="E75">
            <v>370</v>
          </cell>
          <cell r="F75">
            <v>0</v>
          </cell>
          <cell r="G75">
            <v>3824</v>
          </cell>
          <cell r="H75" t="str">
            <v xml:space="preserve"> </v>
          </cell>
        </row>
        <row r="76">
          <cell r="A76" t="str">
            <v>5400-000</v>
          </cell>
          <cell r="B76" t="str">
            <v>OTROS GASTOS</v>
          </cell>
          <cell r="C76">
            <v>0</v>
          </cell>
          <cell r="D76" t="str">
            <v xml:space="preserve"> </v>
          </cell>
          <cell r="E76">
            <v>0.21</v>
          </cell>
          <cell r="F76">
            <v>0</v>
          </cell>
          <cell r="G76">
            <v>0.21</v>
          </cell>
          <cell r="H76" t="str">
            <v xml:space="preserve"> </v>
          </cell>
        </row>
        <row r="77">
          <cell r="A77" t="str">
            <v>5400-001</v>
          </cell>
          <cell r="B77" t="str">
            <v>Perdida por redondeo</v>
          </cell>
          <cell r="C77">
            <v>0</v>
          </cell>
          <cell r="D77" t="str">
            <v xml:space="preserve"> </v>
          </cell>
          <cell r="E77">
            <v>0.21</v>
          </cell>
          <cell r="F77">
            <v>0</v>
          </cell>
          <cell r="G77">
            <v>0.21</v>
          </cell>
          <cell r="H77" t="str">
            <v xml:space="preserve"> </v>
          </cell>
        </row>
        <row r="78">
          <cell r="A78" t="str">
            <v xml:space="preserve"> </v>
          </cell>
        </row>
        <row r="79">
          <cell r="B79" t="str">
            <v>Total cuentas no impresas</v>
          </cell>
          <cell r="C79">
            <v>1956250.55</v>
          </cell>
          <cell r="E79">
            <v>0</v>
          </cell>
          <cell r="F79">
            <v>0</v>
          </cell>
          <cell r="G79">
            <v>1956250.55</v>
          </cell>
        </row>
        <row r="80">
          <cell r="B80" t="str">
            <v xml:space="preserve"> </v>
          </cell>
          <cell r="D80">
            <v>1157810.3700000001</v>
          </cell>
          <cell r="H80">
            <v>1157810.3700000001</v>
          </cell>
        </row>
        <row r="81">
          <cell r="A81" t="str">
            <v xml:space="preserve"> </v>
          </cell>
        </row>
        <row r="83">
          <cell r="B83" t="str">
            <v xml:space="preserve">Sumas Iguales: </v>
          </cell>
          <cell r="C83">
            <v>7259134.0800000001</v>
          </cell>
          <cell r="E83">
            <v>4263486.87</v>
          </cell>
          <cell r="F83">
            <v>4263486.87</v>
          </cell>
          <cell r="G83">
            <v>8686441.3000000007</v>
          </cell>
        </row>
        <row r="84">
          <cell r="D84">
            <v>7316694.3499999996</v>
          </cell>
          <cell r="H84">
            <v>8744001.5700000003</v>
          </cell>
        </row>
      </sheetData>
      <sheetData sheetId="12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1238637.75</v>
          </cell>
          <cell r="D8" t="str">
            <v xml:space="preserve"> </v>
          </cell>
          <cell r="E8">
            <v>4137355.31</v>
          </cell>
          <cell r="F8">
            <v>4825192.83</v>
          </cell>
          <cell r="G8">
            <v>550800.23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1238637.75</v>
          </cell>
          <cell r="D9" t="str">
            <v xml:space="preserve"> </v>
          </cell>
          <cell r="E9">
            <v>4137355.31</v>
          </cell>
          <cell r="F9">
            <v>4825192.83</v>
          </cell>
          <cell r="G9">
            <v>550800.23</v>
          </cell>
          <cell r="H9" t="str">
            <v xml:space="preserve"> </v>
          </cell>
        </row>
        <row r="10">
          <cell r="A10" t="str">
            <v>1101-000</v>
          </cell>
          <cell r="B10" t="str">
            <v xml:space="preserve">CAJA </v>
          </cell>
          <cell r="C10">
            <v>3021.5</v>
          </cell>
          <cell r="D10" t="str">
            <v xml:space="preserve"> </v>
          </cell>
          <cell r="E10">
            <v>0</v>
          </cell>
          <cell r="F10">
            <v>900</v>
          </cell>
          <cell r="G10">
            <v>2121.5</v>
          </cell>
          <cell r="H10" t="str">
            <v xml:space="preserve"> </v>
          </cell>
        </row>
        <row r="11">
          <cell r="A11" t="str">
            <v>1101-001</v>
          </cell>
          <cell r="B11" t="str">
            <v>Fondo Fijo</v>
          </cell>
          <cell r="C11">
            <v>3021.5</v>
          </cell>
          <cell r="D11" t="str">
            <v xml:space="preserve"> </v>
          </cell>
          <cell r="E11">
            <v>0</v>
          </cell>
          <cell r="F11">
            <v>900</v>
          </cell>
          <cell r="G11">
            <v>2121.5</v>
          </cell>
          <cell r="H11" t="str">
            <v xml:space="preserve"> </v>
          </cell>
        </row>
        <row r="12">
          <cell r="A12" t="str">
            <v>1102-000</v>
          </cell>
          <cell r="B12" t="str">
            <v>BANCOS</v>
          </cell>
          <cell r="C12">
            <v>1181.69</v>
          </cell>
          <cell r="D12" t="str">
            <v xml:space="preserve"> </v>
          </cell>
          <cell r="E12">
            <v>1898648.5</v>
          </cell>
          <cell r="F12">
            <v>1891535.3</v>
          </cell>
          <cell r="G12">
            <v>8294.89</v>
          </cell>
          <cell r="H12" t="str">
            <v xml:space="preserve"> </v>
          </cell>
        </row>
        <row r="13">
          <cell r="A13" t="str">
            <v>1102-001</v>
          </cell>
          <cell r="B13" t="str">
            <v>Santander Cta: 92001131081</v>
          </cell>
          <cell r="C13">
            <v>1181.69</v>
          </cell>
          <cell r="D13" t="str">
            <v xml:space="preserve"> </v>
          </cell>
          <cell r="E13">
            <v>1898648.5</v>
          </cell>
          <cell r="F13">
            <v>1891535.3</v>
          </cell>
          <cell r="G13">
            <v>8294.89</v>
          </cell>
          <cell r="H13" t="str">
            <v xml:space="preserve"> </v>
          </cell>
        </row>
        <row r="14">
          <cell r="A14" t="str">
            <v>1103-000</v>
          </cell>
          <cell r="B14" t="str">
            <v>CLIENTES</v>
          </cell>
          <cell r="C14">
            <v>513147.5</v>
          </cell>
          <cell r="D14" t="str">
            <v xml:space="preserve"> </v>
          </cell>
          <cell r="E14">
            <v>1608298.5</v>
          </cell>
          <cell r="F14">
            <v>1748648.5</v>
          </cell>
          <cell r="G14">
            <v>372797.5</v>
          </cell>
          <cell r="H14" t="str">
            <v xml:space="preserve"> </v>
          </cell>
        </row>
        <row r="15">
          <cell r="A15" t="str">
            <v>1103-003</v>
          </cell>
          <cell r="B15" t="str">
            <v>Abastecedora Coemrcial de Parral S.A. de C.V.</v>
          </cell>
          <cell r="C15">
            <v>123750</v>
          </cell>
          <cell r="D15" t="str">
            <v xml:space="preserve"> </v>
          </cell>
          <cell r="E15">
            <v>62500</v>
          </cell>
          <cell r="F15">
            <v>186250</v>
          </cell>
          <cell r="G15">
            <v>0</v>
          </cell>
          <cell r="H15" t="str">
            <v xml:space="preserve"> </v>
          </cell>
        </row>
        <row r="16">
          <cell r="A16" t="str">
            <v>1103-007</v>
          </cell>
          <cell r="B16" t="str">
            <v>Distribuidora de Granos y Semillas Baca S.A. de C.</v>
          </cell>
          <cell r="C16">
            <v>50020</v>
          </cell>
          <cell r="D16" t="str">
            <v xml:space="preserve"> </v>
          </cell>
          <cell r="E16">
            <v>140512.5</v>
          </cell>
          <cell r="F16">
            <v>140512.5</v>
          </cell>
          <cell r="G16">
            <v>50020</v>
          </cell>
          <cell r="H16" t="str">
            <v xml:space="preserve"> </v>
          </cell>
        </row>
        <row r="17">
          <cell r="A17" t="str">
            <v>1103-008</v>
          </cell>
          <cell r="B17" t="str">
            <v>Alonso Pacheco Garcia</v>
          </cell>
          <cell r="C17">
            <v>0</v>
          </cell>
          <cell r="D17" t="str">
            <v xml:space="preserve"> </v>
          </cell>
          <cell r="E17">
            <v>36225</v>
          </cell>
          <cell r="F17">
            <v>36225</v>
          </cell>
          <cell r="G17">
            <v>0</v>
          </cell>
          <cell r="H17" t="str">
            <v xml:space="preserve"> </v>
          </cell>
        </row>
        <row r="18">
          <cell r="A18" t="str">
            <v>1103-011</v>
          </cell>
          <cell r="B18" t="str">
            <v>Gonzalo Gallegos Montes</v>
          </cell>
          <cell r="C18">
            <v>190251.5</v>
          </cell>
          <cell r="D18" t="str">
            <v xml:space="preserve"> </v>
          </cell>
          <cell r="E18">
            <v>634281</v>
          </cell>
          <cell r="F18">
            <v>634281</v>
          </cell>
          <cell r="G18">
            <v>190251.5</v>
          </cell>
          <cell r="H18" t="str">
            <v xml:space="preserve"> </v>
          </cell>
        </row>
        <row r="19">
          <cell r="A19" t="str">
            <v>1103-016</v>
          </cell>
          <cell r="B19" t="str">
            <v>Gloria Alicia Ramirez Hernandez</v>
          </cell>
          <cell r="C19">
            <v>13800</v>
          </cell>
          <cell r="D19" t="str">
            <v xml:space="preserve"> </v>
          </cell>
          <cell r="E19">
            <v>0</v>
          </cell>
          <cell r="F19">
            <v>12600</v>
          </cell>
          <cell r="G19">
            <v>1200</v>
          </cell>
          <cell r="H19" t="str">
            <v xml:space="preserve"> </v>
          </cell>
        </row>
        <row r="20">
          <cell r="A20" t="str">
            <v>1103-017</v>
          </cell>
          <cell r="B20" t="str">
            <v>Adrian Alberto Gaxiola Rosas</v>
          </cell>
          <cell r="C20">
            <v>4886</v>
          </cell>
          <cell r="D20" t="str">
            <v xml:space="preserve"> </v>
          </cell>
          <cell r="E20">
            <v>0</v>
          </cell>
          <cell r="F20">
            <v>4000</v>
          </cell>
          <cell r="G20">
            <v>886</v>
          </cell>
          <cell r="H20" t="str">
            <v xml:space="preserve"> </v>
          </cell>
        </row>
        <row r="21">
          <cell r="A21" t="str">
            <v>1103-027</v>
          </cell>
          <cell r="B21" t="str">
            <v>Abel Baca Martinez</v>
          </cell>
          <cell r="C21">
            <v>0</v>
          </cell>
          <cell r="D21" t="str">
            <v xml:space="preserve"> </v>
          </cell>
          <cell r="E21">
            <v>734780</v>
          </cell>
          <cell r="F21">
            <v>734780</v>
          </cell>
          <cell r="G21">
            <v>0</v>
          </cell>
          <cell r="H21" t="str">
            <v xml:space="preserve"> </v>
          </cell>
        </row>
        <row r="22">
          <cell r="A22" t="str">
            <v>1104-000</v>
          </cell>
          <cell r="B22" t="str">
            <v>DEUDORES DIVERSOS</v>
          </cell>
          <cell r="C22">
            <v>50999.360000000001</v>
          </cell>
          <cell r="D22" t="str">
            <v xml:space="preserve"> </v>
          </cell>
          <cell r="E22">
            <v>0</v>
          </cell>
          <cell r="F22">
            <v>16802.98</v>
          </cell>
          <cell r="G22">
            <v>34196.379999999997</v>
          </cell>
          <cell r="H22" t="str">
            <v xml:space="preserve"> </v>
          </cell>
        </row>
        <row r="23">
          <cell r="A23" t="str">
            <v>1104-001</v>
          </cell>
          <cell r="B23" t="str">
            <v>Veronica Prieto Medrano</v>
          </cell>
          <cell r="C23">
            <v>50999.360000000001</v>
          </cell>
          <cell r="D23" t="str">
            <v xml:space="preserve"> </v>
          </cell>
          <cell r="E23">
            <v>0</v>
          </cell>
          <cell r="F23">
            <v>16802.98</v>
          </cell>
          <cell r="G23">
            <v>34196.379999999997</v>
          </cell>
          <cell r="H23" t="str">
            <v xml:space="preserve"> </v>
          </cell>
        </row>
        <row r="24">
          <cell r="A24" t="str">
            <v>1105-000</v>
          </cell>
          <cell r="B24" t="str">
            <v>IVA ACREDITABLE</v>
          </cell>
          <cell r="C24">
            <v>44725.07</v>
          </cell>
          <cell r="D24" t="str">
            <v xml:space="preserve"> </v>
          </cell>
          <cell r="E24">
            <v>9885.43</v>
          </cell>
          <cell r="F24">
            <v>0</v>
          </cell>
          <cell r="G24">
            <v>54610.5</v>
          </cell>
          <cell r="H24" t="str">
            <v xml:space="preserve"> </v>
          </cell>
        </row>
        <row r="25">
          <cell r="A25" t="str">
            <v>1105-001</v>
          </cell>
          <cell r="B25" t="str">
            <v>Iva Acreditable Pend. de Pago</v>
          </cell>
          <cell r="C25">
            <v>10071.32</v>
          </cell>
          <cell r="D25" t="str">
            <v xml:space="preserve"> </v>
          </cell>
          <cell r="E25">
            <v>6509.22</v>
          </cell>
          <cell r="F25">
            <v>0</v>
          </cell>
          <cell r="G25">
            <v>16580.54</v>
          </cell>
          <cell r="H25" t="str">
            <v xml:space="preserve"> </v>
          </cell>
        </row>
        <row r="26">
          <cell r="A26" t="str">
            <v>1105-002</v>
          </cell>
          <cell r="B26" t="str">
            <v>Iva  Acreditable Efect. Pagado</v>
          </cell>
          <cell r="C26">
            <v>34653.75</v>
          </cell>
          <cell r="D26" t="str">
            <v xml:space="preserve"> </v>
          </cell>
          <cell r="E26">
            <v>3376.21</v>
          </cell>
          <cell r="F26">
            <v>0</v>
          </cell>
          <cell r="G26">
            <v>38029.96</v>
          </cell>
          <cell r="H26" t="str">
            <v xml:space="preserve"> </v>
          </cell>
        </row>
        <row r="27">
          <cell r="A27" t="str">
            <v>1107-000</v>
          </cell>
          <cell r="B27" t="str">
            <v>ANTICIPO A PROVEEDORES</v>
          </cell>
          <cell r="C27">
            <v>622306.05000000005</v>
          </cell>
          <cell r="D27" t="str">
            <v xml:space="preserve"> </v>
          </cell>
          <cell r="E27">
            <v>620000</v>
          </cell>
          <cell r="F27">
            <v>1167306.05</v>
          </cell>
          <cell r="G27">
            <v>75000</v>
          </cell>
          <cell r="H27" t="str">
            <v xml:space="preserve"> </v>
          </cell>
        </row>
        <row r="28">
          <cell r="A28" t="str">
            <v>1107-023</v>
          </cell>
          <cell r="B28" t="str">
            <v>Servicio Perisur Del Real SA DE CV</v>
          </cell>
          <cell r="C28">
            <v>2186.0500000000002</v>
          </cell>
          <cell r="D28" t="str">
            <v xml:space="preserve"> </v>
          </cell>
          <cell r="E28">
            <v>0</v>
          </cell>
          <cell r="F28">
            <v>2186.0500000000002</v>
          </cell>
          <cell r="G28">
            <v>0</v>
          </cell>
          <cell r="H28" t="str">
            <v xml:space="preserve"> </v>
          </cell>
        </row>
        <row r="29">
          <cell r="A29" t="str">
            <v>1107-035</v>
          </cell>
          <cell r="B29" t="str">
            <v>Luis Antoinio Chavez Villagran</v>
          </cell>
          <cell r="C29">
            <v>2000</v>
          </cell>
          <cell r="D29" t="str">
            <v xml:space="preserve"> </v>
          </cell>
          <cell r="E29">
            <v>95000</v>
          </cell>
          <cell r="F29">
            <v>97000</v>
          </cell>
          <cell r="G29">
            <v>0</v>
          </cell>
          <cell r="H29" t="str">
            <v xml:space="preserve"> </v>
          </cell>
        </row>
        <row r="30">
          <cell r="A30" t="str">
            <v>1107-036</v>
          </cell>
          <cell r="B30" t="str">
            <v>Enrique Armando Rodriguez Aguilar</v>
          </cell>
          <cell r="C30">
            <v>150000</v>
          </cell>
          <cell r="D30" t="str">
            <v xml:space="preserve"> </v>
          </cell>
          <cell r="E30">
            <v>100000</v>
          </cell>
          <cell r="F30">
            <v>250000</v>
          </cell>
          <cell r="G30">
            <v>0</v>
          </cell>
          <cell r="H30" t="str">
            <v xml:space="preserve"> </v>
          </cell>
        </row>
        <row r="31">
          <cell r="A31" t="str">
            <v>1107-037</v>
          </cell>
          <cell r="B31" t="str">
            <v>Sergio Ramirez Zubia</v>
          </cell>
          <cell r="C31">
            <v>200000</v>
          </cell>
          <cell r="D31" t="str">
            <v xml:space="preserve"> </v>
          </cell>
          <cell r="E31">
            <v>0</v>
          </cell>
          <cell r="F31">
            <v>200000</v>
          </cell>
          <cell r="G31">
            <v>0</v>
          </cell>
          <cell r="H31" t="str">
            <v xml:space="preserve"> </v>
          </cell>
        </row>
        <row r="32">
          <cell r="A32" t="str">
            <v>1107-043</v>
          </cell>
          <cell r="B32" t="str">
            <v>Benni Zacharias Hildebrand</v>
          </cell>
          <cell r="C32">
            <v>0</v>
          </cell>
          <cell r="D32" t="str">
            <v xml:space="preserve"> </v>
          </cell>
          <cell r="E32">
            <v>100000</v>
          </cell>
          <cell r="F32">
            <v>100000</v>
          </cell>
          <cell r="G32">
            <v>0</v>
          </cell>
          <cell r="H32" t="str">
            <v xml:space="preserve"> </v>
          </cell>
        </row>
        <row r="33">
          <cell r="A33" t="str">
            <v>1107-044</v>
          </cell>
          <cell r="B33" t="str">
            <v>Bernhard Rempel Blatz</v>
          </cell>
          <cell r="C33">
            <v>268120</v>
          </cell>
          <cell r="D33" t="str">
            <v xml:space="preserve"> </v>
          </cell>
          <cell r="E33">
            <v>250000</v>
          </cell>
          <cell r="F33">
            <v>518120</v>
          </cell>
          <cell r="G33">
            <v>0</v>
          </cell>
          <cell r="H33" t="str">
            <v xml:space="preserve"> </v>
          </cell>
        </row>
        <row r="34">
          <cell r="A34" t="str">
            <v>1107-049</v>
          </cell>
          <cell r="B34" t="str">
            <v>Olegario Venitez Araujo</v>
          </cell>
          <cell r="C34">
            <v>0</v>
          </cell>
          <cell r="D34" t="str">
            <v xml:space="preserve"> </v>
          </cell>
          <cell r="E34">
            <v>75000</v>
          </cell>
          <cell r="F34">
            <v>0</v>
          </cell>
          <cell r="G34">
            <v>75000</v>
          </cell>
          <cell r="H34" t="str">
            <v xml:space="preserve"> </v>
          </cell>
        </row>
        <row r="35">
          <cell r="A35" t="str">
            <v>1108-000</v>
          </cell>
          <cell r="B35" t="str">
            <v>SUBSIDIO AL EMPLEO</v>
          </cell>
          <cell r="C35">
            <v>1683.58</v>
          </cell>
          <cell r="D35" t="str">
            <v xml:space="preserve"> </v>
          </cell>
          <cell r="E35">
            <v>522.88</v>
          </cell>
          <cell r="F35">
            <v>0</v>
          </cell>
          <cell r="G35">
            <v>2206.46</v>
          </cell>
          <cell r="H35" t="str">
            <v xml:space="preserve"> </v>
          </cell>
        </row>
        <row r="36">
          <cell r="A36" t="str">
            <v>2000-000</v>
          </cell>
          <cell r="B36" t="str">
            <v>PASIVO</v>
          </cell>
          <cell r="C36" t="str">
            <v xml:space="preserve"> </v>
          </cell>
          <cell r="D36">
            <v>2192292.9300000002</v>
          </cell>
          <cell r="E36">
            <v>934834.39</v>
          </cell>
          <cell r="F36">
            <v>1236934.29</v>
          </cell>
          <cell r="G36" t="str">
            <v xml:space="preserve"> </v>
          </cell>
          <cell r="H36">
            <v>2494392.83</v>
          </cell>
        </row>
        <row r="37">
          <cell r="A37" t="str">
            <v>2100-000</v>
          </cell>
          <cell r="B37" t="str">
            <v>PASIVO A CORTO PLAZO</v>
          </cell>
          <cell r="C37" t="str">
            <v xml:space="preserve"> </v>
          </cell>
          <cell r="D37">
            <v>2192292.9300000002</v>
          </cell>
          <cell r="E37">
            <v>934834.39</v>
          </cell>
          <cell r="F37">
            <v>1236934.29</v>
          </cell>
          <cell r="G37" t="str">
            <v xml:space="preserve"> </v>
          </cell>
          <cell r="H37">
            <v>2494392.83</v>
          </cell>
        </row>
        <row r="38">
          <cell r="A38" t="str">
            <v>2101-000</v>
          </cell>
          <cell r="B38" t="str">
            <v>PROVEEDORES</v>
          </cell>
          <cell r="C38" t="str">
            <v xml:space="preserve"> </v>
          </cell>
          <cell r="D38">
            <v>2087120.93</v>
          </cell>
          <cell r="E38">
            <v>934726.29</v>
          </cell>
          <cell r="F38">
            <v>1031100.5</v>
          </cell>
          <cell r="G38" t="str">
            <v xml:space="preserve"> </v>
          </cell>
          <cell r="H38">
            <v>2183495.14</v>
          </cell>
        </row>
        <row r="39">
          <cell r="A39" t="str">
            <v>2101-024</v>
          </cell>
          <cell r="B39" t="str">
            <v>Gerhard Rempel Wall</v>
          </cell>
          <cell r="C39" t="str">
            <v xml:space="preserve"> </v>
          </cell>
          <cell r="D39">
            <v>214084</v>
          </cell>
          <cell r="E39">
            <v>189024</v>
          </cell>
          <cell r="F39">
            <v>0</v>
          </cell>
          <cell r="G39" t="str">
            <v xml:space="preserve"> </v>
          </cell>
          <cell r="H39">
            <v>25060</v>
          </cell>
        </row>
        <row r="40">
          <cell r="A40" t="str">
            <v>2101-025</v>
          </cell>
          <cell r="B40" t="str">
            <v>Benni Zacharias Hildebrand</v>
          </cell>
          <cell r="C40" t="str">
            <v xml:space="preserve"> </v>
          </cell>
          <cell r="D40">
            <v>0</v>
          </cell>
          <cell r="E40">
            <v>0</v>
          </cell>
          <cell r="F40">
            <v>3065.5</v>
          </cell>
          <cell r="G40" t="str">
            <v xml:space="preserve"> </v>
          </cell>
          <cell r="H40">
            <v>3065.5</v>
          </cell>
        </row>
        <row r="41">
          <cell r="A41" t="str">
            <v>2101-026</v>
          </cell>
          <cell r="B41" t="str">
            <v>Bernhard Rempel Blatz</v>
          </cell>
          <cell r="C41" t="str">
            <v xml:space="preserve"> </v>
          </cell>
          <cell r="D41">
            <v>0</v>
          </cell>
          <cell r="E41">
            <v>208000</v>
          </cell>
          <cell r="F41">
            <v>214912</v>
          </cell>
          <cell r="G41" t="str">
            <v xml:space="preserve"> </v>
          </cell>
          <cell r="H41">
            <v>6912</v>
          </cell>
        </row>
        <row r="42">
          <cell r="A42" t="str">
            <v>2101-030</v>
          </cell>
          <cell r="B42" t="str">
            <v>Eduwiges Rodriguez Anaya</v>
          </cell>
          <cell r="C42" t="str">
            <v xml:space="preserve"> </v>
          </cell>
          <cell r="D42">
            <v>0</v>
          </cell>
          <cell r="E42">
            <v>185000</v>
          </cell>
          <cell r="F42">
            <v>185000</v>
          </cell>
          <cell r="G42" t="str">
            <v xml:space="preserve"> </v>
          </cell>
          <cell r="H42">
            <v>0</v>
          </cell>
        </row>
        <row r="43">
          <cell r="A43" t="str">
            <v>2101-032</v>
          </cell>
          <cell r="B43" t="str">
            <v>Luis Antonio Chavez Villagran</v>
          </cell>
          <cell r="C43" t="str">
            <v xml:space="preserve"> </v>
          </cell>
          <cell r="D43">
            <v>0</v>
          </cell>
          <cell r="E43">
            <v>900</v>
          </cell>
          <cell r="F43">
            <v>900</v>
          </cell>
          <cell r="G43" t="str">
            <v xml:space="preserve"> </v>
          </cell>
          <cell r="H43">
            <v>0</v>
          </cell>
        </row>
        <row r="44">
          <cell r="A44" t="str">
            <v>2101-039</v>
          </cell>
          <cell r="B44" t="str">
            <v>Catarina Fher Wiebe</v>
          </cell>
          <cell r="C44" t="str">
            <v xml:space="preserve"> </v>
          </cell>
          <cell r="D44">
            <v>384552</v>
          </cell>
          <cell r="E44">
            <v>351802.29</v>
          </cell>
          <cell r="F44">
            <v>0</v>
          </cell>
          <cell r="G44" t="str">
            <v xml:space="preserve"> </v>
          </cell>
          <cell r="H44">
            <v>32749.71</v>
          </cell>
        </row>
        <row r="45">
          <cell r="A45" t="str">
            <v>2101-086</v>
          </cell>
          <cell r="B45" t="str">
            <v>Valente Varela Fierro</v>
          </cell>
          <cell r="C45" t="str">
            <v xml:space="preserve"> </v>
          </cell>
          <cell r="D45">
            <v>0</v>
          </cell>
          <cell r="E45">
            <v>0</v>
          </cell>
          <cell r="F45">
            <v>627223</v>
          </cell>
          <cell r="G45" t="str">
            <v xml:space="preserve"> </v>
          </cell>
          <cell r="H45">
            <v>627223</v>
          </cell>
        </row>
        <row r="46">
          <cell r="A46" t="str">
            <v>2102-000</v>
          </cell>
          <cell r="B46" t="str">
            <v>ACREEDORES DIVERSOS</v>
          </cell>
          <cell r="C46" t="str">
            <v xml:space="preserve"> </v>
          </cell>
          <cell r="D46">
            <v>95342.26</v>
          </cell>
          <cell r="E46">
            <v>0</v>
          </cell>
          <cell r="F46">
            <v>55123.31</v>
          </cell>
          <cell r="G46" t="str">
            <v xml:space="preserve"> </v>
          </cell>
          <cell r="H46">
            <v>150465.57</v>
          </cell>
        </row>
        <row r="47">
          <cell r="A47" t="str">
            <v>2102-047</v>
          </cell>
          <cell r="B47" t="str">
            <v>Agencia Llantera S.A. de C.V.</v>
          </cell>
          <cell r="C47" t="str">
            <v xml:space="preserve"> </v>
          </cell>
          <cell r="D47">
            <v>18730.900000000001</v>
          </cell>
          <cell r="E47">
            <v>0</v>
          </cell>
          <cell r="F47">
            <v>13952.74</v>
          </cell>
          <cell r="G47" t="str">
            <v xml:space="preserve"> </v>
          </cell>
          <cell r="H47">
            <v>32683.64</v>
          </cell>
        </row>
        <row r="48">
          <cell r="A48" t="str">
            <v>2102-068</v>
          </cell>
          <cell r="B48" t="str">
            <v xml:space="preserve">Frenos  Clutch Servicio S.A. de C.V. </v>
          </cell>
          <cell r="C48" t="str">
            <v xml:space="preserve"> </v>
          </cell>
          <cell r="D48">
            <v>0</v>
          </cell>
          <cell r="E48">
            <v>0</v>
          </cell>
          <cell r="F48">
            <v>7501.45</v>
          </cell>
          <cell r="G48" t="str">
            <v xml:space="preserve"> </v>
          </cell>
          <cell r="H48">
            <v>7501.45</v>
          </cell>
        </row>
        <row r="49">
          <cell r="A49" t="str">
            <v>2102-070</v>
          </cell>
          <cell r="B49" t="str">
            <v>Cesar H. Rodriguez Jacobo</v>
          </cell>
          <cell r="C49" t="str">
            <v xml:space="preserve"> </v>
          </cell>
          <cell r="D49">
            <v>0</v>
          </cell>
          <cell r="E49">
            <v>0</v>
          </cell>
          <cell r="F49">
            <v>17316</v>
          </cell>
          <cell r="G49" t="str">
            <v xml:space="preserve"> </v>
          </cell>
          <cell r="H49">
            <v>17316</v>
          </cell>
        </row>
        <row r="50">
          <cell r="A50" t="str">
            <v>2102-172</v>
          </cell>
          <cell r="B50" t="str">
            <v>Sueldos por Pagar</v>
          </cell>
          <cell r="C50" t="str">
            <v xml:space="preserve"> </v>
          </cell>
          <cell r="D50">
            <v>17426.599999999999</v>
          </cell>
          <cell r="E50">
            <v>0</v>
          </cell>
          <cell r="F50">
            <v>5843.12</v>
          </cell>
          <cell r="G50" t="str">
            <v xml:space="preserve"> </v>
          </cell>
          <cell r="H50">
            <v>23269.72</v>
          </cell>
        </row>
        <row r="51">
          <cell r="A51" t="str">
            <v>2102-176</v>
          </cell>
          <cell r="B51" t="str">
            <v>Ramon Fernando Fernandez Lara</v>
          </cell>
          <cell r="C51" t="str">
            <v xml:space="preserve"> </v>
          </cell>
          <cell r="D51">
            <v>0</v>
          </cell>
          <cell r="E51">
            <v>0</v>
          </cell>
          <cell r="F51">
            <v>10510</v>
          </cell>
          <cell r="G51" t="str">
            <v xml:space="preserve"> </v>
          </cell>
          <cell r="H51">
            <v>10510</v>
          </cell>
        </row>
        <row r="52">
          <cell r="A52" t="str">
            <v>2103-000</v>
          </cell>
          <cell r="B52" t="str">
            <v>IMPUESTOS POR PAGAR</v>
          </cell>
          <cell r="C52" t="str">
            <v xml:space="preserve"> </v>
          </cell>
          <cell r="D52">
            <v>9829.74</v>
          </cell>
          <cell r="E52">
            <v>108.1</v>
          </cell>
          <cell r="F52">
            <v>710.48</v>
          </cell>
          <cell r="G52" t="str">
            <v xml:space="preserve"> </v>
          </cell>
          <cell r="H52">
            <v>10432.120000000001</v>
          </cell>
        </row>
        <row r="53">
          <cell r="A53" t="str">
            <v>2103-003</v>
          </cell>
          <cell r="B53" t="str">
            <v>Retencion 4% Fletes</v>
          </cell>
          <cell r="C53" t="str">
            <v xml:space="preserve"> </v>
          </cell>
          <cell r="D53">
            <v>635.16</v>
          </cell>
          <cell r="E53">
            <v>0</v>
          </cell>
          <cell r="F53">
            <v>624</v>
          </cell>
          <cell r="G53" t="str">
            <v xml:space="preserve"> </v>
          </cell>
          <cell r="H53">
            <v>1259.1600000000001</v>
          </cell>
        </row>
        <row r="54">
          <cell r="A54" t="str">
            <v>2103-004</v>
          </cell>
          <cell r="B54" t="str">
            <v>IMSS</v>
          </cell>
          <cell r="C54" t="str">
            <v xml:space="preserve"> </v>
          </cell>
          <cell r="D54">
            <v>194.58</v>
          </cell>
          <cell r="E54">
            <v>108.1</v>
          </cell>
          <cell r="F54">
            <v>86.48</v>
          </cell>
          <cell r="G54" t="str">
            <v xml:space="preserve"> </v>
          </cell>
          <cell r="H54">
            <v>172.96</v>
          </cell>
        </row>
        <row r="55">
          <cell r="A55" t="str">
            <v>2105-000</v>
          </cell>
          <cell r="B55" t="str">
            <v>ANTICIPO DE CLIENTES</v>
          </cell>
          <cell r="C55" t="str">
            <v xml:space="preserve"> </v>
          </cell>
          <cell r="D55">
            <v>0</v>
          </cell>
          <cell r="E55">
            <v>0</v>
          </cell>
          <cell r="F55">
            <v>150000</v>
          </cell>
          <cell r="G55" t="str">
            <v xml:space="preserve"> </v>
          </cell>
          <cell r="H55">
            <v>150000</v>
          </cell>
        </row>
        <row r="56">
          <cell r="A56" t="str">
            <v>2105-001</v>
          </cell>
          <cell r="B56" t="str">
            <v>Gonzalo Gallegos Montes</v>
          </cell>
          <cell r="C56" t="str">
            <v xml:space="preserve"> </v>
          </cell>
          <cell r="D56">
            <v>0</v>
          </cell>
          <cell r="E56">
            <v>0</v>
          </cell>
          <cell r="F56">
            <v>150000</v>
          </cell>
          <cell r="G56" t="str">
            <v xml:space="preserve"> </v>
          </cell>
          <cell r="H56">
            <v>150000</v>
          </cell>
        </row>
        <row r="57">
          <cell r="A57" t="str">
            <v>4000-000</v>
          </cell>
          <cell r="B57" t="str">
            <v>INGRESOS</v>
          </cell>
          <cell r="C57" t="str">
            <v xml:space="preserve"> </v>
          </cell>
          <cell r="D57">
            <v>9138138.9399999995</v>
          </cell>
          <cell r="E57">
            <v>0</v>
          </cell>
          <cell r="F57">
            <v>1608298.78</v>
          </cell>
          <cell r="G57" t="str">
            <v xml:space="preserve"> </v>
          </cell>
          <cell r="H57">
            <v>10746437.720000001</v>
          </cell>
        </row>
        <row r="58">
          <cell r="A58" t="str">
            <v>4100-000</v>
          </cell>
          <cell r="B58" t="str">
            <v>VENTAS</v>
          </cell>
          <cell r="C58" t="str">
            <v xml:space="preserve"> </v>
          </cell>
          <cell r="D58">
            <v>9114449.5</v>
          </cell>
          <cell r="E58">
            <v>0</v>
          </cell>
          <cell r="F58">
            <v>1608298.5</v>
          </cell>
          <cell r="G58" t="str">
            <v xml:space="preserve"> </v>
          </cell>
          <cell r="H58">
            <v>10722748</v>
          </cell>
        </row>
        <row r="59">
          <cell r="A59" t="str">
            <v>4100-001</v>
          </cell>
          <cell r="B59" t="str">
            <v>Venta de Frijol</v>
          </cell>
          <cell r="C59" t="str">
            <v xml:space="preserve"> </v>
          </cell>
          <cell r="D59">
            <v>8067234.5</v>
          </cell>
          <cell r="E59">
            <v>0</v>
          </cell>
          <cell r="F59">
            <v>1338298.5</v>
          </cell>
          <cell r="G59" t="str">
            <v xml:space="preserve"> </v>
          </cell>
          <cell r="H59">
            <v>9405533</v>
          </cell>
        </row>
        <row r="60">
          <cell r="A60" t="str">
            <v>4100-002</v>
          </cell>
          <cell r="B60" t="str">
            <v>Venta de Maiz</v>
          </cell>
          <cell r="C60" t="str">
            <v xml:space="preserve"> </v>
          </cell>
          <cell r="D60">
            <v>1047215</v>
          </cell>
          <cell r="E60">
            <v>0</v>
          </cell>
          <cell r="F60">
            <v>270000</v>
          </cell>
          <cell r="G60" t="str">
            <v xml:space="preserve"> </v>
          </cell>
          <cell r="H60">
            <v>1317215</v>
          </cell>
        </row>
        <row r="61">
          <cell r="A61" t="str">
            <v>4300-000</v>
          </cell>
          <cell r="B61" t="str">
            <v>OTROS PRODUCTOS</v>
          </cell>
          <cell r="C61" t="str">
            <v xml:space="preserve"> </v>
          </cell>
          <cell r="D61">
            <v>3.44</v>
          </cell>
          <cell r="E61">
            <v>0</v>
          </cell>
          <cell r="F61">
            <v>0.28000000000000003</v>
          </cell>
          <cell r="G61" t="str">
            <v xml:space="preserve"> </v>
          </cell>
          <cell r="H61">
            <v>3.72</v>
          </cell>
        </row>
        <row r="62">
          <cell r="A62" t="str">
            <v>4300-001</v>
          </cell>
          <cell r="B62" t="str">
            <v>Ganancia por redondeo</v>
          </cell>
          <cell r="C62" t="str">
            <v xml:space="preserve"> </v>
          </cell>
          <cell r="D62">
            <v>3.44</v>
          </cell>
          <cell r="E62">
            <v>0</v>
          </cell>
          <cell r="F62">
            <v>0.28000000000000003</v>
          </cell>
          <cell r="G62" t="str">
            <v xml:space="preserve"> </v>
          </cell>
          <cell r="H62">
            <v>3.72</v>
          </cell>
        </row>
        <row r="63">
          <cell r="A63" t="str">
            <v>5000-000</v>
          </cell>
          <cell r="B63" t="str">
            <v>EGRESOS</v>
          </cell>
          <cell r="C63">
            <v>10309718.6</v>
          </cell>
          <cell r="D63" t="str">
            <v xml:space="preserve"> </v>
          </cell>
          <cell r="E63">
            <v>2598236.2000000002</v>
          </cell>
          <cell r="F63">
            <v>0</v>
          </cell>
          <cell r="G63">
            <v>12907954.800000001</v>
          </cell>
          <cell r="H63" t="str">
            <v xml:space="preserve"> </v>
          </cell>
        </row>
        <row r="64">
          <cell r="A64" t="str">
            <v>5100-000</v>
          </cell>
          <cell r="B64" t="str">
            <v>COMPRAS</v>
          </cell>
          <cell r="C64">
            <v>10090741.380000001</v>
          </cell>
          <cell r="D64" t="str">
            <v xml:space="preserve"> </v>
          </cell>
          <cell r="E64">
            <v>2508020.5</v>
          </cell>
          <cell r="F64">
            <v>0</v>
          </cell>
          <cell r="G64">
            <v>12598761.880000001</v>
          </cell>
          <cell r="H64" t="str">
            <v xml:space="preserve"> </v>
          </cell>
        </row>
        <row r="65">
          <cell r="A65" t="str">
            <v>5100-001</v>
          </cell>
          <cell r="B65" t="str">
            <v>Compra de Maiz</v>
          </cell>
          <cell r="C65">
            <v>950993.6</v>
          </cell>
          <cell r="D65" t="str">
            <v xml:space="preserve"> </v>
          </cell>
          <cell r="E65">
            <v>97900</v>
          </cell>
          <cell r="F65">
            <v>0</v>
          </cell>
          <cell r="G65">
            <v>1048893.6000000001</v>
          </cell>
          <cell r="H65" t="str">
            <v xml:space="preserve"> </v>
          </cell>
        </row>
        <row r="66">
          <cell r="A66" t="str">
            <v>5100-002</v>
          </cell>
          <cell r="B66" t="str">
            <v>Compra de Frijol</v>
          </cell>
          <cell r="C66">
            <v>9112747.7799999993</v>
          </cell>
          <cell r="D66" t="str">
            <v xml:space="preserve"> </v>
          </cell>
          <cell r="E66">
            <v>2410120.5</v>
          </cell>
          <cell r="F66">
            <v>0</v>
          </cell>
          <cell r="G66">
            <v>11522868.279999999</v>
          </cell>
          <cell r="H66" t="str">
            <v xml:space="preserve"> </v>
          </cell>
        </row>
        <row r="67">
          <cell r="A67" t="str">
            <v>5200-000</v>
          </cell>
          <cell r="B67" t="str">
            <v>GASTOS GENERALES</v>
          </cell>
          <cell r="C67">
            <v>202125.19</v>
          </cell>
          <cell r="D67" t="str">
            <v xml:space="preserve"> </v>
          </cell>
          <cell r="E67">
            <v>73820.08</v>
          </cell>
          <cell r="F67">
            <v>0</v>
          </cell>
          <cell r="G67">
            <v>275945.27</v>
          </cell>
          <cell r="H67" t="str">
            <v xml:space="preserve"> </v>
          </cell>
        </row>
        <row r="68">
          <cell r="A68" t="str">
            <v>5200-100</v>
          </cell>
          <cell r="B68" t="str">
            <v>PERSONAL</v>
          </cell>
          <cell r="C68">
            <v>17019.66</v>
          </cell>
          <cell r="D68" t="str">
            <v xml:space="preserve"> </v>
          </cell>
          <cell r="E68">
            <v>6320.48</v>
          </cell>
          <cell r="F68">
            <v>0</v>
          </cell>
          <cell r="G68">
            <v>23340.14</v>
          </cell>
          <cell r="H68" t="str">
            <v xml:space="preserve"> </v>
          </cell>
        </row>
        <row r="69">
          <cell r="A69" t="str">
            <v>5200-101</v>
          </cell>
          <cell r="B69" t="str">
            <v>Cuotas Patronales Imss</v>
          </cell>
          <cell r="C69">
            <v>663.67</v>
          </cell>
          <cell r="D69" t="str">
            <v xml:space="preserve"> </v>
          </cell>
          <cell r="E69">
            <v>913.84</v>
          </cell>
          <cell r="F69">
            <v>0</v>
          </cell>
          <cell r="G69">
            <v>1577.51</v>
          </cell>
          <cell r="H69" t="str">
            <v xml:space="preserve"> </v>
          </cell>
        </row>
        <row r="70">
          <cell r="A70" t="str">
            <v>5200-103</v>
          </cell>
          <cell r="B70" t="str">
            <v>Sueldos y Salarios</v>
          </cell>
          <cell r="C70">
            <v>10134.780000000001</v>
          </cell>
          <cell r="D70" t="str">
            <v xml:space="preserve"> </v>
          </cell>
          <cell r="E70">
            <v>3482.64</v>
          </cell>
          <cell r="F70">
            <v>0</v>
          </cell>
          <cell r="G70">
            <v>13617.42</v>
          </cell>
          <cell r="H70" t="str">
            <v xml:space="preserve"> </v>
          </cell>
        </row>
        <row r="71">
          <cell r="A71" t="str">
            <v>5200-104</v>
          </cell>
          <cell r="B71" t="str">
            <v>Bono de Puntualidad</v>
          </cell>
          <cell r="C71">
            <v>1013.41</v>
          </cell>
          <cell r="D71" t="str">
            <v xml:space="preserve"> </v>
          </cell>
          <cell r="E71">
            <v>348.24</v>
          </cell>
          <cell r="F71">
            <v>0</v>
          </cell>
          <cell r="G71">
            <v>1361.65</v>
          </cell>
          <cell r="H71" t="str">
            <v xml:space="preserve"> </v>
          </cell>
        </row>
        <row r="72">
          <cell r="A72" t="str">
            <v>5200-105</v>
          </cell>
          <cell r="B72" t="str">
            <v>Bono de Asistencia</v>
          </cell>
          <cell r="C72">
            <v>1013.41</v>
          </cell>
          <cell r="D72" t="str">
            <v xml:space="preserve"> </v>
          </cell>
          <cell r="E72">
            <v>348.24</v>
          </cell>
          <cell r="F72">
            <v>0</v>
          </cell>
          <cell r="G72">
            <v>1361.65</v>
          </cell>
          <cell r="H72" t="str">
            <v xml:space="preserve"> </v>
          </cell>
        </row>
        <row r="73">
          <cell r="A73" t="str">
            <v>5200-106</v>
          </cell>
          <cell r="B73" t="str">
            <v>Despensa</v>
          </cell>
          <cell r="C73">
            <v>3836</v>
          </cell>
          <cell r="D73" t="str">
            <v xml:space="preserve"> </v>
          </cell>
          <cell r="E73">
            <v>1227.52</v>
          </cell>
          <cell r="F73">
            <v>0</v>
          </cell>
          <cell r="G73">
            <v>5063.5200000000004</v>
          </cell>
          <cell r="H73" t="str">
            <v xml:space="preserve"> </v>
          </cell>
        </row>
        <row r="74">
          <cell r="A74" t="str">
            <v>5200-200</v>
          </cell>
          <cell r="B74" t="str">
            <v>SERVICIOS</v>
          </cell>
          <cell r="C74">
            <v>26005.78</v>
          </cell>
          <cell r="D74" t="str">
            <v xml:space="preserve"> </v>
          </cell>
          <cell r="E74">
            <v>21133.71</v>
          </cell>
          <cell r="F74">
            <v>0</v>
          </cell>
          <cell r="G74">
            <v>47139.49</v>
          </cell>
          <cell r="H74" t="str">
            <v xml:space="preserve"> </v>
          </cell>
        </row>
        <row r="75">
          <cell r="A75" t="str">
            <v>5200-207</v>
          </cell>
          <cell r="B75" t="str">
            <v>Combustibles y Lubricantes</v>
          </cell>
          <cell r="C75">
            <v>0</v>
          </cell>
          <cell r="D75" t="str">
            <v xml:space="preserve"> </v>
          </cell>
          <cell r="E75">
            <v>3609.36</v>
          </cell>
          <cell r="F75">
            <v>0</v>
          </cell>
          <cell r="G75">
            <v>3609.36</v>
          </cell>
          <cell r="H75" t="str">
            <v xml:space="preserve"> </v>
          </cell>
        </row>
        <row r="76">
          <cell r="A76" t="str">
            <v>5200-211</v>
          </cell>
          <cell r="B76" t="str">
            <v>Otros Impuestos y Derechos Estatales</v>
          </cell>
          <cell r="C76">
            <v>66.5</v>
          </cell>
          <cell r="D76" t="str">
            <v xml:space="preserve"> </v>
          </cell>
          <cell r="E76">
            <v>36</v>
          </cell>
          <cell r="F76">
            <v>0</v>
          </cell>
          <cell r="G76">
            <v>102.5</v>
          </cell>
          <cell r="H76" t="str">
            <v xml:space="preserve"> </v>
          </cell>
        </row>
        <row r="77">
          <cell r="A77" t="str">
            <v>5200-212</v>
          </cell>
          <cell r="B77" t="str">
            <v>Fletes y Acarreos</v>
          </cell>
          <cell r="C77">
            <v>24038.55</v>
          </cell>
          <cell r="D77" t="str">
            <v xml:space="preserve"> </v>
          </cell>
          <cell r="E77">
            <v>15600</v>
          </cell>
          <cell r="F77">
            <v>0</v>
          </cell>
          <cell r="G77">
            <v>39638.550000000003</v>
          </cell>
          <cell r="H77" t="str">
            <v xml:space="preserve"> </v>
          </cell>
        </row>
        <row r="78">
          <cell r="A78" t="str">
            <v>5200-214</v>
          </cell>
          <cell r="B78" t="str">
            <v>Gastos Varios</v>
          </cell>
          <cell r="C78">
            <v>1214.4000000000001</v>
          </cell>
          <cell r="D78" t="str">
            <v xml:space="preserve"> </v>
          </cell>
          <cell r="E78">
            <v>1284.3499999999999</v>
          </cell>
          <cell r="F78">
            <v>0</v>
          </cell>
          <cell r="G78">
            <v>2498.75</v>
          </cell>
          <cell r="H78" t="str">
            <v xml:space="preserve"> </v>
          </cell>
        </row>
        <row r="79">
          <cell r="A79" t="str">
            <v>5200-215</v>
          </cell>
          <cell r="B79" t="str">
            <v>Multas y Recargos</v>
          </cell>
          <cell r="C79">
            <v>0</v>
          </cell>
          <cell r="D79" t="str">
            <v xml:space="preserve"> </v>
          </cell>
          <cell r="E79">
            <v>604</v>
          </cell>
          <cell r="F79">
            <v>0</v>
          </cell>
          <cell r="G79">
            <v>604</v>
          </cell>
          <cell r="H79" t="str">
            <v xml:space="preserve"> </v>
          </cell>
        </row>
        <row r="80">
          <cell r="A80" t="str">
            <v>5200-300</v>
          </cell>
          <cell r="B80" t="str">
            <v>MANTENIMIENTOS</v>
          </cell>
          <cell r="C80">
            <v>82727.48</v>
          </cell>
          <cell r="D80" t="str">
            <v xml:space="preserve"> </v>
          </cell>
          <cell r="E80">
            <v>33579.97</v>
          </cell>
          <cell r="F80">
            <v>0</v>
          </cell>
          <cell r="G80">
            <v>116307.45</v>
          </cell>
          <cell r="H80" t="str">
            <v xml:space="preserve"> </v>
          </cell>
        </row>
        <row r="81">
          <cell r="A81" t="str">
            <v>5200-301</v>
          </cell>
          <cell r="B81" t="str">
            <v>Mtto. de equipo de transporte</v>
          </cell>
          <cell r="C81">
            <v>82727.48</v>
          </cell>
          <cell r="D81" t="str">
            <v xml:space="preserve"> </v>
          </cell>
          <cell r="E81">
            <v>33579.97</v>
          </cell>
          <cell r="F81">
            <v>0</v>
          </cell>
          <cell r="G81">
            <v>116307.45</v>
          </cell>
          <cell r="H81" t="str">
            <v xml:space="preserve"> </v>
          </cell>
        </row>
        <row r="82">
          <cell r="A82" t="str">
            <v>5200-400</v>
          </cell>
          <cell r="B82" t="str">
            <v>GASTOS DE VIAJE</v>
          </cell>
          <cell r="C82">
            <v>64092.24</v>
          </cell>
          <cell r="D82" t="str">
            <v xml:space="preserve"> </v>
          </cell>
          <cell r="E82">
            <v>12785.92</v>
          </cell>
          <cell r="F82">
            <v>0</v>
          </cell>
          <cell r="G82">
            <v>76878.16</v>
          </cell>
          <cell r="H82" t="str">
            <v xml:space="preserve"> </v>
          </cell>
        </row>
        <row r="83">
          <cell r="A83" t="str">
            <v>5200-402</v>
          </cell>
          <cell r="B83" t="str">
            <v>Cuotas de Peaje</v>
          </cell>
          <cell r="C83">
            <v>17327.37</v>
          </cell>
          <cell r="D83" t="str">
            <v xml:space="preserve"> </v>
          </cell>
          <cell r="E83">
            <v>940</v>
          </cell>
          <cell r="F83">
            <v>0</v>
          </cell>
          <cell r="G83">
            <v>18267.37</v>
          </cell>
          <cell r="H83" t="str">
            <v xml:space="preserve"> </v>
          </cell>
        </row>
        <row r="84">
          <cell r="A84" t="str">
            <v>5200-403</v>
          </cell>
          <cell r="B84" t="str">
            <v>Combustibles y Lubricantes</v>
          </cell>
          <cell r="C84">
            <v>42946.85</v>
          </cell>
          <cell r="D84" t="str">
            <v xml:space="preserve"> </v>
          </cell>
          <cell r="E84">
            <v>10645.92</v>
          </cell>
          <cell r="F84">
            <v>0</v>
          </cell>
          <cell r="G84">
            <v>53592.77</v>
          </cell>
          <cell r="H84" t="str">
            <v xml:space="preserve"> </v>
          </cell>
        </row>
        <row r="85">
          <cell r="A85" t="str">
            <v>5200-404</v>
          </cell>
          <cell r="B85" t="str">
            <v>Hospedaje</v>
          </cell>
          <cell r="C85">
            <v>2660.63</v>
          </cell>
          <cell r="D85" t="str">
            <v xml:space="preserve"> </v>
          </cell>
          <cell r="E85">
            <v>1200</v>
          </cell>
          <cell r="F85">
            <v>0</v>
          </cell>
          <cell r="G85">
            <v>3860.63</v>
          </cell>
          <cell r="H85" t="str">
            <v xml:space="preserve"> </v>
          </cell>
        </row>
        <row r="86">
          <cell r="A86" t="str">
            <v>5300-000</v>
          </cell>
          <cell r="B86" t="str">
            <v>GASTOS FINANCIEROS</v>
          </cell>
          <cell r="C86">
            <v>4648</v>
          </cell>
          <cell r="D86" t="str">
            <v xml:space="preserve"> </v>
          </cell>
          <cell r="E86">
            <v>2190</v>
          </cell>
          <cell r="F86">
            <v>0</v>
          </cell>
          <cell r="G86">
            <v>6838</v>
          </cell>
          <cell r="H86" t="str">
            <v xml:space="preserve"> </v>
          </cell>
        </row>
        <row r="87">
          <cell r="A87" t="str">
            <v>5300-001</v>
          </cell>
          <cell r="B87" t="str">
            <v>Comisiones Bancarias</v>
          </cell>
          <cell r="C87">
            <v>4648</v>
          </cell>
          <cell r="D87" t="str">
            <v xml:space="preserve"> </v>
          </cell>
          <cell r="E87">
            <v>2190</v>
          </cell>
          <cell r="F87">
            <v>0</v>
          </cell>
          <cell r="G87">
            <v>6838</v>
          </cell>
          <cell r="H87" t="str">
            <v xml:space="preserve"> </v>
          </cell>
        </row>
        <row r="88">
          <cell r="A88" t="str">
            <v>5400-000</v>
          </cell>
          <cell r="B88" t="str">
            <v>OTROS GASTOS</v>
          </cell>
          <cell r="C88">
            <v>0.93</v>
          </cell>
          <cell r="D88" t="str">
            <v xml:space="preserve"> </v>
          </cell>
          <cell r="E88">
            <v>0.36</v>
          </cell>
          <cell r="F88">
            <v>0</v>
          </cell>
          <cell r="G88">
            <v>1.29</v>
          </cell>
          <cell r="H88" t="str">
            <v xml:space="preserve"> </v>
          </cell>
        </row>
        <row r="89">
          <cell r="A89" t="str">
            <v>5400-001</v>
          </cell>
          <cell r="B89" t="str">
            <v>Perdida por redondeo</v>
          </cell>
          <cell r="C89">
            <v>0.93</v>
          </cell>
          <cell r="D89" t="str">
            <v xml:space="preserve"> </v>
          </cell>
          <cell r="E89">
            <v>0.36</v>
          </cell>
          <cell r="F89">
            <v>0</v>
          </cell>
          <cell r="G89">
            <v>1.29</v>
          </cell>
          <cell r="H89" t="str">
            <v xml:space="preserve"> </v>
          </cell>
        </row>
        <row r="90">
          <cell r="A90" t="str">
            <v>5500-000</v>
          </cell>
          <cell r="B90" t="str">
            <v>GASTOS NO DEDUCIBLES</v>
          </cell>
          <cell r="C90">
            <v>12203.1</v>
          </cell>
          <cell r="D90" t="str">
            <v xml:space="preserve"> </v>
          </cell>
          <cell r="E90">
            <v>14205.26</v>
          </cell>
          <cell r="F90">
            <v>0</v>
          </cell>
          <cell r="G90">
            <v>26408.36</v>
          </cell>
          <cell r="H90" t="str">
            <v xml:space="preserve"> </v>
          </cell>
        </row>
        <row r="91">
          <cell r="A91" t="str">
            <v>5500-001</v>
          </cell>
          <cell r="B91" t="str">
            <v>No Comprobados</v>
          </cell>
          <cell r="C91">
            <v>9776.6</v>
          </cell>
          <cell r="D91" t="str">
            <v xml:space="preserve"> </v>
          </cell>
          <cell r="E91">
            <v>14205.26</v>
          </cell>
          <cell r="F91">
            <v>0</v>
          </cell>
          <cell r="G91">
            <v>23981.86</v>
          </cell>
          <cell r="H91" t="str">
            <v xml:space="preserve"> </v>
          </cell>
        </row>
        <row r="92">
          <cell r="A92" t="str">
            <v xml:space="preserve"> </v>
          </cell>
        </row>
        <row r="93">
          <cell r="B93" t="str">
            <v>Total cuentas no impresas</v>
          </cell>
          <cell r="C93">
            <v>175921.64</v>
          </cell>
          <cell r="E93">
            <v>0</v>
          </cell>
          <cell r="F93">
            <v>0</v>
          </cell>
          <cell r="G93">
            <v>175921.64</v>
          </cell>
        </row>
        <row r="94">
          <cell r="B94" t="str">
            <v xml:space="preserve"> </v>
          </cell>
          <cell r="D94">
            <v>1855840.44</v>
          </cell>
          <cell r="H94">
            <v>1855840.44</v>
          </cell>
        </row>
        <row r="95">
          <cell r="A95" t="str">
            <v xml:space="preserve"> </v>
          </cell>
        </row>
        <row r="97">
          <cell r="B97" t="str">
            <v xml:space="preserve">Sumas Iguales: </v>
          </cell>
          <cell r="C97">
            <v>11548356.35</v>
          </cell>
          <cell r="E97">
            <v>7670425.9000000004</v>
          </cell>
          <cell r="F97">
            <v>7670425.9000000004</v>
          </cell>
          <cell r="G97">
            <v>13458755.029999999</v>
          </cell>
        </row>
        <row r="98">
          <cell r="D98">
            <v>11605916.619999999</v>
          </cell>
          <cell r="H98">
            <v>13516315.300000001</v>
          </cell>
        </row>
      </sheetData>
      <sheetData sheetId="13" refreshError="1"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1000-000</v>
          </cell>
          <cell r="B8" t="str">
            <v>ACTIVO</v>
          </cell>
          <cell r="C8">
            <v>492260.03</v>
          </cell>
          <cell r="D8" t="str">
            <v xml:space="preserve"> </v>
          </cell>
          <cell r="E8">
            <v>714639.24</v>
          </cell>
          <cell r="F8">
            <v>672534.8</v>
          </cell>
          <cell r="G8">
            <v>534364.47</v>
          </cell>
          <cell r="H8" t="str">
            <v xml:space="preserve"> </v>
          </cell>
        </row>
        <row r="9">
          <cell r="A9" t="str">
            <v>1100-000</v>
          </cell>
          <cell r="B9" t="str">
            <v>ACTIVO CIRCULANTE</v>
          </cell>
          <cell r="C9">
            <v>492260.03</v>
          </cell>
          <cell r="D9" t="str">
            <v xml:space="preserve"> </v>
          </cell>
          <cell r="E9">
            <v>714639.24</v>
          </cell>
          <cell r="F9">
            <v>672534.8</v>
          </cell>
          <cell r="G9">
            <v>534364.47</v>
          </cell>
          <cell r="H9" t="str">
            <v xml:space="preserve"> </v>
          </cell>
        </row>
        <row r="10">
          <cell r="A10" t="str">
            <v>1102-000</v>
          </cell>
          <cell r="B10" t="str">
            <v>BANCOS</v>
          </cell>
          <cell r="C10">
            <v>35871.269999999997</v>
          </cell>
          <cell r="D10" t="str">
            <v xml:space="preserve"> </v>
          </cell>
          <cell r="E10">
            <v>299954.3</v>
          </cell>
          <cell r="F10">
            <v>300240.40000000002</v>
          </cell>
          <cell r="G10">
            <v>35585.17</v>
          </cell>
          <cell r="H10" t="str">
            <v xml:space="preserve"> </v>
          </cell>
        </row>
        <row r="11">
          <cell r="A11" t="str">
            <v>1102-001</v>
          </cell>
          <cell r="B11" t="str">
            <v>Santander Cta: 92001131081</v>
          </cell>
          <cell r="C11">
            <v>35871.269999999997</v>
          </cell>
          <cell r="D11" t="str">
            <v xml:space="preserve"> </v>
          </cell>
          <cell r="E11">
            <v>299954.3</v>
          </cell>
          <cell r="F11">
            <v>300240.40000000002</v>
          </cell>
          <cell r="G11">
            <v>35585.17</v>
          </cell>
          <cell r="H11" t="str">
            <v xml:space="preserve"> </v>
          </cell>
        </row>
        <row r="12">
          <cell r="A12" t="str">
            <v>1103-000</v>
          </cell>
          <cell r="B12" t="str">
            <v>CLIENTES</v>
          </cell>
          <cell r="C12">
            <v>7068</v>
          </cell>
          <cell r="D12" t="str">
            <v xml:space="preserve"> </v>
          </cell>
          <cell r="E12">
            <v>261079.3</v>
          </cell>
          <cell r="F12">
            <v>169954.3</v>
          </cell>
          <cell r="G12">
            <v>98193</v>
          </cell>
          <cell r="H12" t="str">
            <v xml:space="preserve"> </v>
          </cell>
        </row>
        <row r="13">
          <cell r="A13" t="str">
            <v>1103-007</v>
          </cell>
          <cell r="B13" t="str">
            <v>Distribuidora de Granos y Semillas Baca S.A. de C.</v>
          </cell>
          <cell r="C13">
            <v>0</v>
          </cell>
          <cell r="D13" t="str">
            <v xml:space="preserve"> </v>
          </cell>
          <cell r="E13">
            <v>169954.3</v>
          </cell>
          <cell r="F13">
            <v>169954.3</v>
          </cell>
          <cell r="G13">
            <v>0</v>
          </cell>
          <cell r="H13" t="str">
            <v xml:space="preserve"> </v>
          </cell>
        </row>
        <row r="14">
          <cell r="A14" t="str">
            <v>1103-008</v>
          </cell>
          <cell r="B14" t="str">
            <v>Alonso Pacheco Garcia</v>
          </cell>
          <cell r="C14">
            <v>0</v>
          </cell>
          <cell r="D14" t="str">
            <v xml:space="preserve"> </v>
          </cell>
          <cell r="E14">
            <v>91125</v>
          </cell>
          <cell r="F14">
            <v>0</v>
          </cell>
          <cell r="G14">
            <v>91125</v>
          </cell>
          <cell r="H14" t="str">
            <v xml:space="preserve"> </v>
          </cell>
        </row>
        <row r="15">
          <cell r="A15" t="str">
            <v>1104-000</v>
          </cell>
          <cell r="B15" t="str">
            <v>DEUDORES DIVERSOS</v>
          </cell>
          <cell r="C15">
            <v>332.64</v>
          </cell>
          <cell r="D15" t="str">
            <v xml:space="preserve"> </v>
          </cell>
          <cell r="E15">
            <v>7400</v>
          </cell>
          <cell r="F15">
            <v>12340.1</v>
          </cell>
          <cell r="G15">
            <v>-4607.46</v>
          </cell>
          <cell r="H15" t="str">
            <v xml:space="preserve"> </v>
          </cell>
        </row>
        <row r="16">
          <cell r="A16" t="str">
            <v>1104-001</v>
          </cell>
          <cell r="B16" t="str">
            <v>Veronica Prieto Medrano</v>
          </cell>
          <cell r="C16">
            <v>332.64</v>
          </cell>
          <cell r="D16" t="str">
            <v xml:space="preserve"> </v>
          </cell>
          <cell r="E16">
            <v>7400</v>
          </cell>
          <cell r="F16">
            <v>12340.1</v>
          </cell>
          <cell r="G16">
            <v>-4607.46</v>
          </cell>
          <cell r="H16" t="str">
            <v xml:space="preserve"> </v>
          </cell>
        </row>
        <row r="17">
          <cell r="A17" t="str">
            <v>1105-000</v>
          </cell>
          <cell r="B17" t="str">
            <v>IVA ACREDITABLE</v>
          </cell>
          <cell r="C17">
            <v>18816.12</v>
          </cell>
          <cell r="D17" t="str">
            <v xml:space="preserve"> </v>
          </cell>
          <cell r="E17">
            <v>5705.64</v>
          </cell>
          <cell r="F17">
            <v>0</v>
          </cell>
          <cell r="G17">
            <v>24521.759999999998</v>
          </cell>
          <cell r="H17" t="str">
            <v xml:space="preserve"> </v>
          </cell>
        </row>
        <row r="18">
          <cell r="A18" t="str">
            <v>1105-001</v>
          </cell>
          <cell r="B18" t="str">
            <v>Iva Acreditable Pend. de Pago</v>
          </cell>
          <cell r="C18">
            <v>3094.8</v>
          </cell>
          <cell r="D18" t="str">
            <v xml:space="preserve"> </v>
          </cell>
          <cell r="E18">
            <v>1519.62</v>
          </cell>
          <cell r="F18">
            <v>0</v>
          </cell>
          <cell r="G18">
            <v>4614.42</v>
          </cell>
          <cell r="H18" t="str">
            <v xml:space="preserve"> </v>
          </cell>
        </row>
        <row r="19">
          <cell r="A19" t="str">
            <v>1105-002</v>
          </cell>
          <cell r="B19" t="str">
            <v>Iva  Acreditable Efect. Pagado</v>
          </cell>
          <cell r="C19">
            <v>15721.32</v>
          </cell>
          <cell r="D19" t="str">
            <v xml:space="preserve"> </v>
          </cell>
          <cell r="E19">
            <v>4186.0200000000004</v>
          </cell>
          <cell r="F19">
            <v>0</v>
          </cell>
          <cell r="G19">
            <v>19907.34</v>
          </cell>
          <cell r="H19" t="str">
            <v xml:space="preserve"> </v>
          </cell>
        </row>
        <row r="20">
          <cell r="A20" t="str">
            <v>1107-000</v>
          </cell>
          <cell r="B20" t="str">
            <v>ANTICIPO A PROVEEDORES</v>
          </cell>
          <cell r="C20">
            <v>430000</v>
          </cell>
          <cell r="D20" t="str">
            <v xml:space="preserve"> </v>
          </cell>
          <cell r="E20">
            <v>140500</v>
          </cell>
          <cell r="F20">
            <v>190000</v>
          </cell>
          <cell r="G20">
            <v>380500</v>
          </cell>
          <cell r="H20" t="str">
            <v xml:space="preserve"> </v>
          </cell>
        </row>
        <row r="21">
          <cell r="A21" t="str">
            <v>1107-004</v>
          </cell>
          <cell r="B21" t="str">
            <v>El Sabinal Campo Numero Cinco S.P.R DE R.L DE C.V</v>
          </cell>
          <cell r="C21">
            <v>160000</v>
          </cell>
          <cell r="D21" t="str">
            <v xml:space="preserve"> </v>
          </cell>
          <cell r="E21">
            <v>30000</v>
          </cell>
          <cell r="F21">
            <v>190000</v>
          </cell>
          <cell r="G21">
            <v>0</v>
          </cell>
          <cell r="H21" t="str">
            <v xml:space="preserve"> </v>
          </cell>
        </row>
        <row r="22">
          <cell r="A22" t="str">
            <v>1107-028</v>
          </cell>
          <cell r="B22" t="str">
            <v>Victor Manuel Fernandez Ortiz</v>
          </cell>
          <cell r="C22">
            <v>270000</v>
          </cell>
          <cell r="D22" t="str">
            <v xml:space="preserve"> </v>
          </cell>
          <cell r="E22">
            <v>10500</v>
          </cell>
          <cell r="F22">
            <v>0</v>
          </cell>
          <cell r="G22">
            <v>280500</v>
          </cell>
          <cell r="H22" t="str">
            <v xml:space="preserve"> </v>
          </cell>
        </row>
        <row r="23">
          <cell r="A23" t="str">
            <v>1107-029</v>
          </cell>
          <cell r="B23" t="str">
            <v>Gonzalo Gallegos Montes</v>
          </cell>
          <cell r="C23">
            <v>0</v>
          </cell>
          <cell r="D23" t="str">
            <v xml:space="preserve"> </v>
          </cell>
          <cell r="E23">
            <v>70000</v>
          </cell>
          <cell r="F23">
            <v>0</v>
          </cell>
          <cell r="G23">
            <v>70000</v>
          </cell>
          <cell r="H23" t="str">
            <v xml:space="preserve"> </v>
          </cell>
        </row>
        <row r="24">
          <cell r="A24" t="str">
            <v>1107-030</v>
          </cell>
          <cell r="B24" t="str">
            <v>Justina Knelsen Giesbrecht</v>
          </cell>
          <cell r="C24">
            <v>0</v>
          </cell>
          <cell r="D24" t="str">
            <v xml:space="preserve"> </v>
          </cell>
          <cell r="E24">
            <v>30000</v>
          </cell>
          <cell r="F24">
            <v>0</v>
          </cell>
          <cell r="G24">
            <v>30000</v>
          </cell>
          <cell r="H24" t="str">
            <v xml:space="preserve"> </v>
          </cell>
        </row>
        <row r="25">
          <cell r="A25" t="str">
            <v>2000-000</v>
          </cell>
          <cell r="B25" t="str">
            <v>PASIVO</v>
          </cell>
          <cell r="C25" t="str">
            <v xml:space="preserve"> </v>
          </cell>
          <cell r="D25">
            <v>274335.55</v>
          </cell>
          <cell r="E25">
            <v>215236</v>
          </cell>
          <cell r="F25">
            <v>191090.43</v>
          </cell>
          <cell r="G25" t="str">
            <v xml:space="preserve"> </v>
          </cell>
          <cell r="H25">
            <v>250189.98</v>
          </cell>
        </row>
        <row r="26">
          <cell r="A26" t="str">
            <v>2100-000</v>
          </cell>
          <cell r="B26" t="str">
            <v>PASIVO A CORTO PLAZO</v>
          </cell>
          <cell r="C26" t="str">
            <v xml:space="preserve"> </v>
          </cell>
          <cell r="D26">
            <v>274335.55</v>
          </cell>
          <cell r="E26">
            <v>215236</v>
          </cell>
          <cell r="F26">
            <v>191090.43</v>
          </cell>
          <cell r="G26" t="str">
            <v xml:space="preserve"> </v>
          </cell>
          <cell r="H26">
            <v>250189.98</v>
          </cell>
        </row>
        <row r="27">
          <cell r="A27" t="str">
            <v>2101-000</v>
          </cell>
          <cell r="B27" t="str">
            <v>PROVEEDORES</v>
          </cell>
          <cell r="C27" t="str">
            <v xml:space="preserve"> </v>
          </cell>
          <cell r="D27">
            <v>240906</v>
          </cell>
          <cell r="E27">
            <v>85236</v>
          </cell>
          <cell r="F27">
            <v>48810</v>
          </cell>
          <cell r="G27" t="str">
            <v xml:space="preserve"> </v>
          </cell>
          <cell r="H27">
            <v>204480</v>
          </cell>
        </row>
        <row r="28">
          <cell r="A28" t="str">
            <v>2101-058</v>
          </cell>
          <cell r="B28" t="str">
            <v>El Sabinal Campo Numero Cinco S.P.R. de R.L. de C.</v>
          </cell>
          <cell r="C28" t="str">
            <v xml:space="preserve"> </v>
          </cell>
          <cell r="D28">
            <v>0</v>
          </cell>
          <cell r="E28">
            <v>0</v>
          </cell>
          <cell r="F28">
            <v>4480</v>
          </cell>
          <cell r="G28" t="str">
            <v xml:space="preserve"> </v>
          </cell>
          <cell r="H28">
            <v>4480</v>
          </cell>
        </row>
        <row r="29">
          <cell r="A29" t="str">
            <v>2101-070</v>
          </cell>
          <cell r="B29" t="str">
            <v>Klass Bergen Wieler</v>
          </cell>
          <cell r="C29" t="str">
            <v xml:space="preserve"> </v>
          </cell>
          <cell r="D29">
            <v>40906</v>
          </cell>
          <cell r="E29">
            <v>40906</v>
          </cell>
          <cell r="F29">
            <v>0</v>
          </cell>
          <cell r="G29" t="str">
            <v xml:space="preserve"> </v>
          </cell>
          <cell r="H29">
            <v>0</v>
          </cell>
        </row>
        <row r="30">
          <cell r="A30" t="str">
            <v>2101-071</v>
          </cell>
          <cell r="B30" t="str">
            <v>Ramiro Rodriguez Cordova</v>
          </cell>
          <cell r="C30" t="str">
            <v xml:space="preserve"> </v>
          </cell>
          <cell r="D30">
            <v>0</v>
          </cell>
          <cell r="E30">
            <v>44330</v>
          </cell>
          <cell r="F30">
            <v>44330</v>
          </cell>
          <cell r="G30" t="str">
            <v xml:space="preserve"> </v>
          </cell>
          <cell r="H30">
            <v>0</v>
          </cell>
        </row>
        <row r="31">
          <cell r="A31" t="str">
            <v>2102-000</v>
          </cell>
          <cell r="B31" t="str">
            <v>ACREEDORES DIVERSOS</v>
          </cell>
          <cell r="C31" t="str">
            <v xml:space="preserve"> </v>
          </cell>
          <cell r="D31">
            <v>24429.55</v>
          </cell>
          <cell r="E31">
            <v>0</v>
          </cell>
          <cell r="F31">
            <v>11650.43</v>
          </cell>
          <cell r="G31" t="str">
            <v xml:space="preserve"> </v>
          </cell>
          <cell r="H31">
            <v>36079.980000000003</v>
          </cell>
        </row>
        <row r="32">
          <cell r="A32" t="str">
            <v>2102-023</v>
          </cell>
          <cell r="B32" t="str">
            <v>Martin Armenta Prieto</v>
          </cell>
          <cell r="C32" t="str">
            <v xml:space="preserve"> </v>
          </cell>
          <cell r="D32">
            <v>5002.5</v>
          </cell>
          <cell r="E32">
            <v>0</v>
          </cell>
          <cell r="F32">
            <v>6670</v>
          </cell>
          <cell r="G32" t="str">
            <v xml:space="preserve"> </v>
          </cell>
          <cell r="H32">
            <v>11672.5</v>
          </cell>
        </row>
        <row r="33">
          <cell r="A33" t="str">
            <v>2102-055</v>
          </cell>
          <cell r="B33" t="str">
            <v>Carlos Rafael Morales Morales</v>
          </cell>
          <cell r="C33" t="str">
            <v xml:space="preserve"> </v>
          </cell>
          <cell r="D33">
            <v>0</v>
          </cell>
          <cell r="E33">
            <v>0</v>
          </cell>
          <cell r="F33">
            <v>2415.9299999999998</v>
          </cell>
          <cell r="G33" t="str">
            <v xml:space="preserve"> </v>
          </cell>
          <cell r="H33">
            <v>2415.9299999999998</v>
          </cell>
        </row>
        <row r="34">
          <cell r="A34" t="str">
            <v>2102-132</v>
          </cell>
          <cell r="B34" t="str">
            <v>Raymundo Corral Montañez</v>
          </cell>
          <cell r="C34" t="str">
            <v xml:space="preserve"> </v>
          </cell>
          <cell r="D34">
            <v>0</v>
          </cell>
          <cell r="E34">
            <v>0</v>
          </cell>
          <cell r="F34">
            <v>2564.5</v>
          </cell>
          <cell r="G34" t="str">
            <v xml:space="preserve"> </v>
          </cell>
          <cell r="H34">
            <v>2564.5</v>
          </cell>
        </row>
        <row r="35">
          <cell r="A35" t="str">
            <v>2103-000</v>
          </cell>
          <cell r="B35" t="str">
            <v>IMPUESTOS POR PAGAR</v>
          </cell>
          <cell r="C35" t="str">
            <v xml:space="preserve"> </v>
          </cell>
          <cell r="D35">
            <v>9000</v>
          </cell>
          <cell r="E35">
            <v>0</v>
          </cell>
          <cell r="F35">
            <v>630</v>
          </cell>
          <cell r="G35" t="str">
            <v xml:space="preserve"> </v>
          </cell>
          <cell r="H35">
            <v>9630</v>
          </cell>
        </row>
        <row r="36">
          <cell r="A36" t="str">
            <v>2103-003</v>
          </cell>
          <cell r="B36" t="str">
            <v>Retencion 4% Fletes</v>
          </cell>
          <cell r="C36" t="str">
            <v xml:space="preserve"> </v>
          </cell>
          <cell r="D36">
            <v>0</v>
          </cell>
          <cell r="E36">
            <v>0</v>
          </cell>
          <cell r="F36">
            <v>630</v>
          </cell>
          <cell r="G36" t="str">
            <v xml:space="preserve"> </v>
          </cell>
          <cell r="H36">
            <v>630</v>
          </cell>
        </row>
        <row r="37">
          <cell r="A37" t="str">
            <v>2105-000</v>
          </cell>
          <cell r="B37" t="str">
            <v>ANTICIPO DE CLIENTES</v>
          </cell>
          <cell r="C37" t="str">
            <v xml:space="preserve"> </v>
          </cell>
          <cell r="D37">
            <v>0</v>
          </cell>
          <cell r="E37">
            <v>130000</v>
          </cell>
          <cell r="F37">
            <v>130000</v>
          </cell>
          <cell r="G37" t="str">
            <v xml:space="preserve"> </v>
          </cell>
          <cell r="H37">
            <v>0</v>
          </cell>
        </row>
        <row r="38">
          <cell r="A38" t="str">
            <v>2105-006</v>
          </cell>
          <cell r="B38" t="str">
            <v>Distribuidora de Granos y Semillas Baca SA DE CV</v>
          </cell>
          <cell r="C38" t="str">
            <v xml:space="preserve"> </v>
          </cell>
          <cell r="D38">
            <v>0</v>
          </cell>
          <cell r="E38">
            <v>130000</v>
          </cell>
          <cell r="F38">
            <v>130000</v>
          </cell>
          <cell r="G38" t="str">
            <v xml:space="preserve"> </v>
          </cell>
          <cell r="H38">
            <v>0</v>
          </cell>
        </row>
        <row r="39">
          <cell r="A39" t="str">
            <v>4000-000</v>
          </cell>
          <cell r="B39" t="str">
            <v>INGRESOS</v>
          </cell>
          <cell r="C39" t="str">
            <v xml:space="preserve"> </v>
          </cell>
          <cell r="D39">
            <v>0</v>
          </cell>
          <cell r="E39">
            <v>0</v>
          </cell>
          <cell r="F39">
            <v>391079.3</v>
          </cell>
          <cell r="G39" t="str">
            <v xml:space="preserve"> </v>
          </cell>
          <cell r="H39">
            <v>391079.3</v>
          </cell>
        </row>
        <row r="40">
          <cell r="A40" t="str">
            <v>4100-000</v>
          </cell>
          <cell r="B40" t="str">
            <v>VENTAS</v>
          </cell>
          <cell r="C40" t="str">
            <v xml:space="preserve"> </v>
          </cell>
          <cell r="D40">
            <v>0</v>
          </cell>
          <cell r="E40">
            <v>0</v>
          </cell>
          <cell r="F40">
            <v>391079.3</v>
          </cell>
          <cell r="G40" t="str">
            <v xml:space="preserve"> </v>
          </cell>
          <cell r="H40">
            <v>391079.3</v>
          </cell>
        </row>
        <row r="41">
          <cell r="A41" t="str">
            <v>4100-001</v>
          </cell>
          <cell r="B41" t="str">
            <v>Venta de Frijol</v>
          </cell>
          <cell r="C41" t="str">
            <v xml:space="preserve"> </v>
          </cell>
          <cell r="D41">
            <v>0</v>
          </cell>
          <cell r="E41">
            <v>0</v>
          </cell>
          <cell r="F41">
            <v>391079.3</v>
          </cell>
          <cell r="G41" t="str">
            <v xml:space="preserve"> </v>
          </cell>
          <cell r="H41">
            <v>391079.3</v>
          </cell>
        </row>
        <row r="42">
          <cell r="A42" t="str">
            <v>5000-000</v>
          </cell>
          <cell r="B42" t="str">
            <v>EGRESOS</v>
          </cell>
          <cell r="C42">
            <v>0</v>
          </cell>
          <cell r="D42" t="str">
            <v xml:space="preserve"> </v>
          </cell>
          <cell r="E42">
            <v>324829.28999999998</v>
          </cell>
          <cell r="F42">
            <v>0</v>
          </cell>
          <cell r="G42">
            <v>324829.28999999998</v>
          </cell>
          <cell r="H42" t="str">
            <v xml:space="preserve"> </v>
          </cell>
        </row>
        <row r="43">
          <cell r="A43" t="str">
            <v>5100-000</v>
          </cell>
          <cell r="B43" t="str">
            <v>COMPRAS</v>
          </cell>
          <cell r="C43">
            <v>0</v>
          </cell>
          <cell r="D43" t="str">
            <v xml:space="preserve"> </v>
          </cell>
          <cell r="E43">
            <v>284410</v>
          </cell>
          <cell r="F43">
            <v>0</v>
          </cell>
          <cell r="G43">
            <v>284410</v>
          </cell>
          <cell r="H43" t="str">
            <v xml:space="preserve"> </v>
          </cell>
        </row>
        <row r="44">
          <cell r="A44" t="str">
            <v>5100-002</v>
          </cell>
          <cell r="B44" t="str">
            <v>Compra de Frijol</v>
          </cell>
          <cell r="C44">
            <v>0</v>
          </cell>
          <cell r="D44" t="str">
            <v xml:space="preserve"> </v>
          </cell>
          <cell r="E44">
            <v>284410</v>
          </cell>
          <cell r="F44">
            <v>0</v>
          </cell>
          <cell r="G44">
            <v>284410</v>
          </cell>
          <cell r="H44" t="str">
            <v xml:space="preserve"> </v>
          </cell>
        </row>
        <row r="45">
          <cell r="A45" t="str">
            <v>5200-000</v>
          </cell>
          <cell r="B45" t="str">
            <v>GASTOS GENERALES</v>
          </cell>
          <cell r="C45">
            <v>0</v>
          </cell>
          <cell r="D45" t="str">
            <v xml:space="preserve"> </v>
          </cell>
          <cell r="E45">
            <v>39300.29</v>
          </cell>
          <cell r="F45">
            <v>0</v>
          </cell>
          <cell r="G45">
            <v>39300.29</v>
          </cell>
          <cell r="H45" t="str">
            <v xml:space="preserve"> </v>
          </cell>
        </row>
        <row r="46">
          <cell r="A46" t="str">
            <v>5200-200</v>
          </cell>
          <cell r="B46" t="str">
            <v>SERVICIOS</v>
          </cell>
          <cell r="C46">
            <v>0</v>
          </cell>
          <cell r="D46" t="str">
            <v xml:space="preserve"> </v>
          </cell>
          <cell r="E46">
            <v>15759</v>
          </cell>
          <cell r="F46">
            <v>0</v>
          </cell>
          <cell r="G46">
            <v>15759</v>
          </cell>
          <cell r="H46" t="str">
            <v xml:space="preserve"> </v>
          </cell>
        </row>
        <row r="47">
          <cell r="A47" t="str">
            <v>5200-211</v>
          </cell>
          <cell r="B47" t="str">
            <v>Otros Impuestos y Derechos Estatales</v>
          </cell>
          <cell r="C47">
            <v>0</v>
          </cell>
          <cell r="D47" t="str">
            <v xml:space="preserve"> </v>
          </cell>
          <cell r="E47">
            <v>9</v>
          </cell>
          <cell r="F47">
            <v>0</v>
          </cell>
          <cell r="G47">
            <v>9</v>
          </cell>
          <cell r="H47" t="str">
            <v xml:space="preserve"> </v>
          </cell>
        </row>
        <row r="48">
          <cell r="A48" t="str">
            <v>5200-212</v>
          </cell>
          <cell r="B48" t="str">
            <v>Fletes y Acarreos</v>
          </cell>
          <cell r="C48">
            <v>0</v>
          </cell>
          <cell r="D48" t="str">
            <v xml:space="preserve"> </v>
          </cell>
          <cell r="E48">
            <v>15750</v>
          </cell>
          <cell r="F48">
            <v>0</v>
          </cell>
          <cell r="G48">
            <v>15750</v>
          </cell>
          <cell r="H48" t="str">
            <v xml:space="preserve"> </v>
          </cell>
        </row>
        <row r="49">
          <cell r="A49" t="str">
            <v>5200-300</v>
          </cell>
          <cell r="B49" t="str">
            <v>MANTENIMIENTOS</v>
          </cell>
          <cell r="C49">
            <v>0</v>
          </cell>
          <cell r="D49" t="str">
            <v xml:space="preserve"> </v>
          </cell>
          <cell r="E49">
            <v>5182.93</v>
          </cell>
          <cell r="F49">
            <v>0</v>
          </cell>
          <cell r="G49">
            <v>5182.93</v>
          </cell>
          <cell r="H49" t="str">
            <v xml:space="preserve"> </v>
          </cell>
        </row>
        <row r="50">
          <cell r="A50" t="str">
            <v>5200-301</v>
          </cell>
          <cell r="B50" t="str">
            <v>Mtto. de equipo de transporte</v>
          </cell>
          <cell r="C50">
            <v>0</v>
          </cell>
          <cell r="D50" t="str">
            <v xml:space="preserve"> </v>
          </cell>
          <cell r="E50">
            <v>5182.93</v>
          </cell>
          <cell r="F50">
            <v>0</v>
          </cell>
          <cell r="G50">
            <v>5182.93</v>
          </cell>
          <cell r="H50" t="str">
            <v xml:space="preserve"> </v>
          </cell>
        </row>
        <row r="51">
          <cell r="A51" t="str">
            <v>5200-400</v>
          </cell>
          <cell r="B51" t="str">
            <v>GASTOS DE VIAJE</v>
          </cell>
          <cell r="C51">
            <v>0</v>
          </cell>
          <cell r="D51" t="str">
            <v xml:space="preserve"> </v>
          </cell>
          <cell r="E51">
            <v>9190.59</v>
          </cell>
          <cell r="F51">
            <v>0</v>
          </cell>
          <cell r="G51">
            <v>9190.59</v>
          </cell>
          <cell r="H51" t="str">
            <v xml:space="preserve"> </v>
          </cell>
        </row>
        <row r="52">
          <cell r="A52" t="str">
            <v>5200-402</v>
          </cell>
          <cell r="B52" t="str">
            <v>Cuotas de Peaje</v>
          </cell>
          <cell r="C52">
            <v>0</v>
          </cell>
          <cell r="D52" t="str">
            <v xml:space="preserve"> </v>
          </cell>
          <cell r="E52">
            <v>1851.11</v>
          </cell>
          <cell r="F52">
            <v>0</v>
          </cell>
          <cell r="G52">
            <v>1851.11</v>
          </cell>
          <cell r="H52" t="str">
            <v xml:space="preserve"> </v>
          </cell>
        </row>
        <row r="53">
          <cell r="A53" t="str">
            <v>5200-403</v>
          </cell>
          <cell r="B53" t="str">
            <v>Combustibles y Lubricantes</v>
          </cell>
          <cell r="C53">
            <v>0</v>
          </cell>
          <cell r="D53" t="str">
            <v xml:space="preserve"> </v>
          </cell>
          <cell r="E53">
            <v>7039.48</v>
          </cell>
          <cell r="F53">
            <v>0</v>
          </cell>
          <cell r="G53">
            <v>7039.48</v>
          </cell>
          <cell r="H53" t="str">
            <v xml:space="preserve"> </v>
          </cell>
        </row>
        <row r="54">
          <cell r="A54" t="str">
            <v>5200-404</v>
          </cell>
          <cell r="B54" t="str">
            <v>Hospedaje</v>
          </cell>
          <cell r="C54">
            <v>0</v>
          </cell>
          <cell r="D54" t="str">
            <v xml:space="preserve"> </v>
          </cell>
          <cell r="E54">
            <v>300</v>
          </cell>
          <cell r="F54">
            <v>0</v>
          </cell>
          <cell r="G54">
            <v>300</v>
          </cell>
          <cell r="H54" t="str">
            <v xml:space="preserve"> </v>
          </cell>
        </row>
        <row r="55">
          <cell r="A55" t="str">
            <v>5200-500</v>
          </cell>
          <cell r="B55" t="str">
            <v>MATERIALES DE TRABAJO</v>
          </cell>
          <cell r="C55">
            <v>0</v>
          </cell>
          <cell r="D55" t="str">
            <v xml:space="preserve"> </v>
          </cell>
          <cell r="E55">
            <v>9167.77</v>
          </cell>
          <cell r="F55">
            <v>0</v>
          </cell>
          <cell r="G55">
            <v>9167.77</v>
          </cell>
          <cell r="H55" t="str">
            <v xml:space="preserve"> </v>
          </cell>
        </row>
        <row r="56">
          <cell r="A56" t="str">
            <v>5300-000</v>
          </cell>
          <cell r="B56" t="str">
            <v>GASTOS FINANCIEROS</v>
          </cell>
          <cell r="C56">
            <v>0</v>
          </cell>
          <cell r="D56" t="str">
            <v xml:space="preserve"> </v>
          </cell>
          <cell r="E56">
            <v>306</v>
          </cell>
          <cell r="F56">
            <v>0</v>
          </cell>
          <cell r="G56">
            <v>306</v>
          </cell>
          <cell r="H56" t="str">
            <v xml:space="preserve"> </v>
          </cell>
        </row>
        <row r="57">
          <cell r="A57" t="str">
            <v>5300-001</v>
          </cell>
          <cell r="B57" t="str">
            <v>Comisiones Bancarias</v>
          </cell>
          <cell r="C57">
            <v>0</v>
          </cell>
          <cell r="D57" t="str">
            <v xml:space="preserve"> </v>
          </cell>
          <cell r="E57">
            <v>306</v>
          </cell>
          <cell r="F57">
            <v>0</v>
          </cell>
          <cell r="G57">
            <v>306</v>
          </cell>
          <cell r="H57" t="str">
            <v xml:space="preserve"> </v>
          </cell>
        </row>
        <row r="58">
          <cell r="A58" t="str">
            <v>5500-000</v>
          </cell>
          <cell r="B58" t="str">
            <v>GASTOS NO DEDUCIBLES</v>
          </cell>
          <cell r="C58">
            <v>0</v>
          </cell>
          <cell r="D58" t="str">
            <v xml:space="preserve"> </v>
          </cell>
          <cell r="E58">
            <v>813</v>
          </cell>
          <cell r="F58">
            <v>0</v>
          </cell>
          <cell r="G58">
            <v>813</v>
          </cell>
          <cell r="H58" t="str">
            <v xml:space="preserve"> </v>
          </cell>
        </row>
        <row r="59">
          <cell r="A59" t="str">
            <v>5500-001</v>
          </cell>
          <cell r="B59" t="str">
            <v>No Comprobados</v>
          </cell>
          <cell r="C59">
            <v>0</v>
          </cell>
          <cell r="D59" t="str">
            <v xml:space="preserve"> </v>
          </cell>
          <cell r="E59">
            <v>813</v>
          </cell>
          <cell r="F59">
            <v>0</v>
          </cell>
          <cell r="G59">
            <v>813</v>
          </cell>
          <cell r="H59" t="str">
            <v xml:space="preserve"> </v>
          </cell>
        </row>
        <row r="60">
          <cell r="A60" t="str">
            <v xml:space="preserve"> </v>
          </cell>
        </row>
        <row r="61">
          <cell r="B61" t="str">
            <v>Total cuentas no impresas</v>
          </cell>
          <cell r="C61">
            <v>7240</v>
          </cell>
          <cell r="E61">
            <v>0</v>
          </cell>
          <cell r="F61">
            <v>0</v>
          </cell>
          <cell r="G61">
            <v>7240</v>
          </cell>
        </row>
        <row r="62">
          <cell r="B62" t="str">
            <v xml:space="preserve"> </v>
          </cell>
          <cell r="D62">
            <v>503911.8</v>
          </cell>
          <cell r="H62">
            <v>503911.8</v>
          </cell>
        </row>
        <row r="63">
          <cell r="A63" t="str">
            <v xml:space="preserve"> </v>
          </cell>
        </row>
        <row r="65">
          <cell r="B65" t="str">
            <v xml:space="preserve">Sumas Iguales: </v>
          </cell>
          <cell r="C65">
            <v>492260.03</v>
          </cell>
          <cell r="E65">
            <v>1254704.53</v>
          </cell>
          <cell r="F65">
            <v>1254704.53</v>
          </cell>
          <cell r="G65">
            <v>859193.76</v>
          </cell>
        </row>
        <row r="66">
          <cell r="D66">
            <v>549820.30000000005</v>
          </cell>
          <cell r="H66">
            <v>916754.03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EDO RESULTADOS"/>
      <sheetName val="CONCIL"/>
      <sheetName val="no"/>
      <sheetName val="D-4 vc fac"/>
      <sheetName val="D-4 s&amp;p"/>
      <sheetName val="GASTOS PARA CONCILIACION"/>
      <sheetName val="provisiones"/>
      <sheetName val="GASTOS NO DEDUCIBLES"/>
      <sheetName val="RESAFIJO"/>
      <sheetName val="RESUMEN"/>
      <sheetName val="TERRENOS"/>
      <sheetName val="EDIFICIO"/>
      <sheetName val="MAQ Y EQ"/>
      <sheetName val="MOB Y EQ OF"/>
      <sheetName val="EQ COMPUTO"/>
      <sheetName val="EQ DE TRANSP"/>
      <sheetName val="HERRAMENTALES"/>
      <sheetName val="ajusteanual"/>
      <sheetName val="PERDIDAS FISCALES"/>
      <sheetName val="IMPAC"/>
      <sheetName val="TABLA1"/>
      <sheetName val="T.CAMBIO"/>
      <sheetName val="Tickmarks"/>
      <sheetName val="costo de ventas"/>
      <sheetName val="compras aluminio"/>
      <sheetName val="compras de pintura"/>
      <sheetName val="maquila aluminio"/>
      <sheetName val="colada anual"/>
      <sheetName val="escoria anual"/>
      <sheetName val="reval alum mayo"/>
      <sheetName val="reval alum abril"/>
      <sheetName val="reval alum marzo"/>
      <sheetName val="reval pinturas febrero"/>
      <sheetName val="reval alum febrero"/>
      <sheetName val="AJUSTE ANUAL"/>
      <sheetName val="ACTIVO"/>
      <sheetName val="PASIVO"/>
      <sheetName val="IMPAC (2)"/>
      <sheetName val="ACT FINAN"/>
      <sheetName val="DEUDAS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3"/>
      <sheetName val="hoja1"/>
      <sheetName val="SEPTIEMBRE"/>
      <sheetName val="SEPT 2"/>
      <sheetName val="SEPT4"/>
    </sheetNames>
    <sheetDataSet>
      <sheetData sheetId="0"/>
      <sheetData sheetId="1"/>
      <sheetData sheetId="2" refreshError="1">
        <row r="15">
          <cell r="D15">
            <v>3402302.1610038695</v>
          </cell>
        </row>
      </sheetData>
      <sheetData sheetId="3" refreshError="1">
        <row r="63">
          <cell r="G63">
            <v>-14081769.165202793</v>
          </cell>
        </row>
        <row r="65">
          <cell r="G6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1"/>
      <sheetName val="ANEXO1-A"/>
      <sheetName val="ANEXO2"/>
      <sheetName val="ANEXO3 "/>
      <sheetName val="ANEXO4"/>
      <sheetName val="ANEXO5"/>
      <sheetName val="ANEX06"/>
      <sheetName val="ANEXO7 (3)"/>
      <sheetName val="FLUJO (2)"/>
      <sheetName val="CANAS HELADAS"/>
      <sheetName val="PRES.Z-9798"/>
      <sheetName val="PRES.R9798"/>
      <sheetName val="REAL R9798"/>
      <sheetName val="PRESMOD.R9899"/>
      <sheetName val="FLUJO.R9899"/>
      <sheetName val="REAL R9697"/>
      <sheetName val="REAL Z9697"/>
      <sheetName val="ANEXO3"/>
      <sheetName val="ANEXO3 (3)"/>
      <sheetName val="ANEXO3 (2)"/>
      <sheetName val="ANEXO7 (2)"/>
      <sheetName val="ANEX02"/>
      <sheetName val="PRES.Z9798 31197"/>
      <sheetName val="PRES.R97 31197"/>
      <sheetName val="INTERESES"/>
      <sheetName val="FLUJO"/>
      <sheetName val="REAL R98"/>
      <sheetName val="REAL R98 (2)"/>
      <sheetName val="Hoja1"/>
    </sheetNames>
    <sheetDataSet>
      <sheetData sheetId="0"/>
      <sheetData sheetId="1"/>
      <sheetData sheetId="2"/>
      <sheetData sheetId="3"/>
      <sheetData sheetId="4"/>
      <sheetData sheetId="5">
        <row r="2">
          <cell r="L2" t="str">
            <v>GRUPO INGENIOS SANTOS</v>
          </cell>
        </row>
        <row r="3">
          <cell r="L3" t="str">
            <v>INGENIO : ALIANZA POPULAR, S.A. DE C.V.</v>
          </cell>
        </row>
        <row r="4">
          <cell r="L4" t="str">
            <v>Zafra 1998 / 99</v>
          </cell>
          <cell r="S4" t="str">
            <v>ANEXO 5</v>
          </cell>
        </row>
        <row r="6">
          <cell r="L6" t="str">
            <v>DESTINO DE LA PRODUCCION ESTIMADA DE CAÑA</v>
          </cell>
        </row>
        <row r="10">
          <cell r="G10" t="str">
            <v>T  O  T  A  L</v>
          </cell>
          <cell r="M10" t="str">
            <v>S E M I L L A</v>
          </cell>
          <cell r="S10" t="str">
            <v>INDUSTRIALIZABLE</v>
          </cell>
        </row>
        <row r="11">
          <cell r="C11" t="str">
            <v>CICLOS</v>
          </cell>
          <cell r="E11" t="str">
            <v>Superficie</v>
          </cell>
          <cell r="G11" t="str">
            <v>Toneladas</v>
          </cell>
          <cell r="I11" t="str">
            <v>Rend.</v>
          </cell>
          <cell r="K11" t="str">
            <v>Superficie</v>
          </cell>
          <cell r="M11" t="str">
            <v>Toneladas</v>
          </cell>
          <cell r="O11" t="str">
            <v>Rend.</v>
          </cell>
          <cell r="Q11" t="str">
            <v>Superficie</v>
          </cell>
          <cell r="S11" t="str">
            <v>Toneladas</v>
          </cell>
          <cell r="U11" t="str">
            <v>Rend.</v>
          </cell>
        </row>
        <row r="14">
          <cell r="C14" t="str">
            <v>PLANTAS</v>
          </cell>
          <cell r="E14">
            <v>1949.5</v>
          </cell>
          <cell r="G14">
            <v>127994</v>
          </cell>
          <cell r="I14">
            <v>65.654783277763528</v>
          </cell>
          <cell r="K14">
            <v>240</v>
          </cell>
          <cell r="M14">
            <v>18000</v>
          </cell>
          <cell r="O14">
            <v>75</v>
          </cell>
          <cell r="Q14">
            <v>1709.5</v>
          </cell>
          <cell r="S14">
            <v>109994</v>
          </cell>
          <cell r="U14">
            <v>64.342790289558351</v>
          </cell>
        </row>
        <row r="15">
          <cell r="C15" t="str">
            <v xml:space="preserve">SOCAS </v>
          </cell>
          <cell r="E15">
            <v>4197.5</v>
          </cell>
          <cell r="G15">
            <v>234321</v>
          </cell>
          <cell r="I15">
            <v>55.823942823108993</v>
          </cell>
          <cell r="K15">
            <v>0</v>
          </cell>
          <cell r="M15">
            <v>0</v>
          </cell>
          <cell r="O15">
            <v>0</v>
          </cell>
          <cell r="Q15">
            <v>4197.5</v>
          </cell>
          <cell r="S15">
            <v>234321</v>
          </cell>
          <cell r="U15">
            <v>55.823942823108993</v>
          </cell>
        </row>
        <row r="16">
          <cell r="C16" t="str">
            <v>RESOCAS</v>
          </cell>
          <cell r="E16">
            <v>11508.25</v>
          </cell>
          <cell r="G16">
            <v>585973</v>
          </cell>
          <cell r="I16">
            <v>50.917646036539004</v>
          </cell>
          <cell r="K16">
            <v>0</v>
          </cell>
          <cell r="M16">
            <v>0</v>
          </cell>
          <cell r="O16">
            <v>0</v>
          </cell>
          <cell r="Q16">
            <v>11508.25</v>
          </cell>
          <cell r="S16">
            <v>585973</v>
          </cell>
          <cell r="U16">
            <v>50.917646036539004</v>
          </cell>
        </row>
        <row r="18">
          <cell r="C18" t="str">
            <v>SUMAS</v>
          </cell>
          <cell r="E18">
            <v>17655.25</v>
          </cell>
          <cell r="G18">
            <v>948288</v>
          </cell>
          <cell r="I18">
            <v>53.711388963622717</v>
          </cell>
          <cell r="K18">
            <v>240</v>
          </cell>
          <cell r="M18">
            <v>18000</v>
          </cell>
          <cell r="O18">
            <v>75</v>
          </cell>
          <cell r="Q18">
            <v>17415.25</v>
          </cell>
          <cell r="S18">
            <v>930288</v>
          </cell>
          <cell r="U18">
            <v>53.418010077374717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1441"/>
      <sheetName val="1442"/>
      <sheetName val="1443"/>
      <sheetName val="1444"/>
      <sheetName val="1445"/>
      <sheetName val="1446"/>
      <sheetName val="1447"/>
      <sheetName val="1448"/>
      <sheetName val="1449"/>
      <sheetName val="1451"/>
      <sheetName val="1452"/>
      <sheetName val="1453"/>
      <sheetName val="1454"/>
      <sheetName val="1455"/>
      <sheetName val="1456"/>
      <sheetName val="Resumen"/>
    </sheetNames>
    <sheetDataSet>
      <sheetData sheetId="0"/>
      <sheetData sheetId="1">
        <row r="3">
          <cell r="B3">
            <v>11</v>
          </cell>
        </row>
        <row r="4">
          <cell r="B4">
            <v>1999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 Dic M3 (Vaciado)"/>
      <sheetName val="Notas"/>
      <sheetName val="Resumen"/>
      <sheetName val="Bal Dic"/>
      <sheetName val="DIM3_R2"/>
      <sheetName val="Imp Dif"/>
      <sheetName val="Diferido"/>
      <sheetName val="R.2 TASA F"/>
      <sheetName val="R.3 Diferencias"/>
      <sheetName val="Balance"/>
      <sheetName val="Edo Rdos"/>
      <sheetName val="Bal D1"/>
      <sheetName val="Conciliacion."/>
      <sheetName val="CF-FC y ND"/>
      <sheetName val="C.U."/>
      <sheetName val="SYS EXE-GRAV."/>
      <sheetName val="Base Cociente"/>
      <sheetName val="Acum Nom Esp-Ord"/>
      <sheetName val="ER"/>
      <sheetName val="BG"/>
      <sheetName val="Conciliación (A)"/>
      <sheetName val="Ded Aut."/>
      <sheetName val="CUFIN-CUCA"/>
      <sheetName val="Resumen pagos"/>
      <sheetName val="DIEMSE"/>
      <sheetName val="IVA a Favor"/>
      <sheetName val="AAI"/>
      <sheetName val="Sdos USD"/>
      <sheetName val="TC-INPC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</sheetNames>
    <sheetDataSet>
      <sheetData sheetId="0">
        <row r="1">
          <cell r="A1" t="str">
            <v>Account</v>
          </cell>
          <cell r="B1" t="str">
            <v>Name</v>
          </cell>
          <cell r="C1" t="str">
            <v xml:space="preserve">      OPENING BALANCE</v>
          </cell>
          <cell r="D1" t="str">
            <v xml:space="preserve">               DEBITS</v>
          </cell>
          <cell r="E1" t="str">
            <v xml:space="preserve">              CREDITS</v>
          </cell>
          <cell r="F1" t="str">
            <v xml:space="preserve">                  NET</v>
          </cell>
          <cell r="G1" t="str">
            <v xml:space="preserve">      CLOSING BALANCE</v>
          </cell>
        </row>
        <row r="2">
          <cell r="A2">
            <v>0</v>
          </cell>
          <cell r="B2" t="str">
            <v>*BLANK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0</v>
          </cell>
          <cell r="B3" t="str">
            <v>*BLANK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1000</v>
          </cell>
          <cell r="B4" t="str">
            <v>*BLANK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>
            <v>1001</v>
          </cell>
          <cell r="B5" t="str">
            <v>*BLANK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>
            <v>1002</v>
          </cell>
          <cell r="B6" t="str">
            <v>*BLANK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1003</v>
          </cell>
          <cell r="B7" t="str">
            <v>*BLANK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100L310</v>
          </cell>
          <cell r="B8" t="str">
            <v>*BLANK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>
            <v>10100</v>
          </cell>
          <cell r="B9" t="str">
            <v>COMMON STOCK</v>
          </cell>
          <cell r="C9">
            <v>-3000000</v>
          </cell>
          <cell r="D9">
            <v>0</v>
          </cell>
          <cell r="E9">
            <v>0</v>
          </cell>
          <cell r="F9">
            <v>0</v>
          </cell>
          <cell r="G9">
            <v>-3000000</v>
          </cell>
        </row>
        <row r="10">
          <cell r="A10">
            <v>10680</v>
          </cell>
          <cell r="B10" t="str">
            <v>OTHER RESERVES</v>
          </cell>
          <cell r="C10">
            <v>-600000</v>
          </cell>
          <cell r="D10">
            <v>0</v>
          </cell>
          <cell r="E10">
            <v>0</v>
          </cell>
          <cell r="F10">
            <v>0</v>
          </cell>
          <cell r="G10">
            <v>-600000</v>
          </cell>
        </row>
        <row r="11">
          <cell r="A11">
            <v>11000</v>
          </cell>
          <cell r="B11" t="str">
            <v>RETAINED EARNIN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>
            <v>11001</v>
          </cell>
          <cell r="B12" t="str">
            <v>*BLANK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>
            <v>11002</v>
          </cell>
          <cell r="B13" t="str">
            <v>*BLANK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>
            <v>11003</v>
          </cell>
          <cell r="B14" t="str">
            <v>*BLANK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>
            <v>11400</v>
          </cell>
          <cell r="B15" t="str">
            <v>*BLANK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>
            <v>11401</v>
          </cell>
          <cell r="B16" t="str">
            <v>*BLANK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11402</v>
          </cell>
          <cell r="B17" t="str">
            <v>*BLANK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11407</v>
          </cell>
          <cell r="B18" t="str">
            <v>*BLANK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11409</v>
          </cell>
          <cell r="B19" t="str">
            <v>*BLANK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11412</v>
          </cell>
          <cell r="B20" t="str">
            <v>*BLANK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11413</v>
          </cell>
          <cell r="B21" t="str">
            <v>*BLANK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11414</v>
          </cell>
          <cell r="B22" t="str">
            <v>*BLANK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>
            <v>11500</v>
          </cell>
          <cell r="B23" t="str">
            <v>*BLANK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>
            <v>12000</v>
          </cell>
          <cell r="B24" t="str">
            <v>NET RESULT OF T</v>
          </cell>
          <cell r="C24">
            <v>-100438980.61</v>
          </cell>
          <cell r="D24">
            <v>0</v>
          </cell>
          <cell r="E24">
            <v>0</v>
          </cell>
          <cell r="F24">
            <v>0</v>
          </cell>
          <cell r="G24">
            <v>-100438980.61</v>
          </cell>
        </row>
        <row r="25">
          <cell r="A25">
            <v>130</v>
          </cell>
          <cell r="B25" t="str">
            <v>*BLANK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140</v>
          </cell>
          <cell r="B26" t="str">
            <v>*BLANK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150</v>
          </cell>
          <cell r="B27" t="str">
            <v>*BLANK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15001</v>
          </cell>
          <cell r="B28" t="str">
            <v>*BLANK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 t="str">
            <v>150L001</v>
          </cell>
          <cell r="B29" t="str">
            <v>*BLANK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151</v>
          </cell>
          <cell r="B30" t="str">
            <v>*BLANK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>
            <v>15150</v>
          </cell>
          <cell r="B31" t="str">
            <v>PROVISIONS FOR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15300</v>
          </cell>
          <cell r="B32" t="str">
            <v>PENSION &amp; POST</v>
          </cell>
          <cell r="C32">
            <v>-31428038</v>
          </cell>
          <cell r="D32">
            <v>0</v>
          </cell>
          <cell r="E32">
            <v>0</v>
          </cell>
          <cell r="F32">
            <v>0</v>
          </cell>
          <cell r="G32">
            <v>-31428038</v>
          </cell>
        </row>
        <row r="33">
          <cell r="A33" t="str">
            <v>160L001</v>
          </cell>
          <cell r="B33" t="str">
            <v>*BLANK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>
            <v>16509</v>
          </cell>
          <cell r="B34" t="str">
            <v>DEPOSITS COLLEC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>
            <v>18809</v>
          </cell>
          <cell r="B35" t="str">
            <v>COMPTE DE LIAIS</v>
          </cell>
          <cell r="C35">
            <v>0.05</v>
          </cell>
          <cell r="D35">
            <v>0</v>
          </cell>
          <cell r="E35">
            <v>0</v>
          </cell>
          <cell r="F35">
            <v>0</v>
          </cell>
          <cell r="G35">
            <v>0.05</v>
          </cell>
        </row>
        <row r="36">
          <cell r="A36">
            <v>20510</v>
          </cell>
          <cell r="B36" t="str">
            <v>SOFTWARES</v>
          </cell>
          <cell r="C36">
            <v>248558.25</v>
          </cell>
          <cell r="D36">
            <v>909273.41</v>
          </cell>
          <cell r="E36">
            <v>0</v>
          </cell>
          <cell r="F36">
            <v>909273.41</v>
          </cell>
          <cell r="G36">
            <v>1157831.6599999999</v>
          </cell>
        </row>
        <row r="37">
          <cell r="A37">
            <v>20900</v>
          </cell>
          <cell r="B37" t="str">
            <v>OTHER INTANGIBL</v>
          </cell>
          <cell r="C37">
            <v>0.15</v>
          </cell>
          <cell r="D37">
            <v>0</v>
          </cell>
          <cell r="E37">
            <v>0</v>
          </cell>
          <cell r="F37">
            <v>0</v>
          </cell>
          <cell r="G37">
            <v>0.15</v>
          </cell>
        </row>
        <row r="38">
          <cell r="A38">
            <v>21350</v>
          </cell>
          <cell r="B38" t="str">
            <v>BUILDINGS IMPRO</v>
          </cell>
          <cell r="C38">
            <v>36027261.100000001</v>
          </cell>
          <cell r="D38">
            <v>2019462.12</v>
          </cell>
          <cell r="E38">
            <v>-114451.76</v>
          </cell>
          <cell r="F38">
            <v>1905010.36</v>
          </cell>
          <cell r="G38">
            <v>37932271.460000001</v>
          </cell>
        </row>
        <row r="39">
          <cell r="A39">
            <v>21540</v>
          </cell>
          <cell r="B39" t="str">
            <v>PLANT EQUIPMENT</v>
          </cell>
          <cell r="C39">
            <v>7768609.3700000001</v>
          </cell>
          <cell r="D39">
            <v>364326.28</v>
          </cell>
          <cell r="E39">
            <v>0</v>
          </cell>
          <cell r="F39">
            <v>364326.28</v>
          </cell>
          <cell r="G39">
            <v>8132935.6500000004</v>
          </cell>
        </row>
        <row r="40">
          <cell r="A40">
            <v>21810</v>
          </cell>
          <cell r="B40" t="str">
            <v>OTHER IMPROVEME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>
            <v>21820</v>
          </cell>
          <cell r="B41" t="str">
            <v>TRANSPORT EQUIP</v>
          </cell>
          <cell r="C41">
            <v>316600</v>
          </cell>
          <cell r="D41">
            <v>0</v>
          </cell>
          <cell r="E41">
            <v>0</v>
          </cell>
          <cell r="F41">
            <v>0</v>
          </cell>
          <cell r="G41">
            <v>316600</v>
          </cell>
        </row>
        <row r="42">
          <cell r="A42">
            <v>21830</v>
          </cell>
          <cell r="B42" t="str">
            <v>COMPUTER EQUIPM</v>
          </cell>
          <cell r="C42">
            <v>17020120.140000001</v>
          </cell>
          <cell r="D42">
            <v>800897.14</v>
          </cell>
          <cell r="E42">
            <v>-396830</v>
          </cell>
          <cell r="F42">
            <v>404067.14</v>
          </cell>
          <cell r="G42">
            <v>17424187.280000001</v>
          </cell>
        </row>
        <row r="43">
          <cell r="A43">
            <v>21840</v>
          </cell>
          <cell r="B43" t="str">
            <v>OFFICE EQUIPMEN</v>
          </cell>
          <cell r="C43">
            <v>1802955.35</v>
          </cell>
          <cell r="D43">
            <v>0</v>
          </cell>
          <cell r="E43">
            <v>0</v>
          </cell>
          <cell r="F43">
            <v>0</v>
          </cell>
          <cell r="G43">
            <v>1802955.35</v>
          </cell>
        </row>
        <row r="44">
          <cell r="A44" t="str">
            <v>230L001</v>
          </cell>
          <cell r="B44" t="str">
            <v>*BLANK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23200</v>
          </cell>
          <cell r="B45" t="str">
            <v>INTANGIBLE ASSE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23900</v>
          </cell>
          <cell r="B46" t="str">
            <v>TANGIBLE ASSETS</v>
          </cell>
          <cell r="C46">
            <v>18072171.969999999</v>
          </cell>
          <cell r="D46">
            <v>4040697.87</v>
          </cell>
          <cell r="E46">
            <v>-3595517.19</v>
          </cell>
          <cell r="F46">
            <v>445180.68</v>
          </cell>
          <cell r="G46">
            <v>18517352.649999999</v>
          </cell>
        </row>
        <row r="47">
          <cell r="A47">
            <v>23909</v>
          </cell>
          <cell r="B47" t="str">
            <v>INTERCO TANGIBL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27500</v>
          </cell>
          <cell r="B48" t="str">
            <v>DEPOSITS</v>
          </cell>
          <cell r="C48">
            <v>2595790.21</v>
          </cell>
          <cell r="D48">
            <v>0</v>
          </cell>
          <cell r="E48">
            <v>0</v>
          </cell>
          <cell r="F48">
            <v>0</v>
          </cell>
          <cell r="G48">
            <v>2595790.21</v>
          </cell>
        </row>
        <row r="49">
          <cell r="A49">
            <v>28051</v>
          </cell>
          <cell r="B49" t="str">
            <v>AMORTIZATION SO</v>
          </cell>
          <cell r="C49">
            <v>-115677.85</v>
          </cell>
          <cell r="D49">
            <v>0</v>
          </cell>
          <cell r="E49">
            <v>-4142.63</v>
          </cell>
          <cell r="F49">
            <v>-4142.63</v>
          </cell>
          <cell r="G49">
            <v>-119820.48</v>
          </cell>
        </row>
        <row r="50">
          <cell r="A50">
            <v>28135</v>
          </cell>
          <cell r="B50" t="str">
            <v>DEPRECIATION BU</v>
          </cell>
          <cell r="C50">
            <v>-2667327.67</v>
          </cell>
          <cell r="D50">
            <v>11445.23</v>
          </cell>
          <cell r="E50">
            <v>-276896.25</v>
          </cell>
          <cell r="F50">
            <v>-265451.02</v>
          </cell>
          <cell r="G50">
            <v>-2932778.69</v>
          </cell>
        </row>
        <row r="51">
          <cell r="A51">
            <v>28150</v>
          </cell>
          <cell r="B51" t="str">
            <v>DEPRECIATION PL</v>
          </cell>
          <cell r="C51">
            <v>-1435784.07</v>
          </cell>
          <cell r="D51">
            <v>0</v>
          </cell>
          <cell r="E51">
            <v>-74122.55</v>
          </cell>
          <cell r="F51">
            <v>-74122.55</v>
          </cell>
          <cell r="G51">
            <v>-1509906.62</v>
          </cell>
        </row>
        <row r="52">
          <cell r="A52">
            <v>28182</v>
          </cell>
          <cell r="B52" t="str">
            <v>DEPRECIATION TR</v>
          </cell>
          <cell r="C52">
            <v>-244045.79</v>
          </cell>
          <cell r="D52">
            <v>0</v>
          </cell>
          <cell r="E52">
            <v>-6595.83</v>
          </cell>
          <cell r="F52">
            <v>-6595.83</v>
          </cell>
          <cell r="G52">
            <v>-250641.62</v>
          </cell>
        </row>
        <row r="53">
          <cell r="A53">
            <v>28183</v>
          </cell>
          <cell r="B53" t="str">
            <v>DEPRECIATION CO</v>
          </cell>
          <cell r="C53">
            <v>-11432226.300000001</v>
          </cell>
          <cell r="D53">
            <v>11023.06</v>
          </cell>
          <cell r="E53">
            <v>-373131.15</v>
          </cell>
          <cell r="F53">
            <v>-362108.09</v>
          </cell>
          <cell r="G53">
            <v>-11794334.390000001</v>
          </cell>
        </row>
        <row r="54">
          <cell r="A54">
            <v>28184</v>
          </cell>
          <cell r="B54" t="str">
            <v>DEPRECIATION OF</v>
          </cell>
          <cell r="C54">
            <v>-513972.67</v>
          </cell>
          <cell r="D54">
            <v>0</v>
          </cell>
          <cell r="E54">
            <v>-19908.64</v>
          </cell>
          <cell r="F54">
            <v>-19908.64</v>
          </cell>
          <cell r="G54">
            <v>-533881.31000000006</v>
          </cell>
        </row>
        <row r="55">
          <cell r="A55" t="str">
            <v>300L001</v>
          </cell>
          <cell r="B55" t="str">
            <v>*BLANK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310L001</v>
          </cell>
          <cell r="B56" t="str">
            <v>*BLANK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31100</v>
          </cell>
          <cell r="B57" t="str">
            <v>CAPITALIZED OVE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31805</v>
          </cell>
          <cell r="B58" t="str">
            <v>*BLANK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>
            <v>31806</v>
          </cell>
          <cell r="B59" t="str">
            <v>*BLANK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>
            <v>31812</v>
          </cell>
          <cell r="B60" t="str">
            <v>*BLANK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>
            <v>31814</v>
          </cell>
          <cell r="B61" t="str">
            <v>*BLANK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>
            <v>31816</v>
          </cell>
          <cell r="B62" t="str">
            <v>*BLANK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>
            <v>31817</v>
          </cell>
          <cell r="B63" t="str">
            <v>*BLANK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A64" t="str">
            <v>320L001</v>
          </cell>
          <cell r="B64" t="str">
            <v>*BLANK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>
            <v>33000</v>
          </cell>
          <cell r="B65" t="str">
            <v>WORK IN PROGRES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>
            <v>33001</v>
          </cell>
          <cell r="B66" t="str">
            <v>*BLANK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>
            <v>340</v>
          </cell>
          <cell r="B67" t="str">
            <v>*BLANK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350</v>
          </cell>
          <cell r="B68" t="str">
            <v>*BLANK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35100</v>
          </cell>
          <cell r="B69" t="str">
            <v>CAPITALIZED OVE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35101</v>
          </cell>
          <cell r="B70" t="str">
            <v>*BLANK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35102</v>
          </cell>
          <cell r="B71" t="str">
            <v>*BLANK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35103</v>
          </cell>
          <cell r="B72" t="str">
            <v>*BLANK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35104</v>
          </cell>
          <cell r="B73" t="str">
            <v>*BLANK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35105</v>
          </cell>
          <cell r="B74" t="str">
            <v>*BLANK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A75">
            <v>35106</v>
          </cell>
          <cell r="B75" t="str">
            <v>*BLANK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35201</v>
          </cell>
          <cell r="B76" t="str">
            <v>*BLANK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35301</v>
          </cell>
          <cell r="B77" t="str">
            <v>*BLANK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35704</v>
          </cell>
          <cell r="B78" t="str">
            <v>*BLANK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35706</v>
          </cell>
          <cell r="B79" t="str">
            <v>*BLANK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35708</v>
          </cell>
          <cell r="B80" t="str">
            <v>*BLANK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35709</v>
          </cell>
          <cell r="B81" t="str">
            <v>*BLANK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35710</v>
          </cell>
          <cell r="B82" t="str">
            <v>*BLANK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35807</v>
          </cell>
          <cell r="B83" t="str">
            <v>*BLANK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35810</v>
          </cell>
          <cell r="B84" t="str">
            <v>*BLANK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35811</v>
          </cell>
          <cell r="B85" t="str">
            <v>*BLANK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35812</v>
          </cell>
          <cell r="B86" t="str">
            <v>*BLANK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35813</v>
          </cell>
          <cell r="B87" t="str">
            <v>*BLANK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35814</v>
          </cell>
          <cell r="B88" t="str">
            <v>*BLANK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35815</v>
          </cell>
          <cell r="B89" t="str">
            <v>*BLANK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35817</v>
          </cell>
          <cell r="B90" t="str">
            <v>*BLANK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35818</v>
          </cell>
          <cell r="B91" t="str">
            <v>*BLANK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35819</v>
          </cell>
          <cell r="B92" t="str">
            <v>*BLANK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>
            <v>35821</v>
          </cell>
          <cell r="B93" t="str">
            <v>*BLANK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35822</v>
          </cell>
          <cell r="B94" t="str">
            <v>*BLANK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35824</v>
          </cell>
          <cell r="B95" t="str">
            <v>*BLANK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40000</v>
          </cell>
          <cell r="B96" t="str">
            <v>TRADE PAYABLES</v>
          </cell>
          <cell r="C96">
            <v>-17374103.469999999</v>
          </cell>
          <cell r="D96">
            <v>70892506.040000007</v>
          </cell>
          <cell r="E96">
            <v>-79959848.280000001</v>
          </cell>
          <cell r="F96">
            <v>-9067342.2400000002</v>
          </cell>
          <cell r="G96">
            <v>-26441445.710000001</v>
          </cell>
        </row>
        <row r="97">
          <cell r="A97">
            <v>40409</v>
          </cell>
          <cell r="B97" t="str">
            <v>PAYABLES FIXED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40815</v>
          </cell>
          <cell r="B98" t="str">
            <v>GOODS RECEIVED</v>
          </cell>
          <cell r="C98">
            <v>-62882977.039999999</v>
          </cell>
          <cell r="D98">
            <v>43357636.409999996</v>
          </cell>
          <cell r="E98">
            <v>-41638378.939999998</v>
          </cell>
          <cell r="F98">
            <v>1719257.47</v>
          </cell>
          <cell r="G98">
            <v>-61163719.57</v>
          </cell>
        </row>
        <row r="99">
          <cell r="A99">
            <v>40819</v>
          </cell>
          <cell r="B99" t="str">
            <v>INVOICE NOT REC</v>
          </cell>
          <cell r="C99">
            <v>-578388.03</v>
          </cell>
          <cell r="D99">
            <v>1678733.46</v>
          </cell>
          <cell r="E99">
            <v>-2111686.5099999998</v>
          </cell>
          <cell r="F99">
            <v>-432953.05</v>
          </cell>
          <cell r="G99">
            <v>-1011341.08</v>
          </cell>
        </row>
        <row r="100">
          <cell r="A100">
            <v>40850</v>
          </cell>
          <cell r="B100" t="str">
            <v>RESTATEMENT PAY</v>
          </cell>
          <cell r="C100">
            <v>-438656.59</v>
          </cell>
          <cell r="D100">
            <v>0</v>
          </cell>
          <cell r="E100">
            <v>91096.73</v>
          </cell>
          <cell r="F100">
            <v>91096.73</v>
          </cell>
          <cell r="G100">
            <v>-347559.86</v>
          </cell>
        </row>
        <row r="101">
          <cell r="A101">
            <v>40859</v>
          </cell>
          <cell r="B101" t="str">
            <v>RESTATEMENT PAY</v>
          </cell>
          <cell r="C101">
            <v>-36644.230000000003</v>
          </cell>
          <cell r="D101">
            <v>2904.56</v>
          </cell>
          <cell r="E101">
            <v>-5916.78</v>
          </cell>
          <cell r="F101">
            <v>-3012.22</v>
          </cell>
          <cell r="G101">
            <v>-39656.449999999997</v>
          </cell>
        </row>
        <row r="102">
          <cell r="A102">
            <v>40980</v>
          </cell>
          <cell r="B102" t="str">
            <v>CREDIT NOTES/DI</v>
          </cell>
          <cell r="C102">
            <v>-6149856.3600000003</v>
          </cell>
          <cell r="D102">
            <v>7505687.4699999997</v>
          </cell>
          <cell r="E102">
            <v>-7681271.5199999996</v>
          </cell>
          <cell r="F102">
            <v>-175584.05</v>
          </cell>
          <cell r="G102">
            <v>-6325440.4100000001</v>
          </cell>
        </row>
        <row r="103">
          <cell r="A103">
            <v>41000</v>
          </cell>
          <cell r="B103" t="str">
            <v>TRADE RECEIVABL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41009</v>
          </cell>
          <cell r="B104" t="str">
            <v>TRADE RECEIVABL</v>
          </cell>
          <cell r="C104">
            <v>169932255.50999999</v>
          </cell>
          <cell r="D104">
            <v>136748589.36000001</v>
          </cell>
          <cell r="E104">
            <v>-140231007.59999999</v>
          </cell>
          <cell r="F104">
            <v>-3482418.24</v>
          </cell>
          <cell r="G104">
            <v>166449837.27000001</v>
          </cell>
        </row>
        <row r="105">
          <cell r="A105">
            <v>411</v>
          </cell>
          <cell r="B105" t="str">
            <v>*BLANK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41131</v>
          </cell>
          <cell r="B106" t="str">
            <v>*BLANK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41201</v>
          </cell>
          <cell r="B107" t="str">
            <v>*BLANK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413</v>
          </cell>
          <cell r="B108" t="str">
            <v>*BLANK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414</v>
          </cell>
          <cell r="B109" t="str">
            <v>*BLANK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41600</v>
          </cell>
          <cell r="B110" t="str">
            <v>DOUBTFUL ACCOUN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41601</v>
          </cell>
          <cell r="B111" t="str">
            <v>*BLANK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41850</v>
          </cell>
          <cell r="B112" t="str">
            <v>RESTATEMENT REC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41859</v>
          </cell>
          <cell r="B113" t="str">
            <v>RESTATEMENT REC</v>
          </cell>
          <cell r="C113">
            <v>9559628.2300000004</v>
          </cell>
          <cell r="D113">
            <v>-3472239.46</v>
          </cell>
          <cell r="E113">
            <v>0</v>
          </cell>
          <cell r="F113">
            <v>-3472239.46</v>
          </cell>
          <cell r="G113">
            <v>6087388.7699999996</v>
          </cell>
        </row>
        <row r="114">
          <cell r="A114">
            <v>421</v>
          </cell>
          <cell r="B114" t="str">
            <v>*BLANK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A115">
            <v>42201</v>
          </cell>
          <cell r="B115" t="str">
            <v>*BLANK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A116">
            <v>42211</v>
          </cell>
          <cell r="B116" t="str">
            <v>*BLANK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42401</v>
          </cell>
          <cell r="B117" t="str">
            <v>*BLANK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42402</v>
          </cell>
          <cell r="B118" t="str">
            <v>*BLANK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>
            <v>42403</v>
          </cell>
          <cell r="B119" t="str">
            <v>*BLANK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>
            <v>42510</v>
          </cell>
          <cell r="B120" t="str">
            <v>ADVANCES AND IN</v>
          </cell>
          <cell r="C120">
            <v>-7003.93</v>
          </cell>
          <cell r="D120">
            <v>0</v>
          </cell>
          <cell r="E120">
            <v>-8579.2000000000007</v>
          </cell>
          <cell r="F120">
            <v>-8579.2000000000007</v>
          </cell>
          <cell r="G120">
            <v>-15583.13</v>
          </cell>
        </row>
        <row r="121">
          <cell r="A121">
            <v>42540</v>
          </cell>
          <cell r="B121" t="str">
            <v>TRAVEL ADVANCES</v>
          </cell>
          <cell r="C121">
            <v>3072715.81</v>
          </cell>
          <cell r="D121">
            <v>972115.17</v>
          </cell>
          <cell r="E121">
            <v>-941553.1</v>
          </cell>
          <cell r="F121">
            <v>30562.07</v>
          </cell>
          <cell r="G121">
            <v>3103277.88</v>
          </cell>
        </row>
        <row r="122">
          <cell r="A122">
            <v>42821</v>
          </cell>
          <cell r="B122" t="str">
            <v>PROVISION FOR V</v>
          </cell>
          <cell r="C122">
            <v>-16512156.73</v>
          </cell>
          <cell r="D122">
            <v>1395591.74</v>
          </cell>
          <cell r="E122">
            <v>-1652767.45</v>
          </cell>
          <cell r="F122">
            <v>-257175.71</v>
          </cell>
          <cell r="G122">
            <v>-16769332.439999999</v>
          </cell>
        </row>
        <row r="123">
          <cell r="A123">
            <v>42861</v>
          </cell>
          <cell r="B123" t="str">
            <v>ACCRUED PAYROLL</v>
          </cell>
          <cell r="C123">
            <v>-19809092.649999999</v>
          </cell>
          <cell r="D123">
            <v>31115425.550000001</v>
          </cell>
          <cell r="E123">
            <v>-33374956.719999999</v>
          </cell>
          <cell r="F123">
            <v>-2259531.17</v>
          </cell>
          <cell r="G123">
            <v>-22068623.82</v>
          </cell>
        </row>
        <row r="124">
          <cell r="A124">
            <v>4301</v>
          </cell>
          <cell r="B124" t="str">
            <v>*BLANK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>
            <v>4302</v>
          </cell>
          <cell r="B125" t="str">
            <v>*BLANK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43110</v>
          </cell>
          <cell r="B126" t="str">
            <v>FICA</v>
          </cell>
          <cell r="C126">
            <v>-16302848.869999999</v>
          </cell>
          <cell r="D126">
            <v>14453234.85</v>
          </cell>
          <cell r="E126">
            <v>-9572212.4700000007</v>
          </cell>
          <cell r="F126">
            <v>4881022.38</v>
          </cell>
          <cell r="G126">
            <v>-11421826.49</v>
          </cell>
        </row>
        <row r="127">
          <cell r="A127">
            <v>43201</v>
          </cell>
          <cell r="B127" t="str">
            <v>*BLANK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A128">
            <v>43301</v>
          </cell>
          <cell r="B128" t="str">
            <v>*BLANK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>
            <v>43401</v>
          </cell>
          <cell r="B129" t="str">
            <v>*BLANK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>
            <v>43860</v>
          </cell>
          <cell r="B130" t="str">
            <v>OTHER FRINGE BE</v>
          </cell>
          <cell r="C130">
            <v>-30447797.550000001</v>
          </cell>
          <cell r="D130">
            <v>15372303.77</v>
          </cell>
          <cell r="E130">
            <v>-19770007.32</v>
          </cell>
          <cell r="F130">
            <v>-4397703.55</v>
          </cell>
          <cell r="G130">
            <v>-34845501.100000001</v>
          </cell>
        </row>
        <row r="131">
          <cell r="A131">
            <v>4402</v>
          </cell>
          <cell r="B131" t="str">
            <v>*BLANK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44101</v>
          </cell>
          <cell r="B132" t="str">
            <v>*BLANK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44201</v>
          </cell>
          <cell r="B133" t="str">
            <v>*BLANK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44202</v>
          </cell>
          <cell r="B134" t="str">
            <v>*BLANK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44301</v>
          </cell>
          <cell r="B135" t="str">
            <v>*BLANK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>
            <v>44400</v>
          </cell>
          <cell r="B136" t="str">
            <v>STATE TAX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44401</v>
          </cell>
          <cell r="B137" t="str">
            <v>FEDERAL TAX</v>
          </cell>
          <cell r="C137">
            <v>21028813.059999999</v>
          </cell>
          <cell r="D137">
            <v>3690253</v>
          </cell>
          <cell r="E137">
            <v>-5559554</v>
          </cell>
          <cell r="F137">
            <v>-1869301</v>
          </cell>
          <cell r="G137">
            <v>19159512.059999999</v>
          </cell>
        </row>
        <row r="138">
          <cell r="A138">
            <v>44410</v>
          </cell>
          <cell r="B138" t="str">
            <v>WITHHOLDING TAX</v>
          </cell>
          <cell r="C138">
            <v>10563.26</v>
          </cell>
          <cell r="D138">
            <v>313</v>
          </cell>
          <cell r="E138">
            <v>-312.77999999999997</v>
          </cell>
          <cell r="F138">
            <v>0.22</v>
          </cell>
          <cell r="G138">
            <v>10563.48</v>
          </cell>
        </row>
        <row r="139">
          <cell r="A139">
            <v>445</v>
          </cell>
          <cell r="B139" t="str">
            <v>*BLANK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>
            <v>44560</v>
          </cell>
          <cell r="B140" t="str">
            <v>VAT PAID</v>
          </cell>
          <cell r="C140">
            <v>77109124</v>
          </cell>
          <cell r="D140">
            <v>8463661.0399999991</v>
          </cell>
          <cell r="E140">
            <v>-19947739.039999999</v>
          </cell>
          <cell r="F140">
            <v>-11484078</v>
          </cell>
          <cell r="G140">
            <v>65625046</v>
          </cell>
        </row>
        <row r="141">
          <cell r="A141">
            <v>44568</v>
          </cell>
          <cell r="B141" t="str">
            <v>VAT PAID END OF</v>
          </cell>
          <cell r="C141">
            <v>6283694.3700000001</v>
          </cell>
          <cell r="D141">
            <v>10410883.939999999</v>
          </cell>
          <cell r="E141">
            <v>-9322262.6899999995</v>
          </cell>
          <cell r="F141">
            <v>1088621.25</v>
          </cell>
          <cell r="G141">
            <v>7372315.6200000001</v>
          </cell>
        </row>
        <row r="142">
          <cell r="A142">
            <v>44860</v>
          </cell>
          <cell r="B142" t="str">
            <v>ACCRUED TAXES</v>
          </cell>
          <cell r="C142">
            <v>-14647086.98</v>
          </cell>
          <cell r="D142">
            <v>15856233.07</v>
          </cell>
          <cell r="E142">
            <v>-11666605.26</v>
          </cell>
          <cell r="F142">
            <v>4189627.81</v>
          </cell>
          <cell r="G142">
            <v>-10457459.17</v>
          </cell>
        </row>
        <row r="143">
          <cell r="A143">
            <v>44870</v>
          </cell>
          <cell r="B143" t="str">
            <v>TAX RECEIVABLES</v>
          </cell>
          <cell r="C143">
            <v>18927.52</v>
          </cell>
          <cell r="D143">
            <v>26472.07</v>
          </cell>
          <cell r="E143">
            <v>-31310</v>
          </cell>
          <cell r="F143">
            <v>-4837.93</v>
          </cell>
          <cell r="G143">
            <v>14089.59</v>
          </cell>
        </row>
        <row r="144">
          <cell r="A144">
            <v>44900</v>
          </cell>
          <cell r="B144" t="str">
            <v>DEFERRED TAX AS</v>
          </cell>
          <cell r="C144">
            <v>27583000.739999998</v>
          </cell>
          <cell r="D144">
            <v>0</v>
          </cell>
          <cell r="E144">
            <v>-5093319.03</v>
          </cell>
          <cell r="F144">
            <v>-5093319.03</v>
          </cell>
          <cell r="G144">
            <v>22489681.710000001</v>
          </cell>
        </row>
        <row r="145">
          <cell r="A145">
            <v>45509</v>
          </cell>
          <cell r="B145" t="str">
            <v>SAFRAN INTERCOM</v>
          </cell>
          <cell r="C145">
            <v>-1192067209.24</v>
          </cell>
          <cell r="D145">
            <v>7689751.4000000004</v>
          </cell>
          <cell r="E145">
            <v>-110968423.47</v>
          </cell>
          <cell r="F145">
            <v>-103278672.06999999</v>
          </cell>
          <cell r="G145">
            <v>-1295345881.3099999</v>
          </cell>
        </row>
        <row r="146">
          <cell r="A146">
            <v>45609</v>
          </cell>
          <cell r="B146" t="str">
            <v>SAFRAN INTERCOM</v>
          </cell>
          <cell r="C146">
            <v>1152388087.23</v>
          </cell>
          <cell r="D146">
            <v>139360519.58000001</v>
          </cell>
          <cell r="E146">
            <v>-13475849.050000001</v>
          </cell>
          <cell r="F146">
            <v>125884670.53</v>
          </cell>
          <cell r="G146">
            <v>1278272757.76</v>
          </cell>
        </row>
        <row r="147">
          <cell r="A147">
            <v>47800</v>
          </cell>
          <cell r="B147" t="str">
            <v>FORWARD OPERATI</v>
          </cell>
          <cell r="C147">
            <v>0.01</v>
          </cell>
          <cell r="D147">
            <v>0</v>
          </cell>
          <cell r="E147">
            <v>0</v>
          </cell>
          <cell r="F147">
            <v>0</v>
          </cell>
          <cell r="G147">
            <v>0.01</v>
          </cell>
        </row>
        <row r="148">
          <cell r="A148">
            <v>47809</v>
          </cell>
          <cell r="B148" t="str">
            <v>FORWARD OPERATI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47909</v>
          </cell>
          <cell r="B149" t="str">
            <v>CURRENCY TRANSA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>
            <v>47919</v>
          </cell>
          <cell r="B150" t="str">
            <v>CURRENCY TRANSA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A151">
            <v>48600</v>
          </cell>
          <cell r="B151" t="str">
            <v>PREPAID EXPENSE</v>
          </cell>
          <cell r="C151">
            <v>15203270.48</v>
          </cell>
          <cell r="D151">
            <v>275406.99</v>
          </cell>
          <cell r="E151">
            <v>-1487362.06</v>
          </cell>
          <cell r="F151">
            <v>-1211955.07</v>
          </cell>
          <cell r="G151">
            <v>13991315.41</v>
          </cell>
        </row>
        <row r="152">
          <cell r="A152">
            <v>49997</v>
          </cell>
          <cell r="B152" t="str">
            <v>DATALOAD AR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>
            <v>49998</v>
          </cell>
          <cell r="B153" t="str">
            <v>DATALOAD AP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>
            <v>50009</v>
          </cell>
          <cell r="B154" t="str">
            <v>RESTATEMENT ST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A155">
            <v>50119</v>
          </cell>
          <cell r="B155" t="str">
            <v>SHORT TERM INTE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A156">
            <v>51009</v>
          </cell>
          <cell r="B156" t="str">
            <v>RESTATEMENT ST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>
            <v>511</v>
          </cell>
          <cell r="B157" t="str">
            <v>*BLANK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>
            <v>51119</v>
          </cell>
          <cell r="B158" t="str">
            <v>SHORT TERM INTE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>
            <v>512</v>
          </cell>
          <cell r="B159" t="str">
            <v>*BLANK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>
            <v>51200</v>
          </cell>
          <cell r="B160" t="str">
            <v>BANK ACCOUNT IN</v>
          </cell>
          <cell r="C160">
            <v>-411915.65</v>
          </cell>
          <cell r="D160">
            <v>137127970.99000001</v>
          </cell>
          <cell r="E160">
            <v>-136997832.97999999</v>
          </cell>
          <cell r="F160">
            <v>130138.01</v>
          </cell>
          <cell r="G160">
            <v>-281777.64</v>
          </cell>
        </row>
        <row r="161">
          <cell r="A161">
            <v>51201</v>
          </cell>
          <cell r="B161" t="str">
            <v>BANK ACCOUNT US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51202</v>
          </cell>
          <cell r="B162" t="str">
            <v>BANK ACCOUNT IN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51203</v>
          </cell>
          <cell r="B163" t="str">
            <v>BANK ACCOUNT IN</v>
          </cell>
          <cell r="C163">
            <v>878117.71</v>
          </cell>
          <cell r="D163">
            <v>35340143.310000002</v>
          </cell>
          <cell r="E163">
            <v>-35305491.950000003</v>
          </cell>
          <cell r="F163">
            <v>34651.360000000001</v>
          </cell>
          <cell r="G163">
            <v>912769.07</v>
          </cell>
        </row>
        <row r="164">
          <cell r="A164">
            <v>51240</v>
          </cell>
          <cell r="B164" t="str">
            <v>BANK ACCOUNT FO</v>
          </cell>
          <cell r="C164">
            <v>-2221499.5299999998</v>
          </cell>
          <cell r="D164">
            <v>153704993.53999999</v>
          </cell>
          <cell r="E164">
            <v>-153704993.53</v>
          </cell>
          <cell r="F164">
            <v>0.01</v>
          </cell>
          <cell r="G164">
            <v>-2221499.52</v>
          </cell>
        </row>
        <row r="165">
          <cell r="A165">
            <v>51850</v>
          </cell>
          <cell r="B165" t="str">
            <v>RESTATMENT BANK</v>
          </cell>
          <cell r="C165">
            <v>2221499.5499999998</v>
          </cell>
          <cell r="D165">
            <v>0</v>
          </cell>
          <cell r="E165">
            <v>0</v>
          </cell>
          <cell r="F165">
            <v>0</v>
          </cell>
          <cell r="G165">
            <v>2221499.5499999998</v>
          </cell>
        </row>
        <row r="166">
          <cell r="A166">
            <v>52001</v>
          </cell>
          <cell r="B166" t="str">
            <v>*BLANK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52002</v>
          </cell>
          <cell r="B167" t="str">
            <v>*BLANK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52003</v>
          </cell>
          <cell r="B168" t="str">
            <v>*BLANK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A169">
            <v>52004</v>
          </cell>
          <cell r="B169" t="str">
            <v>*BLANK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>
            <v>53000</v>
          </cell>
          <cell r="B170" t="str">
            <v>PETTY CASH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>
            <v>531</v>
          </cell>
          <cell r="B171" t="str">
            <v>*BLANK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53100</v>
          </cell>
          <cell r="B172" t="str">
            <v>*BLANK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53102</v>
          </cell>
          <cell r="B173" t="str">
            <v>*BLANK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>
            <v>53103</v>
          </cell>
          <cell r="B174" t="str">
            <v>*BLANK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53104</v>
          </cell>
          <cell r="B175" t="str">
            <v>*BLANK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>
            <v>53105</v>
          </cell>
          <cell r="B176" t="str">
            <v>*BLANK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>
            <v>53106</v>
          </cell>
          <cell r="B177" t="str">
            <v>*BLANK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532</v>
          </cell>
          <cell r="B178" t="str">
            <v>*BLANK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53200</v>
          </cell>
          <cell r="B179" t="str">
            <v>*BLANK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53300</v>
          </cell>
          <cell r="B180" t="str">
            <v>*BLANK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53301</v>
          </cell>
          <cell r="B181" t="str">
            <v>*BLANK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53302</v>
          </cell>
          <cell r="B182" t="str">
            <v>*BLANK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>
            <v>53303</v>
          </cell>
          <cell r="B183" t="str">
            <v>*BLANK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>
            <v>53305</v>
          </cell>
          <cell r="B184" t="str">
            <v>*BLANK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A185">
            <v>58000</v>
          </cell>
          <cell r="B185" t="str">
            <v>INTERNAL CASH T</v>
          </cell>
          <cell r="C185">
            <v>228.14</v>
          </cell>
          <cell r="D185">
            <v>271524623.12</v>
          </cell>
          <cell r="E185">
            <v>-271457890.45999998</v>
          </cell>
          <cell r="F185">
            <v>66732.66</v>
          </cell>
          <cell r="G185">
            <v>66960.800000000003</v>
          </cell>
        </row>
        <row r="186">
          <cell r="A186">
            <v>60000</v>
          </cell>
          <cell r="B186" t="str">
            <v>COST OF SALES</v>
          </cell>
          <cell r="C186">
            <v>341841567</v>
          </cell>
          <cell r="D186">
            <v>44135849</v>
          </cell>
          <cell r="E186">
            <v>0</v>
          </cell>
          <cell r="F186">
            <v>44135849</v>
          </cell>
          <cell r="G186">
            <v>385977416</v>
          </cell>
        </row>
        <row r="187">
          <cell r="A187" t="str">
            <v>600L001</v>
          </cell>
          <cell r="B187" t="str">
            <v>*BLANK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>
            <v>60190</v>
          </cell>
          <cell r="B188" t="str">
            <v>EXCHANGE DIFFER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60200</v>
          </cell>
          <cell r="B189" t="str">
            <v>PACKAGING</v>
          </cell>
          <cell r="C189">
            <v>14079794.560000001</v>
          </cell>
          <cell r="D189">
            <v>1535390.49</v>
          </cell>
          <cell r="E189">
            <v>450000</v>
          </cell>
          <cell r="F189">
            <v>1985390.49</v>
          </cell>
          <cell r="G189">
            <v>16065185.050000001</v>
          </cell>
        </row>
        <row r="190">
          <cell r="A190">
            <v>60610</v>
          </cell>
          <cell r="B190" t="str">
            <v>UTILITIES</v>
          </cell>
          <cell r="C190">
            <v>39636184.670000002</v>
          </cell>
          <cell r="D190">
            <v>6353109.9400000004</v>
          </cell>
          <cell r="E190">
            <v>232883.01</v>
          </cell>
          <cell r="F190">
            <v>6585992.9500000002</v>
          </cell>
          <cell r="G190">
            <v>46222177.619999997</v>
          </cell>
        </row>
        <row r="191">
          <cell r="A191">
            <v>60630</v>
          </cell>
          <cell r="B191" t="str">
            <v>SMALL TOOLS</v>
          </cell>
          <cell r="C191">
            <v>29999704.27</v>
          </cell>
          <cell r="D191">
            <v>4343889.37</v>
          </cell>
          <cell r="E191">
            <v>-4497.24</v>
          </cell>
          <cell r="F191">
            <v>4339392.13</v>
          </cell>
          <cell r="G191">
            <v>34339096.399999999</v>
          </cell>
        </row>
        <row r="192">
          <cell r="A192">
            <v>60640</v>
          </cell>
          <cell r="B192" t="str">
            <v>FURNITURES &amp; SU</v>
          </cell>
          <cell r="C192">
            <v>411457.13</v>
          </cell>
          <cell r="D192">
            <v>95438.399999999994</v>
          </cell>
          <cell r="E192">
            <v>-66802.75</v>
          </cell>
          <cell r="F192">
            <v>28635.65</v>
          </cell>
          <cell r="G192">
            <v>440092.78</v>
          </cell>
        </row>
        <row r="193">
          <cell r="A193">
            <v>60680</v>
          </cell>
          <cell r="B193" t="str">
            <v>NON STOCKED PUR</v>
          </cell>
          <cell r="C193">
            <v>52515284.960000001</v>
          </cell>
          <cell r="D193">
            <v>7308523.0599999996</v>
          </cell>
          <cell r="E193">
            <v>636136.27</v>
          </cell>
          <cell r="F193">
            <v>7944659.3300000001</v>
          </cell>
          <cell r="G193">
            <v>60459944.289999999</v>
          </cell>
        </row>
        <row r="194">
          <cell r="A194">
            <v>61100</v>
          </cell>
          <cell r="B194" t="str">
            <v>EXTERNAL SERVIC</v>
          </cell>
          <cell r="C194">
            <v>37688457.439999998</v>
          </cell>
          <cell r="D194">
            <v>8407617.6099999994</v>
          </cell>
          <cell r="E194">
            <v>-3315552.59</v>
          </cell>
          <cell r="F194">
            <v>5092065.0199999996</v>
          </cell>
          <cell r="G194">
            <v>42780522.460000001</v>
          </cell>
        </row>
        <row r="195">
          <cell r="A195">
            <v>61220</v>
          </cell>
          <cell r="B195" t="str">
            <v>LEASING UNMOVAB</v>
          </cell>
          <cell r="C195">
            <v>20141.349999999999</v>
          </cell>
          <cell r="D195">
            <v>880.18</v>
          </cell>
          <cell r="E195">
            <v>0</v>
          </cell>
          <cell r="F195">
            <v>880.18</v>
          </cell>
          <cell r="G195">
            <v>21021.53</v>
          </cell>
        </row>
        <row r="196">
          <cell r="A196">
            <v>61250</v>
          </cell>
          <cell r="B196" t="str">
            <v>LEASING MOVABLE</v>
          </cell>
          <cell r="C196">
            <v>25070.68</v>
          </cell>
          <cell r="D196">
            <v>0</v>
          </cell>
          <cell r="E196">
            <v>0</v>
          </cell>
          <cell r="F196">
            <v>0</v>
          </cell>
          <cell r="G196">
            <v>25070.68</v>
          </cell>
        </row>
        <row r="197">
          <cell r="A197">
            <v>61301</v>
          </cell>
          <cell r="B197" t="str">
            <v>*BLANK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>
            <v>61303</v>
          </cell>
          <cell r="B198" t="str">
            <v>*BLANK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>
            <v>61320</v>
          </cell>
          <cell r="B199" t="str">
            <v>RENT &amp; CHARGES</v>
          </cell>
          <cell r="C199">
            <v>12580790.640000001</v>
          </cell>
          <cell r="D199">
            <v>7068207.6699999999</v>
          </cell>
          <cell r="E199">
            <v>-20028757.23</v>
          </cell>
          <cell r="F199">
            <v>-12960549.560000001</v>
          </cell>
          <cell r="G199">
            <v>-379758.92</v>
          </cell>
        </row>
        <row r="200">
          <cell r="A200">
            <v>615</v>
          </cell>
          <cell r="B200" t="str">
            <v>*BLANK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>
            <v>61520</v>
          </cell>
          <cell r="B201" t="str">
            <v>REPAIRS &amp; MAINT</v>
          </cell>
          <cell r="C201">
            <v>47763681.060000002</v>
          </cell>
          <cell r="D201">
            <v>6750282.1100000003</v>
          </cell>
          <cell r="E201">
            <v>-239759.8</v>
          </cell>
          <cell r="F201">
            <v>6510522.3099999996</v>
          </cell>
          <cell r="G201">
            <v>54274203.369999997</v>
          </cell>
        </row>
        <row r="202">
          <cell r="A202">
            <v>61698</v>
          </cell>
          <cell r="B202" t="str">
            <v>INSURANCES</v>
          </cell>
          <cell r="C202">
            <v>299812.57</v>
          </cell>
          <cell r="D202">
            <v>176472.27</v>
          </cell>
          <cell r="E202">
            <v>-66130.929999999993</v>
          </cell>
          <cell r="F202">
            <v>110341.34</v>
          </cell>
          <cell r="G202">
            <v>410153.91</v>
          </cell>
        </row>
        <row r="203">
          <cell r="A203">
            <v>617</v>
          </cell>
          <cell r="B203" t="str">
            <v>*BLANK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>
            <v>618</v>
          </cell>
          <cell r="B204" t="str">
            <v>*BLANK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>
            <v>61850</v>
          </cell>
          <cell r="B205" t="str">
            <v>SEMINARS / CONF</v>
          </cell>
          <cell r="C205">
            <v>38200</v>
          </cell>
          <cell r="D205">
            <v>0</v>
          </cell>
          <cell r="E205">
            <v>0</v>
          </cell>
          <cell r="F205">
            <v>0</v>
          </cell>
          <cell r="G205">
            <v>38200</v>
          </cell>
        </row>
        <row r="206">
          <cell r="A206" t="str">
            <v>620L001</v>
          </cell>
          <cell r="B206" t="str">
            <v>*BLANK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>
            <v>621</v>
          </cell>
          <cell r="B207" t="str">
            <v>*BLANK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>
            <v>62110</v>
          </cell>
          <cell r="B208" t="str">
            <v>TEMPORARY STAFF</v>
          </cell>
          <cell r="C208">
            <v>4874509.97</v>
          </cell>
          <cell r="D208">
            <v>1147499.51</v>
          </cell>
          <cell r="E208">
            <v>-342333.32</v>
          </cell>
          <cell r="F208">
            <v>805166.19</v>
          </cell>
          <cell r="G208">
            <v>5679676.1600000001</v>
          </cell>
        </row>
        <row r="209">
          <cell r="A209">
            <v>62400</v>
          </cell>
          <cell r="B209" t="str">
            <v>TRANSPORTS SUR</v>
          </cell>
          <cell r="C209">
            <v>13345961.65</v>
          </cell>
          <cell r="D209">
            <v>6058385</v>
          </cell>
          <cell r="E209">
            <v>-4294934.16</v>
          </cell>
          <cell r="F209">
            <v>1763450.84</v>
          </cell>
          <cell r="G209">
            <v>15109412.49</v>
          </cell>
        </row>
        <row r="210">
          <cell r="A210">
            <v>62560</v>
          </cell>
          <cell r="B210" t="str">
            <v>TRAVEL EXPENSES</v>
          </cell>
          <cell r="C210">
            <v>16013342.5</v>
          </cell>
          <cell r="D210">
            <v>3194427.22</v>
          </cell>
          <cell r="E210">
            <v>-571914.42000000004</v>
          </cell>
          <cell r="F210">
            <v>2622512.7999999998</v>
          </cell>
          <cell r="G210">
            <v>18635855.300000001</v>
          </cell>
        </row>
        <row r="211">
          <cell r="A211">
            <v>62561</v>
          </cell>
          <cell r="B211" t="str">
            <v>RECEPTIONS SOUM</v>
          </cell>
          <cell r="C211">
            <v>1901674.51</v>
          </cell>
          <cell r="D211">
            <v>267191.76</v>
          </cell>
          <cell r="E211">
            <v>3038</v>
          </cell>
          <cell r="F211">
            <v>270229.76000000001</v>
          </cell>
          <cell r="G211">
            <v>2171904.27</v>
          </cell>
        </row>
        <row r="212">
          <cell r="A212">
            <v>62600</v>
          </cell>
          <cell r="B212" t="str">
            <v>AFFRANCHISSEMEN</v>
          </cell>
          <cell r="C212">
            <v>8445314.6799999997</v>
          </cell>
          <cell r="D212">
            <v>1394271.15</v>
          </cell>
          <cell r="E212">
            <v>-232996.34</v>
          </cell>
          <cell r="F212">
            <v>1161274.81</v>
          </cell>
          <cell r="G212">
            <v>9606589.4900000002</v>
          </cell>
        </row>
        <row r="213">
          <cell r="A213">
            <v>62780</v>
          </cell>
          <cell r="B213" t="str">
            <v>FRAIS DE RENOUV</v>
          </cell>
          <cell r="C213">
            <v>115070.37</v>
          </cell>
          <cell r="D213">
            <v>88</v>
          </cell>
          <cell r="E213">
            <v>-44</v>
          </cell>
          <cell r="F213">
            <v>44</v>
          </cell>
          <cell r="G213">
            <v>115114.37</v>
          </cell>
        </row>
        <row r="214">
          <cell r="A214">
            <v>62810</v>
          </cell>
          <cell r="B214" t="str">
            <v>COTISATIONS/MEM</v>
          </cell>
          <cell r="C214">
            <v>327521.82</v>
          </cell>
          <cell r="D214">
            <v>72000</v>
          </cell>
          <cell r="E214">
            <v>-21000</v>
          </cell>
          <cell r="F214">
            <v>51000</v>
          </cell>
          <cell r="G214">
            <v>378521.82</v>
          </cell>
        </row>
        <row r="215">
          <cell r="A215">
            <v>62840</v>
          </cell>
          <cell r="B215" t="str">
            <v>FRAIS DE RECRUT</v>
          </cell>
          <cell r="C215">
            <v>1377967.66</v>
          </cell>
          <cell r="D215">
            <v>341280.93</v>
          </cell>
          <cell r="E215">
            <v>-324333</v>
          </cell>
          <cell r="F215">
            <v>16947.93</v>
          </cell>
          <cell r="G215">
            <v>1394915.59</v>
          </cell>
        </row>
        <row r="216">
          <cell r="A216">
            <v>63101</v>
          </cell>
          <cell r="B216" t="str">
            <v>*BLANK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>
            <v>63780</v>
          </cell>
          <cell r="B217" t="str">
            <v>IMPOTS ET TAXES</v>
          </cell>
          <cell r="C217">
            <v>915164.75</v>
          </cell>
          <cell r="D217">
            <v>95670.82</v>
          </cell>
          <cell r="E217">
            <v>-2572.02</v>
          </cell>
          <cell r="F217">
            <v>93098.8</v>
          </cell>
          <cell r="G217">
            <v>1008263.55</v>
          </cell>
        </row>
        <row r="218">
          <cell r="A218" t="str">
            <v>640L001</v>
          </cell>
          <cell r="B218" t="str">
            <v>*BLANK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>
            <v>641</v>
          </cell>
          <cell r="B219" t="str">
            <v>*BLANK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>
            <v>64110</v>
          </cell>
          <cell r="B220" t="str">
            <v>SALAIRES ET APP</v>
          </cell>
          <cell r="C220">
            <v>293652209.48000002</v>
          </cell>
          <cell r="D220">
            <v>43524641.25</v>
          </cell>
          <cell r="E220">
            <v>-5747126.0800000001</v>
          </cell>
          <cell r="F220">
            <v>37777515.170000002</v>
          </cell>
          <cell r="G220">
            <v>331429724.64999998</v>
          </cell>
        </row>
        <row r="221">
          <cell r="A221">
            <v>643</v>
          </cell>
          <cell r="B221" t="str">
            <v>*BLANK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>
            <v>645</v>
          </cell>
          <cell r="B222" t="str">
            <v>*BLANK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>
            <v>64500</v>
          </cell>
          <cell r="B223" t="str">
            <v>AUTRES CHARGES</v>
          </cell>
          <cell r="C223">
            <v>228607300.03</v>
          </cell>
          <cell r="D223">
            <v>41055541.270000003</v>
          </cell>
          <cell r="E223">
            <v>-9807658.7400000002</v>
          </cell>
          <cell r="F223">
            <v>31247882.530000001</v>
          </cell>
          <cell r="G223">
            <v>259855182.56</v>
          </cell>
        </row>
        <row r="224">
          <cell r="A224">
            <v>64802</v>
          </cell>
          <cell r="B224" t="str">
            <v>FORMATION PROFE</v>
          </cell>
          <cell r="C224">
            <v>4210396.13</v>
          </cell>
          <cell r="D224">
            <v>1627061.15</v>
          </cell>
          <cell r="E224">
            <v>-873072.35</v>
          </cell>
          <cell r="F224">
            <v>753988.8</v>
          </cell>
          <cell r="G224">
            <v>4964384.93</v>
          </cell>
        </row>
        <row r="225">
          <cell r="A225">
            <v>64803</v>
          </cell>
          <cell r="B225" t="str">
            <v>TAXES SUR LES S</v>
          </cell>
          <cell r="C225">
            <v>86148011.180000007</v>
          </cell>
          <cell r="D225">
            <v>12275060.59</v>
          </cell>
          <cell r="E225">
            <v>-1046709.64</v>
          </cell>
          <cell r="F225">
            <v>11228350.949999999</v>
          </cell>
          <cell r="G225">
            <v>97376362.129999995</v>
          </cell>
        </row>
        <row r="226">
          <cell r="A226">
            <v>64900</v>
          </cell>
          <cell r="B226" t="str">
            <v>ABSORBED DIRECT</v>
          </cell>
          <cell r="C226">
            <v>-341841567</v>
          </cell>
          <cell r="D226">
            <v>0</v>
          </cell>
          <cell r="E226">
            <v>-44135849</v>
          </cell>
          <cell r="F226">
            <v>-44135849</v>
          </cell>
          <cell r="G226">
            <v>-385977416</v>
          </cell>
        </row>
        <row r="227">
          <cell r="A227">
            <v>650</v>
          </cell>
          <cell r="B227" t="str">
            <v>*BLANK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>
            <v>65001</v>
          </cell>
          <cell r="B228" t="str">
            <v>*BLANK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>
            <v>65002</v>
          </cell>
          <cell r="B229" t="str">
            <v>*BLANK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>
            <v>65090</v>
          </cell>
          <cell r="B230" t="str">
            <v>DIF DE CHANGE S</v>
          </cell>
          <cell r="C230">
            <v>752418.68</v>
          </cell>
          <cell r="D230">
            <v>273831.67</v>
          </cell>
          <cell r="E230">
            <v>0</v>
          </cell>
          <cell r="F230">
            <v>273831.67</v>
          </cell>
          <cell r="G230">
            <v>1026250.35</v>
          </cell>
        </row>
        <row r="231">
          <cell r="A231" t="str">
            <v>650L001</v>
          </cell>
          <cell r="B231" t="str">
            <v>*BLANK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A232">
            <v>66000</v>
          </cell>
          <cell r="B232" t="str">
            <v>*BLANK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>
            <v>66001</v>
          </cell>
          <cell r="B233" t="str">
            <v>*BLANK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>
            <v>66002</v>
          </cell>
          <cell r="B234" t="str">
            <v>*BLANK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>
            <v>66005</v>
          </cell>
          <cell r="B235" t="str">
            <v>*BLANK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>
            <v>66006</v>
          </cell>
          <cell r="B236" t="str">
            <v>*BLANK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660L001</v>
          </cell>
          <cell r="B237" t="str">
            <v>*BLANK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A238">
            <v>66163</v>
          </cell>
          <cell r="B238" t="str">
            <v>INTERETS SUR DE</v>
          </cell>
          <cell r="C238">
            <v>523732.49</v>
          </cell>
          <cell r="D238">
            <v>151976.66</v>
          </cell>
          <cell r="E238">
            <v>-6279.64</v>
          </cell>
          <cell r="F238">
            <v>145697.01999999999</v>
          </cell>
          <cell r="G238">
            <v>669429.51</v>
          </cell>
        </row>
        <row r="239">
          <cell r="A239">
            <v>66190</v>
          </cell>
          <cell r="B239" t="str">
            <v>DIF CHANGE SUR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>
            <v>66600</v>
          </cell>
          <cell r="B240" t="str">
            <v>PERTES DE CHANG</v>
          </cell>
          <cell r="C240">
            <v>-2359566.37</v>
          </cell>
          <cell r="D240">
            <v>261277.98</v>
          </cell>
          <cell r="E240">
            <v>3519647.63</v>
          </cell>
          <cell r="F240">
            <v>3780925.61</v>
          </cell>
          <cell r="G240">
            <v>1421359.24</v>
          </cell>
        </row>
        <row r="241">
          <cell r="A241">
            <v>66610</v>
          </cell>
          <cell r="B241" t="str">
            <v>PERTES DE CHANG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>
            <v>66620</v>
          </cell>
          <cell r="B242" t="str">
            <v>PERTES DE CHANG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A243">
            <v>66800</v>
          </cell>
          <cell r="B243" t="str">
            <v>AUTRES CHARGES</v>
          </cell>
          <cell r="C243">
            <v>5090.22</v>
          </cell>
          <cell r="D243">
            <v>12.9</v>
          </cell>
          <cell r="E243">
            <v>-23.12</v>
          </cell>
          <cell r="F243">
            <v>-10.220000000000001</v>
          </cell>
          <cell r="G243">
            <v>5080</v>
          </cell>
        </row>
        <row r="244">
          <cell r="A244" t="str">
            <v>670L001</v>
          </cell>
          <cell r="B244" t="str">
            <v>*BLANK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A245">
            <v>671</v>
          </cell>
          <cell r="B245" t="str">
            <v>*BLANK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>
            <v>67120</v>
          </cell>
          <cell r="B246" t="str">
            <v>AMENDES ET PENA</v>
          </cell>
          <cell r="C246">
            <v>2795</v>
          </cell>
          <cell r="D246">
            <v>0</v>
          </cell>
          <cell r="E246">
            <v>0</v>
          </cell>
          <cell r="F246">
            <v>0</v>
          </cell>
          <cell r="G246">
            <v>2795</v>
          </cell>
        </row>
        <row r="247">
          <cell r="A247">
            <v>67180</v>
          </cell>
          <cell r="B247" t="str">
            <v>CHARGES EXCEPTI</v>
          </cell>
          <cell r="C247">
            <v>475209.45</v>
          </cell>
          <cell r="D247">
            <v>20148.240000000002</v>
          </cell>
          <cell r="E247">
            <v>-4342.16</v>
          </cell>
          <cell r="F247">
            <v>15806.08</v>
          </cell>
          <cell r="G247">
            <v>491015.53</v>
          </cell>
        </row>
        <row r="248">
          <cell r="A248">
            <v>67500</v>
          </cell>
          <cell r="B248" t="str">
            <v>VAL.COMPT.DES I</v>
          </cell>
          <cell r="C248">
            <v>652438.6</v>
          </cell>
          <cell r="D248">
            <v>0</v>
          </cell>
          <cell r="E248">
            <v>0</v>
          </cell>
          <cell r="F248">
            <v>0</v>
          </cell>
          <cell r="G248">
            <v>652438.6</v>
          </cell>
        </row>
        <row r="249">
          <cell r="A249">
            <v>68110</v>
          </cell>
          <cell r="B249" t="str">
            <v>DOTATIONS AUX A</v>
          </cell>
          <cell r="C249">
            <v>5466408.7800000003</v>
          </cell>
          <cell r="D249">
            <v>1033774.25</v>
          </cell>
          <cell r="E249">
            <v>-305588.12</v>
          </cell>
          <cell r="F249">
            <v>728186.13</v>
          </cell>
          <cell r="G249">
            <v>6194594.9100000001</v>
          </cell>
        </row>
        <row r="250">
          <cell r="A250">
            <v>68111</v>
          </cell>
          <cell r="B250" t="str">
            <v>DOTATIONS AUX A</v>
          </cell>
          <cell r="C250">
            <v>33141.040000000001</v>
          </cell>
          <cell r="D250">
            <v>8285.26</v>
          </cell>
          <cell r="E250">
            <v>-4142.63</v>
          </cell>
          <cell r="F250">
            <v>4142.63</v>
          </cell>
          <cell r="G250">
            <v>37283.67</v>
          </cell>
        </row>
        <row r="251">
          <cell r="A251">
            <v>69500</v>
          </cell>
          <cell r="B251" t="str">
            <v>IMPOTS SUR LES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A252">
            <v>69501</v>
          </cell>
          <cell r="B252" t="str">
            <v>FEDERAL TAX</v>
          </cell>
          <cell r="C252">
            <v>29050000</v>
          </cell>
          <cell r="D252">
            <v>5559554</v>
          </cell>
          <cell r="E252">
            <v>0</v>
          </cell>
          <cell r="F252">
            <v>5559554</v>
          </cell>
          <cell r="G252">
            <v>34609554</v>
          </cell>
        </row>
        <row r="253">
          <cell r="A253">
            <v>69910</v>
          </cell>
          <cell r="B253" t="str">
            <v>PRODUIT D'IMPOT</v>
          </cell>
          <cell r="C253">
            <v>-1894752.86</v>
          </cell>
          <cell r="D253">
            <v>5093319.03</v>
          </cell>
          <cell r="E253">
            <v>0</v>
          </cell>
          <cell r="F253">
            <v>5093319.03</v>
          </cell>
          <cell r="G253">
            <v>3198566.17</v>
          </cell>
        </row>
        <row r="254">
          <cell r="A254">
            <v>70020</v>
          </cell>
          <cell r="B254" t="str">
            <v>VENTES EXPORT/E</v>
          </cell>
          <cell r="C254">
            <v>-341841689.17000002</v>
          </cell>
          <cell r="D254">
            <v>0</v>
          </cell>
          <cell r="E254">
            <v>-44135864.450000003</v>
          </cell>
          <cell r="F254">
            <v>-44135864.450000003</v>
          </cell>
          <cell r="G254">
            <v>-385977553.62</v>
          </cell>
        </row>
        <row r="255">
          <cell r="A255">
            <v>70190</v>
          </cell>
          <cell r="B255" t="str">
            <v>DIF DE CHANGE 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>
            <v>75090</v>
          </cell>
          <cell r="B256" t="str">
            <v>DIF DE CHANGE S</v>
          </cell>
          <cell r="C256">
            <v>-752418.64</v>
          </cell>
          <cell r="D256">
            <v>0</v>
          </cell>
          <cell r="E256">
            <v>-273831.67</v>
          </cell>
          <cell r="F256">
            <v>-273831.67</v>
          </cell>
          <cell r="G256">
            <v>-1026250.31</v>
          </cell>
        </row>
        <row r="257">
          <cell r="A257">
            <v>75800</v>
          </cell>
          <cell r="B257" t="str">
            <v>PRODUITS ACCESS</v>
          </cell>
          <cell r="C257">
            <v>-659635418.04999995</v>
          </cell>
          <cell r="D257">
            <v>0</v>
          </cell>
          <cell r="E257">
            <v>-92612724.909999996</v>
          </cell>
          <cell r="F257">
            <v>-92612724.909999996</v>
          </cell>
          <cell r="G257">
            <v>-752248142.96000004</v>
          </cell>
        </row>
        <row r="258">
          <cell r="A258">
            <v>76200</v>
          </cell>
          <cell r="B258" t="str">
            <v>PRODUITS FINANC</v>
          </cell>
          <cell r="C258">
            <v>-988798.88</v>
          </cell>
          <cell r="D258">
            <v>0</v>
          </cell>
          <cell r="E258">
            <v>-115297</v>
          </cell>
          <cell r="F258">
            <v>-115297</v>
          </cell>
          <cell r="G258">
            <v>-1104095.8799999999</v>
          </cell>
        </row>
        <row r="259">
          <cell r="A259">
            <v>76290</v>
          </cell>
          <cell r="B259" t="str">
            <v>DIF CHANGE SUR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A260">
            <v>76600</v>
          </cell>
          <cell r="B260" t="str">
            <v>GAINS DE CHANGE</v>
          </cell>
          <cell r="C260">
            <v>-752418.68</v>
          </cell>
          <cell r="D260">
            <v>0</v>
          </cell>
          <cell r="E260">
            <v>-273831.67</v>
          </cell>
          <cell r="F260">
            <v>-273831.67</v>
          </cell>
          <cell r="G260">
            <v>-1026250.35</v>
          </cell>
        </row>
        <row r="261">
          <cell r="A261">
            <v>76610</v>
          </cell>
          <cell r="B261" t="str">
            <v>GAINS DE CHANGE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A262">
            <v>76620</v>
          </cell>
          <cell r="B262" t="str">
            <v>GAINS DE CHANGE</v>
          </cell>
          <cell r="C262">
            <v>0</v>
          </cell>
          <cell r="D262">
            <v>3.61</v>
          </cell>
          <cell r="E262">
            <v>-7.22</v>
          </cell>
          <cell r="F262">
            <v>-3.61</v>
          </cell>
          <cell r="G262">
            <v>-3.61</v>
          </cell>
        </row>
        <row r="263">
          <cell r="A263">
            <v>77500</v>
          </cell>
          <cell r="B263" t="str">
            <v>PRIX CESSION IM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A264" t="str">
            <v>900L001</v>
          </cell>
          <cell r="B264" t="str">
            <v>*BLANK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91000</v>
          </cell>
          <cell r="B265" t="str">
            <v>BUDGET ENTRY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>
            <v>91002</v>
          </cell>
          <cell r="B266" t="str">
            <v>*BLANK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A267">
            <v>912</v>
          </cell>
          <cell r="B267" t="str">
            <v>*BLANK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>
            <v>914</v>
          </cell>
          <cell r="B268" t="str">
            <v>*BLANK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 t="str">
            <v>914BANK</v>
          </cell>
          <cell r="B269" t="str">
            <v>*BLANK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 t="str">
            <v>914COM</v>
          </cell>
          <cell r="B270" t="str">
            <v>*BLANK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A271" t="str">
            <v>914CPC</v>
          </cell>
          <cell r="B271" t="str">
            <v>*BLANK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A272" t="str">
            <v>914CPP</v>
          </cell>
          <cell r="B272" t="str">
            <v>*BLANK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 t="str">
            <v>914VEN</v>
          </cell>
          <cell r="B273" t="str">
            <v>*BLANK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>
            <v>931</v>
          </cell>
          <cell r="B274" t="str">
            <v>*BLANK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>
            <v>933</v>
          </cell>
          <cell r="B275" t="str">
            <v>*BLANK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A276">
            <v>934</v>
          </cell>
          <cell r="B276" t="str">
            <v>*BLANK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A277">
            <v>94000</v>
          </cell>
          <cell r="B277" t="str">
            <v>*BLANK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A278">
            <v>94001</v>
          </cell>
          <cell r="B278" t="str">
            <v>*BLANK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A279">
            <v>94002</v>
          </cell>
          <cell r="B279" t="str">
            <v>*BLANK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>
            <v>9409</v>
          </cell>
          <cell r="B280" t="str">
            <v>*BLANK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>
            <v>942</v>
          </cell>
          <cell r="B281" t="str">
            <v>*BLANK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94400</v>
          </cell>
          <cell r="B282" t="str">
            <v>*BLANK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>
            <v>94401</v>
          </cell>
          <cell r="B283" t="str">
            <v>*BLANK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A284">
            <v>94402</v>
          </cell>
          <cell r="B284" t="str">
            <v>*BLANK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>
            <v>94403</v>
          </cell>
          <cell r="B285" t="str">
            <v>*BLANK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A286">
            <v>94501</v>
          </cell>
          <cell r="B286" t="str">
            <v>*BLANK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A287">
            <v>94901</v>
          </cell>
          <cell r="B287" t="str">
            <v>*BLANK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>
            <v>96401</v>
          </cell>
          <cell r="B288" t="str">
            <v>*BLANK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99000</v>
          </cell>
          <cell r="B289" t="str">
            <v>CANCELLED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A290" t="str">
            <v>990L001</v>
          </cell>
          <cell r="B290" t="str">
            <v>*BLANK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A291" t="str">
            <v>I1200</v>
          </cell>
          <cell r="B291" t="str">
            <v>IFRS NET RESULT</v>
          </cell>
          <cell r="C291">
            <v>2727398.8</v>
          </cell>
          <cell r="D291">
            <v>0</v>
          </cell>
          <cell r="E291">
            <v>0</v>
          </cell>
          <cell r="F291">
            <v>0</v>
          </cell>
          <cell r="G291">
            <v>2727398.8</v>
          </cell>
        </row>
        <row r="292">
          <cell r="A292" t="str">
            <v>I1622</v>
          </cell>
          <cell r="B292" t="str">
            <v>LEASE LIABILITI</v>
          </cell>
          <cell r="C292">
            <v>-396760337.83999997</v>
          </cell>
          <cell r="D292">
            <v>20541823.84</v>
          </cell>
          <cell r="E292">
            <v>0</v>
          </cell>
          <cell r="F292">
            <v>20541823.84</v>
          </cell>
          <cell r="G292">
            <v>-376218514</v>
          </cell>
        </row>
        <row r="293">
          <cell r="A293" t="str">
            <v>I2230</v>
          </cell>
          <cell r="B293" t="str">
            <v>REAL ESTATE RIG</v>
          </cell>
          <cell r="C293">
            <v>463024266.31</v>
          </cell>
          <cell r="D293">
            <v>0</v>
          </cell>
          <cell r="E293">
            <v>0</v>
          </cell>
          <cell r="F293">
            <v>0</v>
          </cell>
          <cell r="G293">
            <v>463024266.31</v>
          </cell>
        </row>
        <row r="294">
          <cell r="A294" t="str">
            <v>I2823</v>
          </cell>
          <cell r="B294" t="str">
            <v>AMORTIZATIONS O</v>
          </cell>
          <cell r="C294">
            <v>-63537599.859999999</v>
          </cell>
          <cell r="D294">
            <v>0</v>
          </cell>
          <cell r="E294">
            <v>-19427200</v>
          </cell>
          <cell r="F294">
            <v>-19427200</v>
          </cell>
          <cell r="G294">
            <v>-82964799.859999999</v>
          </cell>
        </row>
        <row r="295">
          <cell r="A295" t="str">
            <v>I6611</v>
          </cell>
          <cell r="B295" t="str">
            <v>INTEREST EXPENS</v>
          </cell>
          <cell r="C295">
            <v>3048215.53</v>
          </cell>
          <cell r="D295">
            <v>4463146.99</v>
          </cell>
          <cell r="E295">
            <v>-3048215.53</v>
          </cell>
          <cell r="F295">
            <v>1414931.46</v>
          </cell>
          <cell r="G295">
            <v>4463146.99</v>
          </cell>
        </row>
        <row r="296">
          <cell r="A296" t="str">
            <v>I68110</v>
          </cell>
          <cell r="B296" t="str">
            <v>AMORTIZATION EX</v>
          </cell>
          <cell r="C296">
            <v>38854400.340000004</v>
          </cell>
          <cell r="D296">
            <v>19427199.670000002</v>
          </cell>
          <cell r="E296">
            <v>0</v>
          </cell>
          <cell r="F296">
            <v>19427199.670000002</v>
          </cell>
          <cell r="G296">
            <v>58281600.009999998</v>
          </cell>
        </row>
        <row r="297">
          <cell r="A297" t="str">
            <v>I7660</v>
          </cell>
          <cell r="B297" t="str">
            <v>FOREIGN EXCHANG</v>
          </cell>
          <cell r="C297">
            <v>-8464241.3499999996</v>
          </cell>
          <cell r="D297">
            <v>16928482.699999999</v>
          </cell>
          <cell r="E297">
            <v>-19417136.350000001</v>
          </cell>
          <cell r="F297">
            <v>-2488653.65</v>
          </cell>
          <cell r="G297">
            <v>-10952895</v>
          </cell>
        </row>
        <row r="298">
          <cell r="A298" t="str">
            <v>T O T A L</v>
          </cell>
          <cell r="B298">
            <v>0</v>
          </cell>
          <cell r="C298">
            <v>0</v>
          </cell>
          <cell r="D298">
            <v>1382642454.6300001</v>
          </cell>
          <cell r="E298">
            <v>-1382642454.6300001</v>
          </cell>
          <cell r="F298">
            <v>0</v>
          </cell>
          <cell r="G298">
            <v>0</v>
          </cell>
        </row>
        <row r="299">
          <cell r="F299" t="str">
            <v>Rdo Zodiac</v>
          </cell>
          <cell r="G299">
            <v>-76668381.440000027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 t="str">
            <v>Total Impuesto</v>
          </cell>
          <cell r="G300">
            <v>37808120.170470409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 t="str">
            <v>Rdo Ejer Regular</v>
          </cell>
          <cell r="G302">
            <v>76668381.440000072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 t="str">
            <v>Dif en bases RYZ VS YF</v>
          </cell>
          <cell r="G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 t="str">
            <v>ISR del Ejer Causado</v>
          </cell>
          <cell r="G305">
            <v>34609971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 t="str">
            <v>Sdo en Gasto Est</v>
          </cell>
          <cell r="G306">
            <v>34609554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 t="str">
            <v>Dif ISR Estimado VS Gasto (Provision)</v>
          </cell>
          <cell r="G307">
            <v>417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 t="str">
            <v>Ajuste del periodo</v>
          </cell>
          <cell r="G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 t="str">
            <v>Dif  VS Estimado Final</v>
          </cell>
          <cell r="G309">
            <v>417</v>
          </cell>
        </row>
        <row r="310">
          <cell r="F310" t="str">
            <v>Sdo en Gasto Final</v>
          </cell>
          <cell r="G310">
            <v>34609554</v>
          </cell>
        </row>
        <row r="311">
          <cell r="B311" t="str">
            <v>OBJETIVO---  Disminuir esta diferencia a Cero lo mas posible cuidando la Tasa Efectiva (no mayor a 40</v>
          </cell>
          <cell r="F311" t="str">
            <v>Dif  VS Estimado</v>
          </cell>
          <cell r="G311">
            <v>417</v>
          </cell>
        </row>
        <row r="312">
          <cell r="B312" t="str">
            <v xml:space="preserve">                       o 42 %), para al final del ejercicio evitar una provision exajerada del impuesto.</v>
          </cell>
        </row>
      </sheetData>
      <sheetData sheetId="1"/>
      <sheetData sheetId="2"/>
      <sheetData sheetId="3"/>
      <sheetData sheetId="4">
        <row r="4">
          <cell r="R4" t="str">
            <v>V A C I A D O   B A L A N Z A   DIM3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R5" t="str">
            <v>Analytic</v>
          </cell>
          <cell r="S5" t="str">
            <v>Name</v>
          </cell>
          <cell r="T5" t="str">
            <v xml:space="preserve">      OPENING BALANCE</v>
          </cell>
          <cell r="U5" t="str">
            <v xml:space="preserve">               DEBITS</v>
          </cell>
          <cell r="V5" t="str">
            <v xml:space="preserve">              CREDITS</v>
          </cell>
          <cell r="W5" t="str">
            <v xml:space="preserve">                  NET</v>
          </cell>
          <cell r="X5" t="str">
            <v xml:space="preserve">      CLOSING BALANCE</v>
          </cell>
        </row>
        <row r="6">
          <cell r="R6">
            <v>0</v>
          </cell>
          <cell r="S6" t="str">
            <v>*BLANK</v>
          </cell>
          <cell r="T6">
            <v>42832429.810000002</v>
          </cell>
          <cell r="U6">
            <v>1136655809.9100001</v>
          </cell>
          <cell r="V6">
            <v>-1147117726.46</v>
          </cell>
          <cell r="W6">
            <v>-10461916.550000001</v>
          </cell>
          <cell r="X6">
            <v>32370513.260000002</v>
          </cell>
        </row>
        <row r="7">
          <cell r="R7">
            <v>0</v>
          </cell>
          <cell r="S7" t="str">
            <v>*BLANK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R8">
            <v>3</v>
          </cell>
          <cell r="S8" t="str">
            <v>SALES INTERCO</v>
          </cell>
          <cell r="T8">
            <v>-341841689.17000002</v>
          </cell>
          <cell r="U8">
            <v>0</v>
          </cell>
          <cell r="V8">
            <v>-44135864.450000003</v>
          </cell>
          <cell r="W8">
            <v>-44135864.450000003</v>
          </cell>
          <cell r="X8">
            <v>-385977553.62</v>
          </cell>
        </row>
        <row r="9">
          <cell r="R9" t="str">
            <v>003USD</v>
          </cell>
          <cell r="S9" t="str">
            <v>SALES INTERCO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R10">
            <v>7</v>
          </cell>
          <cell r="S10" t="str">
            <v>OTHER INCOME</v>
          </cell>
          <cell r="T10">
            <v>-659635418.04999995</v>
          </cell>
          <cell r="U10">
            <v>0</v>
          </cell>
          <cell r="V10">
            <v>-92612724.909999996</v>
          </cell>
          <cell r="W10">
            <v>-92612724.909999996</v>
          </cell>
          <cell r="X10">
            <v>-752248142.96000004</v>
          </cell>
        </row>
        <row r="11">
          <cell r="R11">
            <v>9</v>
          </cell>
          <cell r="S11" t="str">
            <v>RECHARGED EXPEN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R12">
            <v>1000</v>
          </cell>
          <cell r="S12" t="str">
            <v>PAYROLL DIRECT</v>
          </cell>
          <cell r="T12">
            <v>138473470.06999999</v>
          </cell>
          <cell r="U12">
            <v>17828012.370000001</v>
          </cell>
          <cell r="V12">
            <v>-134342</v>
          </cell>
          <cell r="W12">
            <v>17693670.370000001</v>
          </cell>
          <cell r="X12">
            <v>156167140.44</v>
          </cell>
        </row>
        <row r="13">
          <cell r="R13">
            <v>1001</v>
          </cell>
          <cell r="S13" t="str">
            <v>PR DL OT PREM</v>
          </cell>
          <cell r="T13">
            <v>19033758.75</v>
          </cell>
          <cell r="U13">
            <v>2044105.66</v>
          </cell>
          <cell r="V13">
            <v>12585</v>
          </cell>
          <cell r="W13">
            <v>2056690.66</v>
          </cell>
          <cell r="X13">
            <v>21090449.41</v>
          </cell>
        </row>
        <row r="14">
          <cell r="R14">
            <v>1002</v>
          </cell>
          <cell r="S14" t="str">
            <v>VACATION PAID D</v>
          </cell>
          <cell r="T14">
            <v>4248537.46</v>
          </cell>
          <cell r="U14">
            <v>680850.49</v>
          </cell>
          <cell r="V14">
            <v>-1852</v>
          </cell>
          <cell r="W14">
            <v>678998.49</v>
          </cell>
          <cell r="X14">
            <v>4927535.95</v>
          </cell>
        </row>
        <row r="15">
          <cell r="R15">
            <v>1003</v>
          </cell>
          <cell r="S15" t="str">
            <v>VACATION PREM D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R16">
            <v>11</v>
          </cell>
          <cell r="S16" t="str">
            <v>TEMPORARY STAFF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R17">
            <v>1500</v>
          </cell>
          <cell r="S17" t="str">
            <v>VACATION DIRECT</v>
          </cell>
          <cell r="T17">
            <v>613982.22</v>
          </cell>
          <cell r="U17">
            <v>115702.67</v>
          </cell>
          <cell r="V17">
            <v>-161545.79999999999</v>
          </cell>
          <cell r="W17">
            <v>-45843.13</v>
          </cell>
          <cell r="X17">
            <v>568139.09</v>
          </cell>
        </row>
        <row r="18">
          <cell r="R18">
            <v>1501</v>
          </cell>
          <cell r="S18" t="str">
            <v>VACATION PREM D</v>
          </cell>
          <cell r="T18">
            <v>2431189.86</v>
          </cell>
          <cell r="U18">
            <v>396857.82</v>
          </cell>
          <cell r="V18">
            <v>-80293.61</v>
          </cell>
          <cell r="W18">
            <v>316564.21000000002</v>
          </cell>
          <cell r="X18">
            <v>2747754.07</v>
          </cell>
        </row>
        <row r="19">
          <cell r="R19">
            <v>19</v>
          </cell>
          <cell r="S19" t="str">
            <v>ABS LABOR/FRNGE</v>
          </cell>
          <cell r="T19">
            <v>-341841567</v>
          </cell>
          <cell r="U19">
            <v>0</v>
          </cell>
          <cell r="V19">
            <v>-44135849</v>
          </cell>
          <cell r="W19">
            <v>-44135849</v>
          </cell>
          <cell r="X19">
            <v>-385977416</v>
          </cell>
        </row>
        <row r="20">
          <cell r="R20">
            <v>32</v>
          </cell>
          <cell r="S20" t="str">
            <v>COS-LABOR</v>
          </cell>
          <cell r="T20">
            <v>341841567</v>
          </cell>
          <cell r="U20">
            <v>44135849</v>
          </cell>
          <cell r="V20">
            <v>0</v>
          </cell>
          <cell r="W20">
            <v>44135849</v>
          </cell>
          <cell r="X20">
            <v>385977416</v>
          </cell>
        </row>
        <row r="21">
          <cell r="R21">
            <v>4301</v>
          </cell>
          <cell r="S21" t="str">
            <v>Freight In Air</v>
          </cell>
          <cell r="T21">
            <v>234178.05</v>
          </cell>
          <cell r="U21">
            <v>0</v>
          </cell>
          <cell r="V21">
            <v>0</v>
          </cell>
          <cell r="W21">
            <v>0</v>
          </cell>
          <cell r="X21">
            <v>234178.05</v>
          </cell>
        </row>
        <row r="22">
          <cell r="R22">
            <v>4302</v>
          </cell>
          <cell r="S22" t="str">
            <v>Freight In Land</v>
          </cell>
          <cell r="T22">
            <v>4868755.4800000004</v>
          </cell>
          <cell r="U22">
            <v>684364.76</v>
          </cell>
          <cell r="V22">
            <v>-32665</v>
          </cell>
          <cell r="W22">
            <v>651699.76</v>
          </cell>
          <cell r="X22">
            <v>5520455.2400000002</v>
          </cell>
        </row>
        <row r="23">
          <cell r="R23">
            <v>4303</v>
          </cell>
          <cell r="S23" t="str">
            <v>Freight In Mari</v>
          </cell>
          <cell r="T23">
            <v>17327.66</v>
          </cell>
          <cell r="U23">
            <v>0</v>
          </cell>
          <cell r="V23">
            <v>0</v>
          </cell>
          <cell r="W23">
            <v>0</v>
          </cell>
          <cell r="X23">
            <v>17327.66</v>
          </cell>
        </row>
        <row r="24">
          <cell r="R24">
            <v>4304</v>
          </cell>
          <cell r="S24" t="str">
            <v>Internal moveme</v>
          </cell>
          <cell r="T24">
            <v>1157157.28</v>
          </cell>
          <cell r="U24">
            <v>275363.17</v>
          </cell>
          <cell r="V24">
            <v>-41185.1</v>
          </cell>
          <cell r="W24">
            <v>234178.07</v>
          </cell>
          <cell r="X24">
            <v>1391335.35</v>
          </cell>
        </row>
        <row r="25">
          <cell r="R25">
            <v>4402</v>
          </cell>
          <cell r="S25" t="str">
            <v>Custom DutiesMX</v>
          </cell>
          <cell r="T25">
            <v>5586631.7400000002</v>
          </cell>
          <cell r="U25">
            <v>616118.27</v>
          </cell>
          <cell r="V25">
            <v>-110000</v>
          </cell>
          <cell r="W25">
            <v>506118.27</v>
          </cell>
          <cell r="X25">
            <v>6092750.0099999998</v>
          </cell>
        </row>
        <row r="26">
          <cell r="R26">
            <v>531</v>
          </cell>
          <cell r="S26" t="str">
            <v>FREIGHT OUT AIR</v>
          </cell>
          <cell r="T26">
            <v>2950247</v>
          </cell>
          <cell r="U26">
            <v>4527251.07</v>
          </cell>
          <cell r="V26">
            <v>-4166084.06</v>
          </cell>
          <cell r="W26">
            <v>361167.01</v>
          </cell>
          <cell r="X26">
            <v>3311414.01</v>
          </cell>
        </row>
        <row r="27">
          <cell r="R27">
            <v>532</v>
          </cell>
          <cell r="S27" t="str">
            <v>FREIGHT OUT LAN</v>
          </cell>
          <cell r="T27">
            <v>4065066.18</v>
          </cell>
          <cell r="U27">
            <v>568906</v>
          </cell>
          <cell r="V27">
            <v>-55000</v>
          </cell>
          <cell r="W27">
            <v>513906</v>
          </cell>
          <cell r="X27">
            <v>4578972.18</v>
          </cell>
        </row>
        <row r="28">
          <cell r="R28">
            <v>534</v>
          </cell>
          <cell r="S28" t="str">
            <v>FREIGHT OUT CUS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R29">
            <v>77</v>
          </cell>
          <cell r="S29" t="str">
            <v>PURCHASE CURREN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R30">
            <v>1000</v>
          </cell>
          <cell r="S30" t="str">
            <v>*BLANK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R31">
            <v>1001</v>
          </cell>
          <cell r="S31" t="str">
            <v>*BLANK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R32">
            <v>1002</v>
          </cell>
          <cell r="S32" t="str">
            <v>*BLANK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R33">
            <v>1003</v>
          </cell>
          <cell r="S33" t="str">
            <v>*BLANK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R34">
            <v>11000</v>
          </cell>
          <cell r="S34" t="str">
            <v>PAYROLL INDIRCT</v>
          </cell>
          <cell r="T34">
            <v>141090217.16999999</v>
          </cell>
          <cell r="U34">
            <v>22919186.469999999</v>
          </cell>
          <cell r="V34">
            <v>-4083590.45</v>
          </cell>
          <cell r="W34">
            <v>18835596.02</v>
          </cell>
          <cell r="X34">
            <v>159925813.19</v>
          </cell>
        </row>
        <row r="35">
          <cell r="R35">
            <v>11001</v>
          </cell>
          <cell r="S35" t="str">
            <v>PR IND OVERTIME</v>
          </cell>
          <cell r="T35">
            <v>7013417.54</v>
          </cell>
          <cell r="U35">
            <v>733336.75</v>
          </cell>
          <cell r="V35">
            <v>-78621.64</v>
          </cell>
          <cell r="W35">
            <v>654715.11</v>
          </cell>
          <cell r="X35">
            <v>7668132.6500000004</v>
          </cell>
        </row>
        <row r="36">
          <cell r="R36">
            <v>11002</v>
          </cell>
          <cell r="S36" t="str">
            <v>VACATI IND</v>
          </cell>
          <cell r="T36">
            <v>4708259.22</v>
          </cell>
          <cell r="U36">
            <v>841318.17</v>
          </cell>
          <cell r="V36">
            <v>-365429.67</v>
          </cell>
          <cell r="W36">
            <v>475888.5</v>
          </cell>
          <cell r="X36">
            <v>5184147.72</v>
          </cell>
        </row>
        <row r="37">
          <cell r="R37">
            <v>11003</v>
          </cell>
          <cell r="S37" t="str">
            <v>VACATI PREM IND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R38">
            <v>11004</v>
          </cell>
          <cell r="S38" t="str">
            <v>Payroll Tooling</v>
          </cell>
          <cell r="T38">
            <v>-5362022</v>
          </cell>
          <cell r="U38">
            <v>0</v>
          </cell>
          <cell r="V38">
            <v>-707398</v>
          </cell>
          <cell r="W38">
            <v>-707398</v>
          </cell>
          <cell r="X38">
            <v>-6069420</v>
          </cell>
        </row>
        <row r="39">
          <cell r="R39">
            <v>11005</v>
          </cell>
          <cell r="S39" t="str">
            <v>Payroll Facilit</v>
          </cell>
          <cell r="T39">
            <v>-5689384.0300000003</v>
          </cell>
          <cell r="U39">
            <v>0</v>
          </cell>
          <cell r="V39">
            <v>-630746.99</v>
          </cell>
          <cell r="W39">
            <v>-630746.99</v>
          </cell>
          <cell r="X39">
            <v>-6320131.0199999996</v>
          </cell>
        </row>
        <row r="40">
          <cell r="R40">
            <v>11006</v>
          </cell>
          <cell r="S40" t="str">
            <v>Payroll Metrolo</v>
          </cell>
          <cell r="T40">
            <v>-907248.02</v>
          </cell>
          <cell r="U40">
            <v>0</v>
          </cell>
          <cell r="V40">
            <v>-125012</v>
          </cell>
          <cell r="W40">
            <v>-125012</v>
          </cell>
          <cell r="X40">
            <v>-1032260.02</v>
          </cell>
        </row>
        <row r="41">
          <cell r="R41">
            <v>11400</v>
          </cell>
          <cell r="S41" t="str">
            <v>ATTENDANCE BONU</v>
          </cell>
          <cell r="T41">
            <v>8281634.9199999999</v>
          </cell>
          <cell r="U41">
            <v>1610117.89</v>
          </cell>
          <cell r="V41">
            <v>-245599.87</v>
          </cell>
          <cell r="W41">
            <v>1364518.02</v>
          </cell>
          <cell r="X41">
            <v>9646152.9399999995</v>
          </cell>
        </row>
        <row r="42">
          <cell r="R42">
            <v>11401</v>
          </cell>
          <cell r="S42" t="str">
            <v>HOLIDAY IND</v>
          </cell>
          <cell r="T42">
            <v>74372.320000000007</v>
          </cell>
          <cell r="U42">
            <v>0</v>
          </cell>
          <cell r="V42">
            <v>0</v>
          </cell>
          <cell r="W42">
            <v>0</v>
          </cell>
          <cell r="X42">
            <v>74372.320000000007</v>
          </cell>
        </row>
        <row r="43">
          <cell r="R43">
            <v>11402</v>
          </cell>
          <cell r="S43" t="str">
            <v>Christmas bonus</v>
          </cell>
          <cell r="T43">
            <v>11662367.85</v>
          </cell>
          <cell r="U43">
            <v>1902589.99</v>
          </cell>
          <cell r="V43">
            <v>-347398.32</v>
          </cell>
          <cell r="W43">
            <v>1555191.67</v>
          </cell>
          <cell r="X43">
            <v>13217559.52</v>
          </cell>
        </row>
        <row r="44">
          <cell r="R44">
            <v>11403</v>
          </cell>
          <cell r="S44" t="str">
            <v>Vacation Premiu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R45">
            <v>11404</v>
          </cell>
          <cell r="S45" t="str">
            <v>Profit sharing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R46">
            <v>11405</v>
          </cell>
          <cell r="S46" t="str">
            <v>Cafeteria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R47">
            <v>11406</v>
          </cell>
          <cell r="S47" t="str">
            <v>Food Coupons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R48">
            <v>11407</v>
          </cell>
          <cell r="S48" t="str">
            <v>Uniforms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R49">
            <v>11408</v>
          </cell>
          <cell r="S49" t="str">
            <v>Mx saving funds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R50">
            <v>11409</v>
          </cell>
          <cell r="S50" t="str">
            <v>Senority Premiu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R51">
            <v>11411</v>
          </cell>
          <cell r="S51" t="str">
            <v>VACATION IND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R52">
            <v>11412</v>
          </cell>
          <cell r="S52" t="str">
            <v>EXT BONUS  IND</v>
          </cell>
          <cell r="T52">
            <v>5070539.8499999996</v>
          </cell>
          <cell r="U52">
            <v>939965.05</v>
          </cell>
          <cell r="V52">
            <v>-164755.06</v>
          </cell>
          <cell r="W52">
            <v>775209.99</v>
          </cell>
          <cell r="X52">
            <v>5845749.8399999999</v>
          </cell>
        </row>
        <row r="53">
          <cell r="R53">
            <v>11413</v>
          </cell>
          <cell r="S53" t="str">
            <v>SUNDAY PREMIUM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R54">
            <v>11414</v>
          </cell>
          <cell r="S54" t="str">
            <v>OTHERBONUS  IND</v>
          </cell>
          <cell r="T54">
            <v>6380125.6900000004</v>
          </cell>
          <cell r="U54">
            <v>2211277.9</v>
          </cell>
          <cell r="V54">
            <v>-884893.6</v>
          </cell>
          <cell r="W54">
            <v>1326384.3</v>
          </cell>
          <cell r="X54">
            <v>7706509.9900000002</v>
          </cell>
        </row>
        <row r="55">
          <cell r="R55">
            <v>11415</v>
          </cell>
          <cell r="S55" t="str">
            <v>INDEMNIZACIOIND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R56">
            <v>11416</v>
          </cell>
          <cell r="S56" t="str">
            <v>PUNCTUALITY BON</v>
          </cell>
          <cell r="T56">
            <v>1563984.67</v>
          </cell>
          <cell r="U56">
            <v>229937.75</v>
          </cell>
          <cell r="V56">
            <v>-23405.439999999999</v>
          </cell>
          <cell r="W56">
            <v>206532.31</v>
          </cell>
          <cell r="X56">
            <v>1770516.98</v>
          </cell>
        </row>
        <row r="57">
          <cell r="R57">
            <v>11417</v>
          </cell>
          <cell r="S57" t="str">
            <v>FUNERAL BONUS</v>
          </cell>
          <cell r="T57">
            <v>66285.3</v>
          </cell>
          <cell r="U57">
            <v>0</v>
          </cell>
          <cell r="V57">
            <v>0</v>
          </cell>
          <cell r="W57">
            <v>0</v>
          </cell>
          <cell r="X57">
            <v>66285.3</v>
          </cell>
        </row>
        <row r="58">
          <cell r="R58">
            <v>11500</v>
          </cell>
          <cell r="S58" t="str">
            <v>VACATION IND</v>
          </cell>
          <cell r="T58">
            <v>1317725.3799999999</v>
          </cell>
          <cell r="U58">
            <v>1657478.69</v>
          </cell>
          <cell r="V58">
            <v>-1321416.8799999999</v>
          </cell>
          <cell r="W58">
            <v>336061.81</v>
          </cell>
          <cell r="X58">
            <v>1653787.19</v>
          </cell>
        </row>
        <row r="59">
          <cell r="R59">
            <v>11501</v>
          </cell>
          <cell r="S59" t="str">
            <v>VAC PREM IND</v>
          </cell>
          <cell r="T59">
            <v>3392092.89</v>
          </cell>
          <cell r="U59">
            <v>967724.8</v>
          </cell>
          <cell r="V59">
            <v>-561749.71</v>
          </cell>
          <cell r="W59">
            <v>405975.09</v>
          </cell>
          <cell r="X59">
            <v>3798067.98</v>
          </cell>
        </row>
        <row r="60">
          <cell r="R60">
            <v>130</v>
          </cell>
          <cell r="S60" t="str">
            <v>TEMPORARY STAFF</v>
          </cell>
          <cell r="T60">
            <v>4874509.97</v>
          </cell>
          <cell r="U60">
            <v>1147499.51</v>
          </cell>
          <cell r="V60">
            <v>-342333.32</v>
          </cell>
          <cell r="W60">
            <v>805166.19</v>
          </cell>
          <cell r="X60">
            <v>5679676.1600000001</v>
          </cell>
        </row>
        <row r="61">
          <cell r="R61">
            <v>133.04</v>
          </cell>
          <cell r="S61" t="str">
            <v>*BLANK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R62">
            <v>140</v>
          </cell>
          <cell r="S62" t="str">
            <v>EXT SER LABOR</v>
          </cell>
          <cell r="T62">
            <v>13675022.939999999</v>
          </cell>
          <cell r="U62">
            <v>3385725.23</v>
          </cell>
          <cell r="V62">
            <v>-1400647.11</v>
          </cell>
          <cell r="W62">
            <v>1985078.12</v>
          </cell>
          <cell r="X62">
            <v>15660101.060000001</v>
          </cell>
        </row>
        <row r="63">
          <cell r="R63">
            <v>150</v>
          </cell>
          <cell r="S63" t="str">
            <v>TRAINING</v>
          </cell>
          <cell r="T63">
            <v>1627740.72</v>
          </cell>
          <cell r="U63">
            <v>607226.46</v>
          </cell>
          <cell r="V63">
            <v>-219140.73</v>
          </cell>
          <cell r="W63">
            <v>388085.73</v>
          </cell>
          <cell r="X63">
            <v>2015826.45</v>
          </cell>
        </row>
        <row r="64">
          <cell r="R64">
            <v>15000</v>
          </cell>
          <cell r="S64" t="str">
            <v>VACATION DIRECT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R65">
            <v>15001</v>
          </cell>
          <cell r="S65" t="str">
            <v>SCHOLARSHIP</v>
          </cell>
          <cell r="T65">
            <v>606606.06000000006</v>
          </cell>
          <cell r="U65">
            <v>88197.63</v>
          </cell>
          <cell r="V65">
            <v>-21676.38</v>
          </cell>
          <cell r="W65">
            <v>66521.25</v>
          </cell>
          <cell r="X65">
            <v>673127.31</v>
          </cell>
        </row>
        <row r="66">
          <cell r="R66">
            <v>15002</v>
          </cell>
          <cell r="S66" t="str">
            <v>INTERCO TRAININ</v>
          </cell>
          <cell r="T66">
            <v>1872324.04</v>
          </cell>
          <cell r="U66">
            <v>903997.34</v>
          </cell>
          <cell r="V66">
            <v>-632255.24</v>
          </cell>
          <cell r="W66">
            <v>271742.09999999998</v>
          </cell>
          <cell r="X66">
            <v>2144066.14</v>
          </cell>
        </row>
        <row r="67">
          <cell r="R67">
            <v>1501</v>
          </cell>
          <cell r="S67" t="str">
            <v>*BLANK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R68">
            <v>151</v>
          </cell>
          <cell r="S68" t="str">
            <v>SAFETY TRAINING</v>
          </cell>
          <cell r="T68">
            <v>103725.31</v>
          </cell>
          <cell r="U68">
            <v>27639.72</v>
          </cell>
          <cell r="V68">
            <v>0</v>
          </cell>
          <cell r="W68">
            <v>27639.72</v>
          </cell>
          <cell r="X68">
            <v>131365.03</v>
          </cell>
        </row>
        <row r="69">
          <cell r="R69">
            <v>31805</v>
          </cell>
          <cell r="S69" t="str">
            <v>TAXI DL</v>
          </cell>
          <cell r="T69">
            <v>5972360.6699999999</v>
          </cell>
          <cell r="U69">
            <v>780912.47</v>
          </cell>
          <cell r="V69">
            <v>-62310</v>
          </cell>
          <cell r="W69">
            <v>718602.47</v>
          </cell>
          <cell r="X69">
            <v>6690963.1399999997</v>
          </cell>
        </row>
        <row r="70">
          <cell r="R70">
            <v>31806</v>
          </cell>
          <cell r="S70" t="str">
            <v>DR FEES AND MED</v>
          </cell>
          <cell r="T70">
            <v>3305691.29</v>
          </cell>
          <cell r="U70">
            <v>1145542.58</v>
          </cell>
          <cell r="V70">
            <v>-763576.05</v>
          </cell>
          <cell r="W70">
            <v>381966.53</v>
          </cell>
          <cell r="X70">
            <v>3687657.82</v>
          </cell>
        </row>
        <row r="71">
          <cell r="R71">
            <v>31812</v>
          </cell>
          <cell r="S71" t="str">
            <v>SOC SECURITY DL</v>
          </cell>
          <cell r="T71">
            <v>20638460.77</v>
          </cell>
          <cell r="U71">
            <v>2645588.79</v>
          </cell>
          <cell r="V71">
            <v>-18463</v>
          </cell>
          <cell r="W71">
            <v>2627125.79</v>
          </cell>
          <cell r="X71">
            <v>23265586.559999999</v>
          </cell>
        </row>
        <row r="72">
          <cell r="R72">
            <v>31814</v>
          </cell>
          <cell r="S72" t="str">
            <v>Hou Program DL</v>
          </cell>
          <cell r="T72">
            <v>8779030.5899999999</v>
          </cell>
          <cell r="U72">
            <v>1119375.76</v>
          </cell>
          <cell r="V72">
            <v>-8901</v>
          </cell>
          <cell r="W72">
            <v>1110474.76</v>
          </cell>
          <cell r="X72">
            <v>9889505.3499999996</v>
          </cell>
        </row>
        <row r="73">
          <cell r="R73">
            <v>31816</v>
          </cell>
          <cell r="S73" t="str">
            <v>ISN DL</v>
          </cell>
          <cell r="T73">
            <v>6273930.9500000002</v>
          </cell>
          <cell r="U73">
            <v>871135.44</v>
          </cell>
          <cell r="V73">
            <v>-5087</v>
          </cell>
          <cell r="W73">
            <v>866048.44</v>
          </cell>
          <cell r="X73">
            <v>7139979.3899999997</v>
          </cell>
        </row>
        <row r="74">
          <cell r="R74">
            <v>31817</v>
          </cell>
          <cell r="S74" t="str">
            <v>RETIREMENT  DL</v>
          </cell>
          <cell r="T74">
            <v>11984412.74</v>
          </cell>
          <cell r="U74">
            <v>1535748.11</v>
          </cell>
          <cell r="V74">
            <v>-12313</v>
          </cell>
          <cell r="W74">
            <v>1523435.11</v>
          </cell>
          <cell r="X74">
            <v>13507847.85</v>
          </cell>
        </row>
        <row r="75">
          <cell r="R75">
            <v>32001</v>
          </cell>
          <cell r="S75" t="str">
            <v>Social Security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R76">
            <v>32002</v>
          </cell>
          <cell r="S76" t="str">
            <v>Social Security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R77">
            <v>32003</v>
          </cell>
          <cell r="S77" t="str">
            <v>Housing Program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R78">
            <v>32004</v>
          </cell>
          <cell r="S78" t="str">
            <v>Housing Program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R79">
            <v>32005</v>
          </cell>
          <cell r="S79" t="str">
            <v>ISN IND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R80">
            <v>32006</v>
          </cell>
          <cell r="S80" t="str">
            <v>ISN DL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R81">
            <v>32007</v>
          </cell>
          <cell r="S81" t="str">
            <v>Retirement Soci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R82">
            <v>32008</v>
          </cell>
          <cell r="S82" t="str">
            <v>Retirement Soci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R83">
            <v>33000</v>
          </cell>
          <cell r="S83" t="str">
            <v>HIRING EXPENSES</v>
          </cell>
          <cell r="T83">
            <v>1040950.03</v>
          </cell>
          <cell r="U83">
            <v>335940.93</v>
          </cell>
          <cell r="V83">
            <v>-318993</v>
          </cell>
          <cell r="W83">
            <v>16947.93</v>
          </cell>
          <cell r="X83">
            <v>1057897.96</v>
          </cell>
        </row>
        <row r="84">
          <cell r="R84">
            <v>33001</v>
          </cell>
          <cell r="S84" t="str">
            <v>Hiring ADV Exp</v>
          </cell>
          <cell r="T84">
            <v>337017.63</v>
          </cell>
          <cell r="U84">
            <v>5340</v>
          </cell>
          <cell r="V84">
            <v>-5340</v>
          </cell>
          <cell r="W84">
            <v>0</v>
          </cell>
          <cell r="X84">
            <v>337017.63</v>
          </cell>
        </row>
        <row r="85">
          <cell r="R85">
            <v>340</v>
          </cell>
          <cell r="S85" t="str">
            <v>PAYROLL SUBCONT</v>
          </cell>
          <cell r="T85">
            <v>3066963.37</v>
          </cell>
          <cell r="U85">
            <v>890184.14</v>
          </cell>
          <cell r="V85">
            <v>-495092.07</v>
          </cell>
          <cell r="W85">
            <v>395092.07</v>
          </cell>
          <cell r="X85">
            <v>3462055.44</v>
          </cell>
        </row>
        <row r="86">
          <cell r="R86">
            <v>350</v>
          </cell>
          <cell r="S86" t="str">
            <v>PERSONAL PROTEC</v>
          </cell>
          <cell r="T86">
            <v>8450991.1300000008</v>
          </cell>
          <cell r="U86">
            <v>1166819.81</v>
          </cell>
          <cell r="V86">
            <v>26240.62</v>
          </cell>
          <cell r="W86">
            <v>1193060.43</v>
          </cell>
          <cell r="X86">
            <v>9644051.5600000005</v>
          </cell>
        </row>
        <row r="87">
          <cell r="R87">
            <v>35001</v>
          </cell>
          <cell r="S87" t="str">
            <v>Health Insuranc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R88">
            <v>35002</v>
          </cell>
          <cell r="S88" t="str">
            <v>Health Insuranc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R89">
            <v>35003</v>
          </cell>
          <cell r="S89" t="str">
            <v>MX MEDICAL ON-S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R90">
            <v>35100</v>
          </cell>
          <cell r="S90" t="str">
            <v>SENORITY PREM I</v>
          </cell>
          <cell r="T90">
            <v>179951.03</v>
          </cell>
          <cell r="U90">
            <v>28235.65</v>
          </cell>
          <cell r="V90">
            <v>-3033.33</v>
          </cell>
          <cell r="W90">
            <v>25202.32</v>
          </cell>
          <cell r="X90">
            <v>205153.35</v>
          </cell>
        </row>
        <row r="91">
          <cell r="R91">
            <v>35101</v>
          </cell>
          <cell r="S91" t="str">
            <v>SUNDAY PREMIUM</v>
          </cell>
          <cell r="T91">
            <v>104842.99</v>
          </cell>
          <cell r="U91">
            <v>8979.19</v>
          </cell>
          <cell r="V91">
            <v>-1973.86</v>
          </cell>
          <cell r="W91">
            <v>7005.33</v>
          </cell>
          <cell r="X91">
            <v>111848.32000000001</v>
          </cell>
        </row>
        <row r="92">
          <cell r="R92">
            <v>35102</v>
          </cell>
          <cell r="S92" t="str">
            <v>TERMINATION IND</v>
          </cell>
          <cell r="T92">
            <v>3131344.24</v>
          </cell>
          <cell r="U92">
            <v>1354716.8</v>
          </cell>
          <cell r="V92">
            <v>-978118</v>
          </cell>
          <cell r="W92">
            <v>376598.8</v>
          </cell>
          <cell r="X92">
            <v>3507943.04</v>
          </cell>
        </row>
        <row r="93">
          <cell r="R93">
            <v>35103</v>
          </cell>
          <cell r="S93" t="str">
            <v>SOCIAL SEC IND</v>
          </cell>
          <cell r="T93">
            <v>14100842.84</v>
          </cell>
          <cell r="U93">
            <v>2253793.63</v>
          </cell>
          <cell r="V93">
            <v>-370592.36</v>
          </cell>
          <cell r="W93">
            <v>1883201.27</v>
          </cell>
          <cell r="X93">
            <v>15984044.109999999</v>
          </cell>
        </row>
        <row r="94">
          <cell r="R94">
            <v>35104</v>
          </cell>
          <cell r="S94" t="str">
            <v>HOUSING P IND</v>
          </cell>
          <cell r="T94">
            <v>7954181.9199999999</v>
          </cell>
          <cell r="U94">
            <v>1245375.44</v>
          </cell>
          <cell r="V94">
            <v>-203335.16</v>
          </cell>
          <cell r="W94">
            <v>1042040.28</v>
          </cell>
          <cell r="X94">
            <v>8996222.1999999993</v>
          </cell>
        </row>
        <row r="95">
          <cell r="R95">
            <v>35105</v>
          </cell>
          <cell r="S95" t="str">
            <v>RETIREMENT IND</v>
          </cell>
          <cell r="T95">
            <v>10553421.220000001</v>
          </cell>
          <cell r="U95">
            <v>1640468.95</v>
          </cell>
          <cell r="V95">
            <v>-254533.62</v>
          </cell>
          <cell r="W95">
            <v>1385935.33</v>
          </cell>
          <cell r="X95">
            <v>11939356.550000001</v>
          </cell>
        </row>
        <row r="96">
          <cell r="R96">
            <v>35106</v>
          </cell>
          <cell r="S96" t="str">
            <v>PAYROLL TAX IND</v>
          </cell>
          <cell r="T96">
            <v>5863730.1500000004</v>
          </cell>
          <cell r="U96">
            <v>963574.47</v>
          </cell>
          <cell r="V96">
            <v>-173484.5</v>
          </cell>
          <cell r="W96">
            <v>790089.97</v>
          </cell>
          <cell r="X96">
            <v>6653820.1200000001</v>
          </cell>
        </row>
        <row r="97">
          <cell r="R97">
            <v>35201</v>
          </cell>
          <cell r="S97" t="str">
            <v>Health Ins IL</v>
          </cell>
          <cell r="T97">
            <v>3954816.26</v>
          </cell>
          <cell r="U97">
            <v>626929.49</v>
          </cell>
          <cell r="V97">
            <v>-317376.88</v>
          </cell>
          <cell r="W97">
            <v>309552.61</v>
          </cell>
          <cell r="X97">
            <v>4264368.87</v>
          </cell>
        </row>
        <row r="98">
          <cell r="R98">
            <v>35301</v>
          </cell>
          <cell r="S98" t="str">
            <v>Life &amp; Disabili</v>
          </cell>
          <cell r="T98">
            <v>274154.08</v>
          </cell>
          <cell r="U98">
            <v>40812.42</v>
          </cell>
          <cell r="V98">
            <v>-8644.15</v>
          </cell>
          <cell r="W98">
            <v>32168.27</v>
          </cell>
          <cell r="X98">
            <v>306322.34999999998</v>
          </cell>
        </row>
        <row r="99">
          <cell r="R99">
            <v>35302</v>
          </cell>
          <cell r="S99" t="str">
            <v>Life &amp; Disabili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R100">
            <v>35600</v>
          </cell>
          <cell r="S100" t="str">
            <v>PROFIT SHAR DL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R101">
            <v>35601</v>
          </cell>
          <cell r="S101" t="str">
            <v>PROFIT SHAR IND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R102">
            <v>35701</v>
          </cell>
          <cell r="S102" t="str">
            <v>Taxi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R103">
            <v>35704</v>
          </cell>
          <cell r="S103" t="str">
            <v>EMPLOYEE WELFAR</v>
          </cell>
          <cell r="T103">
            <v>4215587.3600000003</v>
          </cell>
          <cell r="U103">
            <v>1762251.75</v>
          </cell>
          <cell r="V103">
            <v>-988382.53</v>
          </cell>
          <cell r="W103">
            <v>773869.22</v>
          </cell>
          <cell r="X103">
            <v>4989456.58</v>
          </cell>
        </row>
        <row r="104">
          <cell r="R104">
            <v>35705</v>
          </cell>
          <cell r="S104" t="str">
            <v>MX OTHERS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R105">
            <v>35706</v>
          </cell>
          <cell r="S105" t="str">
            <v>CAFETERIA IND</v>
          </cell>
          <cell r="T105">
            <v>11037017.789999999</v>
          </cell>
          <cell r="U105">
            <v>1914087.06</v>
          </cell>
          <cell r="V105">
            <v>-371478.21</v>
          </cell>
          <cell r="W105">
            <v>1542608.85</v>
          </cell>
          <cell r="X105">
            <v>12579626.640000001</v>
          </cell>
        </row>
        <row r="106">
          <cell r="R106">
            <v>35708</v>
          </cell>
          <cell r="S106" t="str">
            <v>FOOD COUPON IND</v>
          </cell>
          <cell r="T106">
            <v>11426408.6</v>
          </cell>
          <cell r="U106">
            <v>1790396.08</v>
          </cell>
          <cell r="V106">
            <v>-268162.28000000003</v>
          </cell>
          <cell r="W106">
            <v>1522233.8</v>
          </cell>
          <cell r="X106">
            <v>12948642.4</v>
          </cell>
        </row>
        <row r="107">
          <cell r="R107">
            <v>35709</v>
          </cell>
          <cell r="S107" t="str">
            <v>UNIFORMS IND</v>
          </cell>
          <cell r="T107">
            <v>435775.12</v>
          </cell>
          <cell r="U107">
            <v>30791.68</v>
          </cell>
          <cell r="V107">
            <v>-2889.99</v>
          </cell>
          <cell r="W107">
            <v>27901.69</v>
          </cell>
          <cell r="X107">
            <v>463676.81</v>
          </cell>
        </row>
        <row r="108">
          <cell r="R108">
            <v>35710</v>
          </cell>
          <cell r="S108" t="str">
            <v>SAVING FUND IND</v>
          </cell>
          <cell r="T108">
            <v>14577728.83</v>
          </cell>
          <cell r="U108">
            <v>2303613.33</v>
          </cell>
          <cell r="V108">
            <v>-377044.2</v>
          </cell>
          <cell r="W108">
            <v>1926569.13</v>
          </cell>
          <cell r="X108">
            <v>16504297.960000001</v>
          </cell>
        </row>
        <row r="109">
          <cell r="R109">
            <v>35801</v>
          </cell>
          <cell r="S109" t="str">
            <v>DIRECT LABOR WO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R110">
            <v>35803</v>
          </cell>
          <cell r="S110" t="str">
            <v>DIRECT LABOR LI</v>
          </cell>
          <cell r="T110">
            <v>259285.76000000001</v>
          </cell>
          <cell r="U110">
            <v>41629.22</v>
          </cell>
          <cell r="V110">
            <v>-9218</v>
          </cell>
          <cell r="W110">
            <v>32411.22</v>
          </cell>
          <cell r="X110">
            <v>291696.98</v>
          </cell>
        </row>
        <row r="111">
          <cell r="R111">
            <v>35805</v>
          </cell>
          <cell r="S111" t="str">
            <v>DIRECT LABOR 40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R112">
            <v>35806</v>
          </cell>
          <cell r="S112" t="str">
            <v>DIRECT LABOR IN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R113">
            <v>35807</v>
          </cell>
          <cell r="S113" t="str">
            <v>Attendance Bonu</v>
          </cell>
          <cell r="T113">
            <v>12441608.27</v>
          </cell>
          <cell r="U113">
            <v>1626365.47</v>
          </cell>
          <cell r="V113">
            <v>-11869</v>
          </cell>
          <cell r="W113">
            <v>1614496.47</v>
          </cell>
          <cell r="X113">
            <v>14056104.74</v>
          </cell>
        </row>
        <row r="114">
          <cell r="R114">
            <v>35809</v>
          </cell>
          <cell r="S114" t="str">
            <v>Vacation Premiu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R115">
            <v>35810</v>
          </cell>
          <cell r="S115" t="str">
            <v>Holiday DL</v>
          </cell>
          <cell r="T115">
            <v>192473.12</v>
          </cell>
          <cell r="U115">
            <v>6220.61</v>
          </cell>
          <cell r="V115">
            <v>-2981</v>
          </cell>
          <cell r="W115">
            <v>3239.61</v>
          </cell>
          <cell r="X115">
            <v>195712.73</v>
          </cell>
        </row>
        <row r="116">
          <cell r="R116">
            <v>35811</v>
          </cell>
          <cell r="S116" t="str">
            <v>Christmas Bonus</v>
          </cell>
          <cell r="T116">
            <v>10165358.91</v>
          </cell>
          <cell r="U116">
            <v>1307692.69</v>
          </cell>
          <cell r="V116">
            <v>-9401</v>
          </cell>
          <cell r="W116">
            <v>1298291.69</v>
          </cell>
          <cell r="X116">
            <v>11463650.6</v>
          </cell>
        </row>
        <row r="117">
          <cell r="R117">
            <v>35812</v>
          </cell>
          <cell r="S117" t="str">
            <v>Cafeteria</v>
          </cell>
          <cell r="T117">
            <v>20985550.719999999</v>
          </cell>
          <cell r="U117">
            <v>3236685.21</v>
          </cell>
          <cell r="V117">
            <v>-383178.42</v>
          </cell>
          <cell r="W117">
            <v>2853506.79</v>
          </cell>
          <cell r="X117">
            <v>23839057.510000002</v>
          </cell>
        </row>
        <row r="118">
          <cell r="R118">
            <v>35813</v>
          </cell>
          <cell r="S118" t="str">
            <v>Food Coupons</v>
          </cell>
          <cell r="T118">
            <v>18429704.300000001</v>
          </cell>
          <cell r="U118">
            <v>2420384.77</v>
          </cell>
          <cell r="V118">
            <v>-16695</v>
          </cell>
          <cell r="W118">
            <v>2403689.77</v>
          </cell>
          <cell r="X118">
            <v>20833394.07</v>
          </cell>
        </row>
        <row r="119">
          <cell r="R119">
            <v>35814</v>
          </cell>
          <cell r="S119" t="str">
            <v>Transportation</v>
          </cell>
          <cell r="T119">
            <v>15264838.880000001</v>
          </cell>
          <cell r="U119">
            <v>2266504.56</v>
          </cell>
          <cell r="V119">
            <v>-30000</v>
          </cell>
          <cell r="W119">
            <v>2236504.56</v>
          </cell>
          <cell r="X119">
            <v>17501343.440000001</v>
          </cell>
        </row>
        <row r="120">
          <cell r="R120">
            <v>35815</v>
          </cell>
          <cell r="S120" t="str">
            <v>Uniforms</v>
          </cell>
          <cell r="T120">
            <v>1155939.04</v>
          </cell>
          <cell r="U120">
            <v>166256.94</v>
          </cell>
          <cell r="V120">
            <v>-27315</v>
          </cell>
          <cell r="W120">
            <v>138941.94</v>
          </cell>
          <cell r="X120">
            <v>1294880.98</v>
          </cell>
        </row>
        <row r="121">
          <cell r="R121">
            <v>35816</v>
          </cell>
          <cell r="S121" t="str">
            <v>Profit Sharing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R122">
            <v>35817</v>
          </cell>
          <cell r="S122" t="str">
            <v>Mx Saving Fund</v>
          </cell>
          <cell r="T122">
            <v>16199891.210000001</v>
          </cell>
          <cell r="U122">
            <v>2146167.38</v>
          </cell>
          <cell r="V122">
            <v>-16009</v>
          </cell>
          <cell r="W122">
            <v>2130158.38</v>
          </cell>
          <cell r="X122">
            <v>18330049.59</v>
          </cell>
        </row>
        <row r="123">
          <cell r="R123">
            <v>35818</v>
          </cell>
          <cell r="S123" t="str">
            <v>Senority Premiu</v>
          </cell>
          <cell r="T123">
            <v>388228.88</v>
          </cell>
          <cell r="U123">
            <v>51727.53</v>
          </cell>
          <cell r="V123">
            <v>-385</v>
          </cell>
          <cell r="W123">
            <v>51342.53</v>
          </cell>
          <cell r="X123">
            <v>439571.41</v>
          </cell>
        </row>
        <row r="124">
          <cell r="R124">
            <v>35819</v>
          </cell>
          <cell r="S124" t="str">
            <v>EXTBONUS DIRECT</v>
          </cell>
          <cell r="T124">
            <v>5131834.21</v>
          </cell>
          <cell r="U124">
            <v>781752.49</v>
          </cell>
          <cell r="V124">
            <v>-5546</v>
          </cell>
          <cell r="W124">
            <v>776206.49</v>
          </cell>
          <cell r="X124">
            <v>5908040.7000000002</v>
          </cell>
        </row>
        <row r="125">
          <cell r="R125">
            <v>35820</v>
          </cell>
          <cell r="S125" t="str">
            <v>VACATION DIRECT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R126">
            <v>35821</v>
          </cell>
          <cell r="S126" t="str">
            <v>SUNDAY PREMIUM</v>
          </cell>
          <cell r="T126">
            <v>131199.56</v>
          </cell>
          <cell r="U126">
            <v>3753.93</v>
          </cell>
          <cell r="V126">
            <v>0</v>
          </cell>
          <cell r="W126">
            <v>3753.93</v>
          </cell>
          <cell r="X126">
            <v>134953.49</v>
          </cell>
        </row>
        <row r="127">
          <cell r="R127">
            <v>35822</v>
          </cell>
          <cell r="S127" t="str">
            <v>OTHER BONUS DIR</v>
          </cell>
          <cell r="T127">
            <v>7575512.9500000002</v>
          </cell>
          <cell r="U127">
            <v>974512.31</v>
          </cell>
          <cell r="V127">
            <v>-20726</v>
          </cell>
          <cell r="W127">
            <v>953786.31</v>
          </cell>
          <cell r="X127">
            <v>8529299.2599999998</v>
          </cell>
        </row>
        <row r="128">
          <cell r="R128">
            <v>35823</v>
          </cell>
          <cell r="S128" t="str">
            <v>INDEMNIZACION/</v>
          </cell>
          <cell r="T128">
            <v>746780.77</v>
          </cell>
          <cell r="U128">
            <v>1273050.27</v>
          </cell>
          <cell r="V128">
            <v>-960000</v>
          </cell>
          <cell r="W128">
            <v>313050.27</v>
          </cell>
          <cell r="X128">
            <v>1059831.04</v>
          </cell>
        </row>
        <row r="129">
          <cell r="R129">
            <v>35824</v>
          </cell>
          <cell r="S129" t="str">
            <v>Health Ins DL</v>
          </cell>
          <cell r="T129">
            <v>325897.2</v>
          </cell>
          <cell r="U129">
            <v>54424.41</v>
          </cell>
          <cell r="V129">
            <v>-4652.88</v>
          </cell>
          <cell r="W129">
            <v>49771.53</v>
          </cell>
          <cell r="X129">
            <v>375668.73</v>
          </cell>
        </row>
        <row r="130">
          <cell r="R130">
            <v>35825</v>
          </cell>
          <cell r="S130" t="str">
            <v>PUNCTUALITY BON</v>
          </cell>
          <cell r="T130">
            <v>10706651.07</v>
          </cell>
          <cell r="U130">
            <v>1351988.05</v>
          </cell>
          <cell r="V130">
            <v>-8353</v>
          </cell>
          <cell r="W130">
            <v>1343635.05</v>
          </cell>
          <cell r="X130">
            <v>12050286.119999999</v>
          </cell>
        </row>
        <row r="131">
          <cell r="R131">
            <v>35826</v>
          </cell>
          <cell r="S131" t="str">
            <v>FUNERAL BONUS</v>
          </cell>
          <cell r="T131">
            <v>79769.289999999994</v>
          </cell>
          <cell r="U131">
            <v>5335.71</v>
          </cell>
          <cell r="V131">
            <v>0</v>
          </cell>
          <cell r="W131">
            <v>5335.71</v>
          </cell>
          <cell r="X131">
            <v>85105</v>
          </cell>
        </row>
        <row r="132">
          <cell r="R132">
            <v>411</v>
          </cell>
          <cell r="S132" t="str">
            <v>AMORTIZATION</v>
          </cell>
          <cell r="T132">
            <v>2120199.73</v>
          </cell>
          <cell r="U132">
            <v>309378.24</v>
          </cell>
          <cell r="V132">
            <v>-17422.75</v>
          </cell>
          <cell r="W132">
            <v>291955.49</v>
          </cell>
          <cell r="X132">
            <v>2412155.2200000002</v>
          </cell>
        </row>
        <row r="133">
          <cell r="R133">
            <v>41131</v>
          </cell>
          <cell r="S133" t="str">
            <v>Depreciation Bu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R134">
            <v>41135</v>
          </cell>
          <cell r="S134" t="str">
            <v>Depreciation Bu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R135">
            <v>41201</v>
          </cell>
          <cell r="S135" t="str">
            <v>RENT</v>
          </cell>
          <cell r="T135">
            <v>51443190.979999997</v>
          </cell>
          <cell r="U135">
            <v>26495407.34</v>
          </cell>
          <cell r="V135">
            <v>-20028757.23</v>
          </cell>
          <cell r="W135">
            <v>6466650.1100000003</v>
          </cell>
          <cell r="X135">
            <v>57909841.090000004</v>
          </cell>
        </row>
        <row r="136">
          <cell r="R136">
            <v>413</v>
          </cell>
          <cell r="S136" t="str">
            <v>LEASING</v>
          </cell>
          <cell r="T136">
            <v>20141.349999999999</v>
          </cell>
          <cell r="U136">
            <v>880.18</v>
          </cell>
          <cell r="V136">
            <v>0</v>
          </cell>
          <cell r="W136">
            <v>880.18</v>
          </cell>
          <cell r="X136">
            <v>21021.53</v>
          </cell>
        </row>
        <row r="137">
          <cell r="R137">
            <v>414</v>
          </cell>
          <cell r="S137" t="str">
            <v>ESTATE TAXES</v>
          </cell>
          <cell r="T137">
            <v>866861.75</v>
          </cell>
          <cell r="U137">
            <v>95670.82</v>
          </cell>
          <cell r="V137">
            <v>-2572.02</v>
          </cell>
          <cell r="W137">
            <v>93098.8</v>
          </cell>
          <cell r="X137">
            <v>959960.55</v>
          </cell>
        </row>
        <row r="138">
          <cell r="R138">
            <v>41401</v>
          </cell>
          <cell r="S138" t="str">
            <v>*BLANK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R139">
            <v>41600</v>
          </cell>
          <cell r="S139" t="str">
            <v>OTHER TAXES</v>
          </cell>
          <cell r="T139">
            <v>48303</v>
          </cell>
          <cell r="U139">
            <v>0</v>
          </cell>
          <cell r="V139">
            <v>0</v>
          </cell>
          <cell r="W139">
            <v>0</v>
          </cell>
          <cell r="X139">
            <v>48303</v>
          </cell>
        </row>
        <row r="140">
          <cell r="R140">
            <v>41601</v>
          </cell>
          <cell r="S140" t="str">
            <v>INDUSTRIAL PARK</v>
          </cell>
          <cell r="T140">
            <v>911654.64</v>
          </cell>
          <cell r="U140">
            <v>116453.33</v>
          </cell>
          <cell r="V140">
            <v>-2496.5100000000002</v>
          </cell>
          <cell r="W140">
            <v>113956.82</v>
          </cell>
          <cell r="X140">
            <v>1025611.46</v>
          </cell>
        </row>
        <row r="141">
          <cell r="R141">
            <v>421</v>
          </cell>
          <cell r="S141" t="str">
            <v>CLEANING</v>
          </cell>
          <cell r="T141">
            <v>7059299.9800000004</v>
          </cell>
          <cell r="U141">
            <v>1290952.1000000001</v>
          </cell>
          <cell r="V141">
            <v>-164414.07</v>
          </cell>
          <cell r="W141">
            <v>1126538.03</v>
          </cell>
          <cell r="X141">
            <v>8185838.0099999998</v>
          </cell>
        </row>
        <row r="142">
          <cell r="R142">
            <v>42201</v>
          </cell>
          <cell r="S142" t="str">
            <v>Maintenance For</v>
          </cell>
          <cell r="T142">
            <v>3444022.4</v>
          </cell>
          <cell r="U142">
            <v>438040.5</v>
          </cell>
          <cell r="V142">
            <v>-45567.1</v>
          </cell>
          <cell r="W142">
            <v>392473.4</v>
          </cell>
          <cell r="X142">
            <v>3836495.8</v>
          </cell>
        </row>
        <row r="143">
          <cell r="R143">
            <v>42202</v>
          </cell>
          <cell r="S143" t="str">
            <v>Maintenance Fac</v>
          </cell>
          <cell r="T143">
            <v>5689384.0300000003</v>
          </cell>
          <cell r="U143">
            <v>630746.99</v>
          </cell>
          <cell r="V143">
            <v>0</v>
          </cell>
          <cell r="W143">
            <v>630746.99</v>
          </cell>
          <cell r="X143">
            <v>6320131.0199999996</v>
          </cell>
        </row>
        <row r="144">
          <cell r="R144">
            <v>42211</v>
          </cell>
          <cell r="S144" t="str">
            <v>Maintenance For</v>
          </cell>
          <cell r="T144">
            <v>7428954.8300000001</v>
          </cell>
          <cell r="U144">
            <v>1365585.61</v>
          </cell>
          <cell r="V144">
            <v>-39204.410000000003</v>
          </cell>
          <cell r="W144">
            <v>1326381.2</v>
          </cell>
          <cell r="X144">
            <v>8755336.0299999993</v>
          </cell>
        </row>
        <row r="145">
          <cell r="R145">
            <v>42401</v>
          </cell>
          <cell r="S145" t="str">
            <v>Garbage Removal</v>
          </cell>
          <cell r="T145">
            <v>558871.53</v>
          </cell>
          <cell r="U145">
            <v>72147.8</v>
          </cell>
          <cell r="V145">
            <v>-8376</v>
          </cell>
          <cell r="W145">
            <v>63771.8</v>
          </cell>
          <cell r="X145">
            <v>622643.32999999996</v>
          </cell>
        </row>
        <row r="146">
          <cell r="R146">
            <v>42402</v>
          </cell>
          <cell r="S146" t="str">
            <v>Garbage Removal</v>
          </cell>
          <cell r="T146">
            <v>1420176.7</v>
          </cell>
          <cell r="U146">
            <v>218519.2</v>
          </cell>
          <cell r="V146">
            <v>-4420</v>
          </cell>
          <cell r="W146">
            <v>214099.20000000001</v>
          </cell>
          <cell r="X146">
            <v>1634275.9</v>
          </cell>
        </row>
        <row r="147">
          <cell r="R147">
            <v>42403</v>
          </cell>
          <cell r="S147" t="str">
            <v>Garbage removal</v>
          </cell>
          <cell r="T147">
            <v>588417.69999999995</v>
          </cell>
          <cell r="U147">
            <v>169133.31</v>
          </cell>
          <cell r="V147">
            <v>11895</v>
          </cell>
          <cell r="W147">
            <v>181028.31</v>
          </cell>
          <cell r="X147">
            <v>769446.01</v>
          </cell>
        </row>
        <row r="148">
          <cell r="R148">
            <v>426</v>
          </cell>
          <cell r="S148" t="str">
            <v>OTHER EXPENSES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R149">
            <v>4301</v>
          </cell>
          <cell r="S149" t="str">
            <v>*BLANK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R150">
            <v>4302</v>
          </cell>
          <cell r="S150" t="str">
            <v>*BLANK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R151">
            <v>43201</v>
          </cell>
          <cell r="S151" t="str">
            <v>GAS</v>
          </cell>
          <cell r="T151">
            <v>2325016.9500000002</v>
          </cell>
          <cell r="U151">
            <v>284539.96000000002</v>
          </cell>
          <cell r="V151">
            <v>-26351.02</v>
          </cell>
          <cell r="W151">
            <v>258188.94</v>
          </cell>
          <cell r="X151">
            <v>2583205.89</v>
          </cell>
        </row>
        <row r="152">
          <cell r="R152">
            <v>43301</v>
          </cell>
          <cell r="S152" t="str">
            <v>WATER</v>
          </cell>
          <cell r="T152">
            <v>3297800.48</v>
          </cell>
          <cell r="U152">
            <v>460169.72</v>
          </cell>
          <cell r="V152">
            <v>-55395.43</v>
          </cell>
          <cell r="W152">
            <v>404774.29</v>
          </cell>
          <cell r="X152">
            <v>3702574.77</v>
          </cell>
        </row>
        <row r="153">
          <cell r="R153">
            <v>43401</v>
          </cell>
          <cell r="S153" t="str">
            <v>ELECTRICITY</v>
          </cell>
          <cell r="T153">
            <v>34013367.240000002</v>
          </cell>
          <cell r="U153">
            <v>5608400.2599999998</v>
          </cell>
          <cell r="V153">
            <v>314629.46000000002</v>
          </cell>
          <cell r="W153">
            <v>5923029.7199999997</v>
          </cell>
          <cell r="X153">
            <v>39936396.960000001</v>
          </cell>
        </row>
        <row r="154">
          <cell r="R154">
            <v>4402</v>
          </cell>
          <cell r="S154" t="str">
            <v>*BLANK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R155">
            <v>44101</v>
          </cell>
          <cell r="S155" t="str">
            <v>FPS</v>
          </cell>
          <cell r="T155">
            <v>3486533</v>
          </cell>
          <cell r="U155">
            <v>83762.7</v>
          </cell>
          <cell r="V155">
            <v>5046.8</v>
          </cell>
          <cell r="W155">
            <v>88809.5</v>
          </cell>
          <cell r="X155">
            <v>3575342.5</v>
          </cell>
        </row>
        <row r="156">
          <cell r="R156">
            <v>44201</v>
          </cell>
          <cell r="S156" t="str">
            <v>Security Servic</v>
          </cell>
          <cell r="T156">
            <v>3220145.92</v>
          </cell>
          <cell r="U156">
            <v>441421.59</v>
          </cell>
          <cell r="V156">
            <v>4606.57</v>
          </cell>
          <cell r="W156">
            <v>446028.16</v>
          </cell>
          <cell r="X156">
            <v>3666174.08</v>
          </cell>
        </row>
        <row r="157">
          <cell r="R157">
            <v>44202</v>
          </cell>
          <cell r="S157" t="str">
            <v>Gardening</v>
          </cell>
          <cell r="T157">
            <v>133407</v>
          </cell>
          <cell r="U157">
            <v>18404.3</v>
          </cell>
          <cell r="V157">
            <v>-3590.55</v>
          </cell>
          <cell r="W157">
            <v>14813.75</v>
          </cell>
          <cell r="X157">
            <v>148220.75</v>
          </cell>
        </row>
        <row r="158">
          <cell r="R158">
            <v>44301</v>
          </cell>
          <cell r="S158" t="str">
            <v>BUILDING INSURA</v>
          </cell>
          <cell r="T158">
            <v>299812.57</v>
          </cell>
          <cell r="U158">
            <v>176472.27</v>
          </cell>
          <cell r="V158">
            <v>-66130.929999999993</v>
          </cell>
          <cell r="W158">
            <v>110341.34</v>
          </cell>
          <cell r="X158">
            <v>410153.91</v>
          </cell>
        </row>
        <row r="159">
          <cell r="R159">
            <v>444</v>
          </cell>
          <cell r="S159" t="str">
            <v>SAFETY MANDATOR</v>
          </cell>
          <cell r="T159">
            <v>239444.07</v>
          </cell>
          <cell r="U159">
            <v>190152.6</v>
          </cell>
          <cell r="V159">
            <v>-2033.57</v>
          </cell>
          <cell r="W159">
            <v>188119.03</v>
          </cell>
          <cell r="X159">
            <v>427563.1</v>
          </cell>
        </row>
        <row r="160">
          <cell r="R160">
            <v>445</v>
          </cell>
          <cell r="S160" t="str">
            <v>SAFETY FEES</v>
          </cell>
          <cell r="T160">
            <v>952855.29</v>
          </cell>
          <cell r="U160">
            <v>82174</v>
          </cell>
          <cell r="V160">
            <v>50000</v>
          </cell>
          <cell r="W160">
            <v>132174</v>
          </cell>
          <cell r="X160">
            <v>1085029.29</v>
          </cell>
        </row>
        <row r="161">
          <cell r="R161">
            <v>48600</v>
          </cell>
          <cell r="S161" t="str">
            <v>GASTOS CAPEX NA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R162">
            <v>511</v>
          </cell>
          <cell r="S162" t="str">
            <v>AMORTIZATION</v>
          </cell>
          <cell r="T162">
            <v>579453.24</v>
          </cell>
          <cell r="U162">
            <v>84145.86</v>
          </cell>
          <cell r="V162">
            <v>-10023.31</v>
          </cell>
          <cell r="W162">
            <v>74122.55</v>
          </cell>
          <cell r="X162">
            <v>653575.79</v>
          </cell>
        </row>
        <row r="163">
          <cell r="R163">
            <v>512</v>
          </cell>
          <cell r="S163" t="str">
            <v>RENT</v>
          </cell>
          <cell r="T163">
            <v>3947424.42</v>
          </cell>
          <cell r="U163">
            <v>611370.75</v>
          </cell>
          <cell r="V163">
            <v>131100</v>
          </cell>
          <cell r="W163">
            <v>742470.75</v>
          </cell>
          <cell r="X163">
            <v>4689895.17</v>
          </cell>
        </row>
        <row r="164">
          <cell r="R164">
            <v>52001</v>
          </cell>
          <cell r="S164" t="str">
            <v>Maintenance Pro</v>
          </cell>
          <cell r="T164">
            <v>8878146.5399999991</v>
          </cell>
          <cell r="U164">
            <v>1089561.81</v>
          </cell>
          <cell r="V164">
            <v>25000</v>
          </cell>
          <cell r="W164">
            <v>1114561.81</v>
          </cell>
          <cell r="X164">
            <v>9992708.3499999996</v>
          </cell>
        </row>
        <row r="165">
          <cell r="R165">
            <v>52002</v>
          </cell>
          <cell r="S165" t="str">
            <v>Maintenance Pro</v>
          </cell>
          <cell r="T165">
            <v>5627526.4100000001</v>
          </cell>
          <cell r="U165">
            <v>842877.09</v>
          </cell>
          <cell r="V165">
            <v>40000</v>
          </cell>
          <cell r="W165">
            <v>882877.09</v>
          </cell>
          <cell r="X165">
            <v>6510403.5</v>
          </cell>
        </row>
        <row r="166">
          <cell r="R166">
            <v>52003</v>
          </cell>
          <cell r="S166" t="str">
            <v>Maintenance Pro</v>
          </cell>
          <cell r="T166">
            <v>1426916.65</v>
          </cell>
          <cell r="U166">
            <v>107759.6</v>
          </cell>
          <cell r="V166">
            <v>0</v>
          </cell>
          <cell r="W166">
            <v>107759.6</v>
          </cell>
          <cell r="X166">
            <v>1534676.25</v>
          </cell>
        </row>
        <row r="167">
          <cell r="R167">
            <v>52004</v>
          </cell>
          <cell r="S167" t="str">
            <v>Calibration</v>
          </cell>
          <cell r="T167">
            <v>1253444.82</v>
          </cell>
          <cell r="U167">
            <v>309709.40000000002</v>
          </cell>
          <cell r="V167">
            <v>-59720.02</v>
          </cell>
          <cell r="W167">
            <v>249989.38</v>
          </cell>
          <cell r="X167">
            <v>1503434.2</v>
          </cell>
        </row>
        <row r="168">
          <cell r="R168">
            <v>52005</v>
          </cell>
          <cell r="S168" t="str">
            <v>Calibration Met</v>
          </cell>
          <cell r="T168">
            <v>907248.02</v>
          </cell>
          <cell r="U168">
            <v>125012</v>
          </cell>
          <cell r="V168">
            <v>0</v>
          </cell>
          <cell r="W168">
            <v>125012</v>
          </cell>
          <cell r="X168">
            <v>1032260.02</v>
          </cell>
        </row>
        <row r="169">
          <cell r="R169">
            <v>531</v>
          </cell>
          <cell r="S169" t="str">
            <v>*BLANK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R170">
            <v>53100</v>
          </cell>
          <cell r="S170" t="str">
            <v>CONSUMABLES</v>
          </cell>
          <cell r="T170">
            <v>16529131.949999999</v>
          </cell>
          <cell r="U170">
            <v>2207614.89</v>
          </cell>
          <cell r="V170">
            <v>584020.27</v>
          </cell>
          <cell r="W170">
            <v>2791635.16</v>
          </cell>
          <cell r="X170">
            <v>19320767.109999999</v>
          </cell>
        </row>
        <row r="171">
          <cell r="R171">
            <v>53101</v>
          </cell>
          <cell r="S171" t="str">
            <v>Personal Protec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R172">
            <v>53102</v>
          </cell>
          <cell r="S172" t="str">
            <v>Chemical &amp; Flui</v>
          </cell>
          <cell r="T172">
            <v>12052878.279999999</v>
          </cell>
          <cell r="U172">
            <v>1879361.54</v>
          </cell>
          <cell r="V172">
            <v>100000</v>
          </cell>
          <cell r="W172">
            <v>1979361.54</v>
          </cell>
          <cell r="X172">
            <v>14032239.82</v>
          </cell>
        </row>
        <row r="173">
          <cell r="R173">
            <v>53103</v>
          </cell>
          <cell r="S173" t="str">
            <v>Sand Paper</v>
          </cell>
          <cell r="T173">
            <v>3072185.66</v>
          </cell>
          <cell r="U173">
            <v>320728.71000000002</v>
          </cell>
          <cell r="V173">
            <v>100000</v>
          </cell>
          <cell r="W173">
            <v>420728.71</v>
          </cell>
          <cell r="X173">
            <v>3492914.37</v>
          </cell>
        </row>
        <row r="174">
          <cell r="R174">
            <v>53104</v>
          </cell>
          <cell r="S174" t="str">
            <v>Masking Tape &amp;</v>
          </cell>
          <cell r="T174">
            <v>8694708.9600000009</v>
          </cell>
          <cell r="U174">
            <v>1142821.73</v>
          </cell>
          <cell r="V174">
            <v>-117073.15</v>
          </cell>
          <cell r="W174">
            <v>1025748.58</v>
          </cell>
          <cell r="X174">
            <v>9720457.5399999991</v>
          </cell>
        </row>
        <row r="175">
          <cell r="R175">
            <v>53105</v>
          </cell>
          <cell r="S175" t="str">
            <v>Visual Manageme</v>
          </cell>
          <cell r="T175">
            <v>553383.81000000006</v>
          </cell>
          <cell r="U175">
            <v>107265.58</v>
          </cell>
          <cell r="V175">
            <v>-2644</v>
          </cell>
          <cell r="W175">
            <v>104621.58</v>
          </cell>
          <cell r="X175">
            <v>658005.39</v>
          </cell>
        </row>
        <row r="176">
          <cell r="R176">
            <v>53106</v>
          </cell>
          <cell r="S176" t="str">
            <v>Office Supplies</v>
          </cell>
          <cell r="T176">
            <v>3162005.17</v>
          </cell>
          <cell r="U176">
            <v>483910.8</v>
          </cell>
          <cell r="V176">
            <v>-54407.47</v>
          </cell>
          <cell r="W176">
            <v>429503.33</v>
          </cell>
          <cell r="X176">
            <v>3591508.5</v>
          </cell>
        </row>
        <row r="177">
          <cell r="R177">
            <v>532</v>
          </cell>
          <cell r="S177" t="str">
            <v>PACKING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R178">
            <v>53200</v>
          </cell>
          <cell r="S178" t="str">
            <v>PACKING</v>
          </cell>
          <cell r="T178">
            <v>14079794.560000001</v>
          </cell>
          <cell r="U178">
            <v>1535390.49</v>
          </cell>
          <cell r="V178">
            <v>450000</v>
          </cell>
          <cell r="W178">
            <v>1985390.49</v>
          </cell>
          <cell r="X178">
            <v>16065185.050000001</v>
          </cell>
        </row>
        <row r="179">
          <cell r="R179">
            <v>53300</v>
          </cell>
          <cell r="S179" t="str">
            <v>SMALL TOOLS</v>
          </cell>
          <cell r="T179">
            <v>7759504.1200000001</v>
          </cell>
          <cell r="U179">
            <v>1278269.1000000001</v>
          </cell>
          <cell r="V179">
            <v>-55497.24</v>
          </cell>
          <cell r="W179">
            <v>1222771.8600000001</v>
          </cell>
          <cell r="X179">
            <v>8982275.9800000004</v>
          </cell>
        </row>
        <row r="180">
          <cell r="R180">
            <v>53301</v>
          </cell>
          <cell r="S180" t="str">
            <v>Sharps Tools &amp;</v>
          </cell>
          <cell r="T180">
            <v>5213330.26</v>
          </cell>
          <cell r="U180">
            <v>704410.88</v>
          </cell>
          <cell r="V180">
            <v>30000</v>
          </cell>
          <cell r="W180">
            <v>734410.88</v>
          </cell>
          <cell r="X180">
            <v>5947741.1399999997</v>
          </cell>
        </row>
        <row r="181">
          <cell r="R181">
            <v>53302</v>
          </cell>
          <cell r="S181" t="str">
            <v>Cutters &amp; Blade</v>
          </cell>
          <cell r="T181">
            <v>3162700.55</v>
          </cell>
          <cell r="U181">
            <v>625814.84</v>
          </cell>
          <cell r="V181">
            <v>-70000</v>
          </cell>
          <cell r="W181">
            <v>555814.84</v>
          </cell>
          <cell r="X181">
            <v>3718515.39</v>
          </cell>
        </row>
        <row r="182">
          <cell r="R182">
            <v>53303</v>
          </cell>
          <cell r="S182" t="str">
            <v>Screwdrivers &amp;</v>
          </cell>
          <cell r="T182">
            <v>3427424.38</v>
          </cell>
          <cell r="U182">
            <v>291519.95</v>
          </cell>
          <cell r="V182">
            <v>45000</v>
          </cell>
          <cell r="W182">
            <v>336519.95</v>
          </cell>
          <cell r="X182">
            <v>3763944.33</v>
          </cell>
        </row>
        <row r="183">
          <cell r="R183">
            <v>53304</v>
          </cell>
          <cell r="S183" t="str">
            <v>LEASING MOBILE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R184">
            <v>53305</v>
          </cell>
          <cell r="S184" t="str">
            <v>OTHER PRODUCTIO</v>
          </cell>
          <cell r="T184">
            <v>4965990.84</v>
          </cell>
          <cell r="U184">
            <v>529750.93999999994</v>
          </cell>
          <cell r="V184">
            <v>46000</v>
          </cell>
          <cell r="W184">
            <v>575750.93999999994</v>
          </cell>
          <cell r="X184">
            <v>5541741.7800000003</v>
          </cell>
        </row>
        <row r="185">
          <cell r="R185">
            <v>53306</v>
          </cell>
          <cell r="S185" t="str">
            <v>SMALL TOOLS TOO</v>
          </cell>
          <cell r="T185">
            <v>5362022</v>
          </cell>
          <cell r="U185">
            <v>707398</v>
          </cell>
          <cell r="V185">
            <v>0</v>
          </cell>
          <cell r="W185">
            <v>707398</v>
          </cell>
          <cell r="X185">
            <v>6069420</v>
          </cell>
        </row>
        <row r="186">
          <cell r="R186">
            <v>53307</v>
          </cell>
          <cell r="S186" t="str">
            <v>TOOLING FREIGHT</v>
          </cell>
          <cell r="T186">
            <v>108732.12</v>
          </cell>
          <cell r="U186">
            <v>206725.66</v>
          </cell>
          <cell r="V186">
            <v>0</v>
          </cell>
          <cell r="W186">
            <v>206725.66</v>
          </cell>
          <cell r="X186">
            <v>315457.78000000003</v>
          </cell>
        </row>
        <row r="187">
          <cell r="R187">
            <v>61100</v>
          </cell>
          <cell r="S187" t="str">
            <v>CPU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R188">
            <v>61101</v>
          </cell>
          <cell r="S188" t="str">
            <v>Servers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R189">
            <v>61301</v>
          </cell>
          <cell r="S189" t="str">
            <v>SAN &amp; Switch &amp;</v>
          </cell>
          <cell r="T189">
            <v>555205.25</v>
          </cell>
          <cell r="U189">
            <v>69229.72</v>
          </cell>
          <cell r="V189">
            <v>-12435</v>
          </cell>
          <cell r="W189">
            <v>56794.720000000001</v>
          </cell>
          <cell r="X189">
            <v>611999.97</v>
          </cell>
        </row>
        <row r="190">
          <cell r="R190">
            <v>61302</v>
          </cell>
          <cell r="S190" t="str">
            <v>*BLANK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R191">
            <v>61303</v>
          </cell>
          <cell r="S191" t="str">
            <v>IT MAINTENANCE</v>
          </cell>
          <cell r="T191">
            <v>49477.440000000002</v>
          </cell>
          <cell r="U191">
            <v>57766</v>
          </cell>
          <cell r="V191">
            <v>-28113</v>
          </cell>
          <cell r="W191">
            <v>29653</v>
          </cell>
          <cell r="X191">
            <v>79130.44</v>
          </cell>
        </row>
        <row r="192">
          <cell r="R192">
            <v>615</v>
          </cell>
          <cell r="S192" t="str">
            <v>PRINTERS</v>
          </cell>
          <cell r="T192">
            <v>3204126.49</v>
          </cell>
          <cell r="U192">
            <v>265399.31</v>
          </cell>
          <cell r="V192">
            <v>22602.38</v>
          </cell>
          <cell r="W192">
            <v>288001.69</v>
          </cell>
          <cell r="X192">
            <v>3492128.18</v>
          </cell>
        </row>
        <row r="193">
          <cell r="R193">
            <v>617</v>
          </cell>
          <cell r="S193" t="str">
            <v>APPLIC SOFT</v>
          </cell>
          <cell r="T193">
            <v>450058.58</v>
          </cell>
          <cell r="U193">
            <v>167263.57999999999</v>
          </cell>
          <cell r="V193">
            <v>-61727.5</v>
          </cell>
          <cell r="W193">
            <v>105536.08</v>
          </cell>
          <cell r="X193">
            <v>555594.66</v>
          </cell>
        </row>
        <row r="194">
          <cell r="R194">
            <v>618</v>
          </cell>
          <cell r="S194" t="str">
            <v>CONSULTANCY</v>
          </cell>
          <cell r="T194">
            <v>58658</v>
          </cell>
          <cell r="U194">
            <v>86882.12</v>
          </cell>
          <cell r="V194">
            <v>-68441.06</v>
          </cell>
          <cell r="W194">
            <v>18441.060000000001</v>
          </cell>
          <cell r="X194">
            <v>77099.06</v>
          </cell>
        </row>
        <row r="195">
          <cell r="R195">
            <v>621</v>
          </cell>
          <cell r="S195" t="str">
            <v>PC EQUIPMENT</v>
          </cell>
          <cell r="T195">
            <v>2825074.81</v>
          </cell>
          <cell r="U195">
            <v>648430.15</v>
          </cell>
          <cell r="V195">
            <v>-286322.06</v>
          </cell>
          <cell r="W195">
            <v>362108.09</v>
          </cell>
          <cell r="X195">
            <v>3187182.9</v>
          </cell>
        </row>
        <row r="196">
          <cell r="R196">
            <v>62101</v>
          </cell>
          <cell r="S196" t="str">
            <v>PC EQUIPMENT EX</v>
          </cell>
          <cell r="T196">
            <v>643051.51</v>
          </cell>
          <cell r="U196">
            <v>123355.71</v>
          </cell>
          <cell r="V196">
            <v>-31170.89</v>
          </cell>
          <cell r="W196">
            <v>92184.82</v>
          </cell>
          <cell r="X196">
            <v>735236.33</v>
          </cell>
        </row>
        <row r="197">
          <cell r="R197">
            <v>625</v>
          </cell>
          <cell r="S197" t="str">
            <v>HARDWARE LEASE</v>
          </cell>
          <cell r="T197">
            <v>2238855.9</v>
          </cell>
          <cell r="U197">
            <v>372784.86</v>
          </cell>
          <cell r="V197">
            <v>23943.79</v>
          </cell>
          <cell r="W197">
            <v>396728.65</v>
          </cell>
          <cell r="X197">
            <v>2635584.5499999998</v>
          </cell>
        </row>
        <row r="198">
          <cell r="R198">
            <v>626</v>
          </cell>
          <cell r="S198" t="str">
            <v>HARDWARE MAINTE</v>
          </cell>
          <cell r="T198">
            <v>27980</v>
          </cell>
          <cell r="U198">
            <v>5200</v>
          </cell>
          <cell r="V198">
            <v>0</v>
          </cell>
          <cell r="W198">
            <v>5200</v>
          </cell>
          <cell r="X198">
            <v>33180</v>
          </cell>
        </row>
        <row r="199">
          <cell r="R199">
            <v>63101</v>
          </cell>
          <cell r="S199" t="str">
            <v>IT Lines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R200">
            <v>63102</v>
          </cell>
          <cell r="S200" t="str">
            <v>*BLANK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R201">
            <v>635</v>
          </cell>
          <cell r="S201" t="str">
            <v>INTERNET</v>
          </cell>
          <cell r="T201">
            <v>568286.68999999994</v>
          </cell>
          <cell r="U201">
            <v>160223.66</v>
          </cell>
          <cell r="V201">
            <v>-80111.83</v>
          </cell>
          <cell r="W201">
            <v>80111.83</v>
          </cell>
          <cell r="X201">
            <v>648398.52</v>
          </cell>
        </row>
        <row r="202">
          <cell r="R202">
            <v>641</v>
          </cell>
          <cell r="S202" t="str">
            <v>TELEPHONE</v>
          </cell>
          <cell r="T202">
            <v>649953.81999999995</v>
          </cell>
          <cell r="U202">
            <v>164868.31</v>
          </cell>
          <cell r="V202">
            <v>-57804.29</v>
          </cell>
          <cell r="W202">
            <v>107064.02</v>
          </cell>
          <cell r="X202">
            <v>757017.84</v>
          </cell>
        </row>
        <row r="203">
          <cell r="R203">
            <v>64101</v>
          </cell>
          <cell r="S203" t="str">
            <v>*BLANK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R204">
            <v>643</v>
          </cell>
          <cell r="S204" t="str">
            <v>Mobile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R205">
            <v>645</v>
          </cell>
          <cell r="S205" t="str">
            <v>EXPRESS DELIVER</v>
          </cell>
          <cell r="T205">
            <v>53230</v>
          </cell>
          <cell r="U205">
            <v>2500</v>
          </cell>
          <cell r="V205">
            <v>0</v>
          </cell>
          <cell r="W205">
            <v>2500</v>
          </cell>
          <cell r="X205">
            <v>55730</v>
          </cell>
        </row>
        <row r="206">
          <cell r="R206">
            <v>650</v>
          </cell>
          <cell r="S206" t="str">
            <v>TRAVEL EXPENSES</v>
          </cell>
          <cell r="T206">
            <v>13094349.27</v>
          </cell>
          <cell r="U206">
            <v>2987142.71</v>
          </cell>
          <cell r="V206">
            <v>-515202.28</v>
          </cell>
          <cell r="W206">
            <v>2471940.4300000002</v>
          </cell>
          <cell r="X206">
            <v>15566289.699999999</v>
          </cell>
        </row>
        <row r="207">
          <cell r="R207">
            <v>65001</v>
          </cell>
          <cell r="S207" t="str">
            <v>MEALS</v>
          </cell>
          <cell r="T207">
            <v>2846415.44</v>
          </cell>
          <cell r="U207">
            <v>206259.51</v>
          </cell>
          <cell r="V207">
            <v>-56712.14</v>
          </cell>
          <cell r="W207">
            <v>149547.37</v>
          </cell>
          <cell r="X207">
            <v>2995962.81</v>
          </cell>
        </row>
        <row r="208">
          <cell r="R208">
            <v>65002</v>
          </cell>
          <cell r="S208" t="str">
            <v>LOCAL MEALS</v>
          </cell>
          <cell r="T208">
            <v>1974252.3</v>
          </cell>
          <cell r="U208">
            <v>268216.76</v>
          </cell>
          <cell r="V208">
            <v>3038</v>
          </cell>
          <cell r="W208">
            <v>271254.76</v>
          </cell>
          <cell r="X208">
            <v>2245507.06</v>
          </cell>
        </row>
        <row r="209">
          <cell r="R209">
            <v>651</v>
          </cell>
          <cell r="S209" t="str">
            <v>MEALS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R210">
            <v>652</v>
          </cell>
          <cell r="S210" t="str">
            <v>LOCAL MEALS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R211">
            <v>66000</v>
          </cell>
          <cell r="S211" t="str">
            <v>COMPANY CARS</v>
          </cell>
          <cell r="T211">
            <v>25070.68</v>
          </cell>
          <cell r="U211">
            <v>0</v>
          </cell>
          <cell r="V211">
            <v>0</v>
          </cell>
          <cell r="W211">
            <v>0</v>
          </cell>
          <cell r="X211">
            <v>25070.68</v>
          </cell>
        </row>
        <row r="212">
          <cell r="R212">
            <v>66001</v>
          </cell>
          <cell r="S212" t="str">
            <v>Company Cars AC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R213">
            <v>66002</v>
          </cell>
          <cell r="S213" t="str">
            <v>Company Cars AC</v>
          </cell>
          <cell r="T213">
            <v>32630.45</v>
          </cell>
          <cell r="U213">
            <v>6474</v>
          </cell>
          <cell r="V213">
            <v>0</v>
          </cell>
          <cell r="W213">
            <v>6474</v>
          </cell>
          <cell r="X213">
            <v>39104.449999999997</v>
          </cell>
        </row>
        <row r="214">
          <cell r="R214">
            <v>66003</v>
          </cell>
          <cell r="S214" t="str">
            <v>Company car Ben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R215">
            <v>66004</v>
          </cell>
          <cell r="S215" t="str">
            <v>Company Cars Be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R216">
            <v>66005</v>
          </cell>
          <cell r="S216" t="str">
            <v>Company Cars WE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R217">
            <v>66006</v>
          </cell>
          <cell r="S217" t="str">
            <v>Company Cars WE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R218">
            <v>671</v>
          </cell>
          <cell r="S218" t="str">
            <v>SEMINARS</v>
          </cell>
          <cell r="T218">
            <v>38200</v>
          </cell>
          <cell r="U218">
            <v>0</v>
          </cell>
          <cell r="V218">
            <v>0</v>
          </cell>
          <cell r="W218">
            <v>0</v>
          </cell>
          <cell r="X218">
            <v>38200</v>
          </cell>
        </row>
        <row r="219">
          <cell r="R219">
            <v>739</v>
          </cell>
          <cell r="S219" t="str">
            <v>RECHARGED SEMIN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R220">
            <v>821</v>
          </cell>
          <cell r="S220" t="str">
            <v>MATERIAL ENGINE</v>
          </cell>
          <cell r="T220">
            <v>464980.6</v>
          </cell>
          <cell r="U220">
            <v>-38752.660000000003</v>
          </cell>
          <cell r="V220">
            <v>0</v>
          </cell>
          <cell r="W220">
            <v>-38752.660000000003</v>
          </cell>
          <cell r="X220">
            <v>426227.94</v>
          </cell>
        </row>
        <row r="221">
          <cell r="R221">
            <v>91000</v>
          </cell>
          <cell r="S221" t="str">
            <v>ST &amp; BANK CHARG</v>
          </cell>
          <cell r="T221">
            <v>115070.37</v>
          </cell>
          <cell r="U221">
            <v>88</v>
          </cell>
          <cell r="V221">
            <v>-44</v>
          </cell>
          <cell r="W221">
            <v>44</v>
          </cell>
          <cell r="X221">
            <v>115114.37</v>
          </cell>
        </row>
        <row r="222">
          <cell r="R222">
            <v>91001</v>
          </cell>
          <cell r="S222" t="str">
            <v>Bank Account Mx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</row>
        <row r="223">
          <cell r="R223">
            <v>91002</v>
          </cell>
          <cell r="S223" t="str">
            <v>Bank Account Fo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R224">
            <v>911</v>
          </cell>
          <cell r="S224" t="str">
            <v>Exchange Varian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R225">
            <v>912</v>
          </cell>
          <cell r="S225" t="str">
            <v>MT &amp; LT FIN EXP</v>
          </cell>
          <cell r="T225">
            <v>2652621.7799999998</v>
          </cell>
          <cell r="U225">
            <v>4170.34</v>
          </cell>
          <cell r="V225">
            <v>-3050300.7</v>
          </cell>
          <cell r="W225">
            <v>-3046130.36</v>
          </cell>
          <cell r="X225">
            <v>-393508.58</v>
          </cell>
        </row>
        <row r="226">
          <cell r="R226">
            <v>91201</v>
          </cell>
          <cell r="S226" t="str">
            <v>OTHER FINANCIAL</v>
          </cell>
          <cell r="T226">
            <v>919326.24</v>
          </cell>
          <cell r="U226">
            <v>147806.32</v>
          </cell>
          <cell r="V226">
            <v>-4194.47</v>
          </cell>
          <cell r="W226">
            <v>143611.85</v>
          </cell>
          <cell r="X226">
            <v>1062938.0900000001</v>
          </cell>
        </row>
        <row r="227">
          <cell r="R227">
            <v>914</v>
          </cell>
          <cell r="S227" t="str">
            <v>CURR EXH RATE D</v>
          </cell>
          <cell r="T227">
            <v>5090.22</v>
          </cell>
          <cell r="U227">
            <v>12.9</v>
          </cell>
          <cell r="V227">
            <v>-23.12</v>
          </cell>
          <cell r="W227">
            <v>-10.220000000000001</v>
          </cell>
          <cell r="X227">
            <v>5080</v>
          </cell>
        </row>
        <row r="228">
          <cell r="R228" t="str">
            <v>914BANK</v>
          </cell>
          <cell r="S228" t="str">
            <v>CURR EXH RATE D</v>
          </cell>
          <cell r="T228">
            <v>523584.03</v>
          </cell>
          <cell r="U228">
            <v>8539772.1600000001</v>
          </cell>
          <cell r="V228">
            <v>-8464241.3499999996</v>
          </cell>
          <cell r="W228">
            <v>75530.81</v>
          </cell>
          <cell r="X228">
            <v>599114.84</v>
          </cell>
        </row>
        <row r="229">
          <cell r="R229" t="str">
            <v>914COM</v>
          </cell>
          <cell r="S229" t="str">
            <v>CURR EXH RATE D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R230" t="str">
            <v>914CPC</v>
          </cell>
          <cell r="S230" t="str">
            <v>CURR EXH RATE D</v>
          </cell>
          <cell r="T230">
            <v>-3869471.88</v>
          </cell>
          <cell r="U230">
            <v>0</v>
          </cell>
          <cell r="V230">
            <v>3472239.46</v>
          </cell>
          <cell r="W230">
            <v>3472239.46</v>
          </cell>
          <cell r="X230">
            <v>-397232.42</v>
          </cell>
        </row>
        <row r="231">
          <cell r="R231" t="str">
            <v>914CPP</v>
          </cell>
          <cell r="S231" t="str">
            <v>CURR EXH RATE D</v>
          </cell>
          <cell r="T231">
            <v>288186.73</v>
          </cell>
          <cell r="U231">
            <v>-88080.89</v>
          </cell>
          <cell r="V231">
            <v>-7.22</v>
          </cell>
          <cell r="W231">
            <v>-88088.11</v>
          </cell>
          <cell r="X231">
            <v>200098.62</v>
          </cell>
        </row>
        <row r="232">
          <cell r="R232" t="str">
            <v>914IVA</v>
          </cell>
          <cell r="S232" t="str">
            <v>CURR EXH RATE D</v>
          </cell>
          <cell r="T232">
            <v>-54283.89</v>
          </cell>
          <cell r="U232">
            <v>0</v>
          </cell>
          <cell r="V232">
            <v>47408.17</v>
          </cell>
          <cell r="W232">
            <v>47408.17</v>
          </cell>
          <cell r="X232">
            <v>-6875.72</v>
          </cell>
        </row>
        <row r="233">
          <cell r="R233" t="str">
            <v>914TERM</v>
          </cell>
          <cell r="S233" t="str">
            <v>914TERM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R234" t="str">
            <v>914VEN</v>
          </cell>
          <cell r="S234" t="str">
            <v>CURR EXH RATE D</v>
          </cell>
          <cell r="T234">
            <v>752418.64</v>
          </cell>
          <cell r="U234">
            <v>273831.67</v>
          </cell>
          <cell r="V234">
            <v>0</v>
          </cell>
          <cell r="W234">
            <v>273831.67</v>
          </cell>
          <cell r="X234">
            <v>1026250.31</v>
          </cell>
        </row>
        <row r="235">
          <cell r="R235">
            <v>917</v>
          </cell>
          <cell r="S235" t="str">
            <v>CURR EXH RATE D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R236">
            <v>920</v>
          </cell>
          <cell r="S236" t="str">
            <v>MISC FIN INCOME</v>
          </cell>
          <cell r="T236">
            <v>-13639.88</v>
          </cell>
          <cell r="U236">
            <v>0</v>
          </cell>
          <cell r="V236">
            <v>0</v>
          </cell>
          <cell r="W236">
            <v>0</v>
          </cell>
          <cell r="X236">
            <v>-13639.88</v>
          </cell>
        </row>
        <row r="237">
          <cell r="R237">
            <v>92001</v>
          </cell>
          <cell r="S237" t="str">
            <v>VAT FIN INCOME</v>
          </cell>
          <cell r="T237">
            <v>-975159</v>
          </cell>
          <cell r="U237">
            <v>0</v>
          </cell>
          <cell r="V237">
            <v>-115297</v>
          </cell>
          <cell r="W237">
            <v>-115297</v>
          </cell>
          <cell r="X237">
            <v>-1090456</v>
          </cell>
        </row>
        <row r="238">
          <cell r="R238">
            <v>921</v>
          </cell>
          <cell r="S238" t="str">
            <v>INT EXP INVOICE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R239" t="str">
            <v>927COM</v>
          </cell>
          <cell r="S239" t="str">
            <v>CURR EXH RATE D</v>
          </cell>
          <cell r="T239">
            <v>-429875.09</v>
          </cell>
          <cell r="U239">
            <v>170502.25</v>
          </cell>
          <cell r="V239">
            <v>-273831.67</v>
          </cell>
          <cell r="W239">
            <v>-103329.42</v>
          </cell>
          <cell r="X239">
            <v>-533204.51</v>
          </cell>
        </row>
        <row r="240">
          <cell r="R240" t="str">
            <v>927IFRS</v>
          </cell>
          <cell r="S240" t="str">
            <v>CURR EXH RATE D</v>
          </cell>
          <cell r="T240">
            <v>-8464241.3499999996</v>
          </cell>
          <cell r="U240">
            <v>8464241.3499999996</v>
          </cell>
          <cell r="V240">
            <v>0</v>
          </cell>
          <cell r="W240">
            <v>8464241.3499999996</v>
          </cell>
          <cell r="X240">
            <v>0</v>
          </cell>
        </row>
        <row r="241">
          <cell r="R241">
            <v>931</v>
          </cell>
          <cell r="S241" t="str">
            <v>OFFICE STATION.</v>
          </cell>
          <cell r="T241">
            <v>108608.34</v>
          </cell>
          <cell r="U241">
            <v>95438.5</v>
          </cell>
          <cell r="V241">
            <v>-66802.75</v>
          </cell>
          <cell r="W241">
            <v>28635.75</v>
          </cell>
          <cell r="X241">
            <v>137244.09</v>
          </cell>
        </row>
        <row r="242">
          <cell r="R242">
            <v>933</v>
          </cell>
          <cell r="S242" t="str">
            <v>PHOTOCOPIER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R243">
            <v>934</v>
          </cell>
          <cell r="S243" t="str">
            <v>OFFICE EQUIPMEN</v>
          </cell>
          <cell r="T243">
            <v>302848.78999999998</v>
          </cell>
          <cell r="U243">
            <v>-0.1</v>
          </cell>
          <cell r="V243">
            <v>0</v>
          </cell>
          <cell r="W243">
            <v>-0.1</v>
          </cell>
          <cell r="X243">
            <v>302848.69</v>
          </cell>
        </row>
        <row r="244">
          <cell r="R244">
            <v>935</v>
          </cell>
          <cell r="S244" t="str">
            <v>FOOD CUPONS FEE</v>
          </cell>
          <cell r="T244">
            <v>56162.63</v>
          </cell>
          <cell r="U244">
            <v>21124.84</v>
          </cell>
          <cell r="V244">
            <v>-10562.42</v>
          </cell>
          <cell r="W244">
            <v>10562.42</v>
          </cell>
          <cell r="X244">
            <v>66725.05</v>
          </cell>
        </row>
        <row r="245">
          <cell r="R245">
            <v>93501</v>
          </cell>
          <cell r="S245" t="str">
            <v>OUTSIDE SERVICE</v>
          </cell>
          <cell r="T245">
            <v>621983.05000000005</v>
          </cell>
          <cell r="U245">
            <v>640503.06000000006</v>
          </cell>
          <cell r="V245">
            <v>-578009.67000000004</v>
          </cell>
          <cell r="W245">
            <v>62493.39</v>
          </cell>
          <cell r="X245">
            <v>684476.44</v>
          </cell>
        </row>
        <row r="246">
          <cell r="R246">
            <v>94000</v>
          </cell>
          <cell r="S246" t="str">
            <v>GROUP FEES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R247">
            <v>94001</v>
          </cell>
          <cell r="S247" t="str">
            <v>GROUP IT/LS FEE</v>
          </cell>
          <cell r="T247">
            <v>399802.2</v>
          </cell>
          <cell r="U247">
            <v>101558.3</v>
          </cell>
          <cell r="V247">
            <v>-50779.15</v>
          </cell>
          <cell r="W247">
            <v>50779.15</v>
          </cell>
          <cell r="X247">
            <v>450581.35</v>
          </cell>
        </row>
        <row r="248">
          <cell r="R248">
            <v>94002</v>
          </cell>
          <cell r="S248" t="str">
            <v>GROUP INSURANCE</v>
          </cell>
          <cell r="T248">
            <v>48510</v>
          </cell>
          <cell r="U248">
            <v>0</v>
          </cell>
          <cell r="V248">
            <v>0</v>
          </cell>
          <cell r="W248">
            <v>0</v>
          </cell>
          <cell r="X248">
            <v>48510</v>
          </cell>
        </row>
        <row r="249">
          <cell r="R249">
            <v>9409</v>
          </cell>
          <cell r="S249" t="str">
            <v>INTERSEGMENT FE</v>
          </cell>
          <cell r="T249">
            <v>2975431</v>
          </cell>
          <cell r="U249">
            <v>325690.69</v>
          </cell>
          <cell r="V249">
            <v>0</v>
          </cell>
          <cell r="W249">
            <v>325690.69</v>
          </cell>
          <cell r="X249">
            <v>3301121.69</v>
          </cell>
        </row>
        <row r="250">
          <cell r="R250">
            <v>942</v>
          </cell>
          <cell r="S250" t="str">
            <v>SHARE ADMINISTR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R251">
            <v>943</v>
          </cell>
          <cell r="S251" t="str">
            <v>INTANGIBLE AMOR</v>
          </cell>
          <cell r="T251">
            <v>33141.040000000001</v>
          </cell>
          <cell r="U251">
            <v>8285.26</v>
          </cell>
          <cell r="V251">
            <v>-4142.63</v>
          </cell>
          <cell r="W251">
            <v>4142.63</v>
          </cell>
          <cell r="X251">
            <v>37283.67</v>
          </cell>
        </row>
        <row r="252">
          <cell r="R252">
            <v>94400</v>
          </cell>
          <cell r="S252" t="str">
            <v>LEGAL/AUDIT FEE</v>
          </cell>
          <cell r="T252">
            <v>133749.49</v>
          </cell>
          <cell r="U252">
            <v>0</v>
          </cell>
          <cell r="V252">
            <v>0</v>
          </cell>
          <cell r="W252">
            <v>0</v>
          </cell>
          <cell r="X252">
            <v>133749.49</v>
          </cell>
        </row>
        <row r="253">
          <cell r="R253">
            <v>94401</v>
          </cell>
          <cell r="S253" t="str">
            <v>LEGAL/AUDIT FEE</v>
          </cell>
          <cell r="T253">
            <v>1121930.73</v>
          </cell>
          <cell r="U253">
            <v>918607.05</v>
          </cell>
          <cell r="V253">
            <v>-779607.05</v>
          </cell>
          <cell r="W253">
            <v>139000</v>
          </cell>
          <cell r="X253">
            <v>1260930.73</v>
          </cell>
        </row>
        <row r="254">
          <cell r="R254">
            <v>94402</v>
          </cell>
          <cell r="S254" t="str">
            <v>LEGAL/AUDIT FEE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R255">
            <v>94403</v>
          </cell>
          <cell r="S255" t="str">
            <v>LEGAL/AUDIT FEE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R256">
            <v>94500</v>
          </cell>
          <cell r="S256" t="str">
            <v>MAGAZINE SUBSCR</v>
          </cell>
          <cell r="T256">
            <v>1840.9</v>
          </cell>
          <cell r="U256">
            <v>0</v>
          </cell>
          <cell r="V256">
            <v>0</v>
          </cell>
          <cell r="W256">
            <v>0</v>
          </cell>
          <cell r="X256">
            <v>1840.9</v>
          </cell>
        </row>
        <row r="257">
          <cell r="R257">
            <v>94501</v>
          </cell>
          <cell r="S257" t="str">
            <v>PROF MEMBERSHIP</v>
          </cell>
          <cell r="T257">
            <v>353489.27</v>
          </cell>
          <cell r="U257">
            <v>72000</v>
          </cell>
          <cell r="V257">
            <v>-21000</v>
          </cell>
          <cell r="W257">
            <v>51000</v>
          </cell>
          <cell r="X257">
            <v>404489.27</v>
          </cell>
        </row>
        <row r="258">
          <cell r="R258">
            <v>946</v>
          </cell>
          <cell r="S258" t="str">
            <v>EXCHANGE VAR ON</v>
          </cell>
          <cell r="T258">
            <v>-322543.55</v>
          </cell>
          <cell r="U258">
            <v>103329.42</v>
          </cell>
          <cell r="V258">
            <v>-273831.67</v>
          </cell>
          <cell r="W258">
            <v>-170502.25</v>
          </cell>
          <cell r="X258">
            <v>-493045.8</v>
          </cell>
        </row>
        <row r="259">
          <cell r="R259">
            <v>94901</v>
          </cell>
          <cell r="S259" t="str">
            <v>No Deductibles</v>
          </cell>
          <cell r="T259">
            <v>475209.45</v>
          </cell>
          <cell r="U259">
            <v>20148.240000000002</v>
          </cell>
          <cell r="V259">
            <v>-4342.16</v>
          </cell>
          <cell r="W259">
            <v>15806.08</v>
          </cell>
          <cell r="X259">
            <v>491015.53</v>
          </cell>
        </row>
        <row r="260">
          <cell r="R260">
            <v>952</v>
          </cell>
          <cell r="S260" t="str">
            <v>GAIN/LOSS ON AS</v>
          </cell>
          <cell r="T260">
            <v>652438.6</v>
          </cell>
          <cell r="U260">
            <v>0</v>
          </cell>
          <cell r="V260">
            <v>0</v>
          </cell>
          <cell r="W260">
            <v>0</v>
          </cell>
          <cell r="X260">
            <v>652438.6</v>
          </cell>
        </row>
        <row r="261">
          <cell r="R261">
            <v>96401</v>
          </cell>
          <cell r="S261" t="str">
            <v>Federal Tax IND</v>
          </cell>
          <cell r="T261">
            <v>29050000</v>
          </cell>
          <cell r="U261">
            <v>5559554</v>
          </cell>
          <cell r="V261">
            <v>0</v>
          </cell>
          <cell r="W261">
            <v>5559554</v>
          </cell>
          <cell r="X261">
            <v>34609554</v>
          </cell>
        </row>
        <row r="262">
          <cell r="R262">
            <v>96501</v>
          </cell>
          <cell r="S262" t="str">
            <v>Penalties &amp; Fin</v>
          </cell>
          <cell r="T262">
            <v>2795</v>
          </cell>
          <cell r="U262">
            <v>0</v>
          </cell>
          <cell r="V262">
            <v>0</v>
          </cell>
          <cell r="W262">
            <v>0</v>
          </cell>
          <cell r="X262">
            <v>2795</v>
          </cell>
        </row>
        <row r="263">
          <cell r="R263">
            <v>966</v>
          </cell>
          <cell r="S263" t="str">
            <v>DEFERRED TAX</v>
          </cell>
          <cell r="T263">
            <v>-1894752.86</v>
          </cell>
          <cell r="U263">
            <v>5093319.03</v>
          </cell>
          <cell r="V263">
            <v>0</v>
          </cell>
          <cell r="W263">
            <v>5093319.03</v>
          </cell>
          <cell r="X263">
            <v>3198566.17</v>
          </cell>
        </row>
        <row r="264">
          <cell r="R264" t="str">
            <v>AMX</v>
          </cell>
          <cell r="S264" t="str">
            <v>*BLANK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9">
          <cell r="D89">
            <v>53240212</v>
          </cell>
        </row>
      </sheetData>
      <sheetData sheetId="26"/>
      <sheetData sheetId="27">
        <row r="6">
          <cell r="A6">
            <v>1905</v>
          </cell>
        </row>
      </sheetData>
      <sheetData sheetId="28">
        <row r="3">
          <cell r="B3">
            <v>19.656600000000001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 T.C."/>
      <sheetName val="C.U. 2015"/>
      <sheetName val="INDICE"/>
      <sheetName val="INTEGRA ACREEDORES"/>
      <sheetName val="COMPRAS"/>
      <sheetName val="BALANZA"/>
      <sheetName val="BALANCE GENERAL"/>
      <sheetName val="ESTADO DE RESULTADOS"/>
      <sheetName val="CONCILIACION CONTABLE-FISCAL "/>
      <sheetName val="Bal Dic"/>
      <sheetName val="NO DEDUCIBLES"/>
      <sheetName val="PARTIDAS P CONCILIACION"/>
      <sheetName val="Saldos a favor"/>
      <sheetName val="TABLA1"/>
      <sheetName val="PERDIDAS FISCALES"/>
      <sheetName val="RESAFIJO"/>
      <sheetName val="TERRENOS.."/>
      <sheetName val="RESUMEN TERRENOS"/>
      <sheetName val="MEJORAS A LOCALES ARRENDADOS"/>
      <sheetName val="RESUMEN EDIFICIOS"/>
      <sheetName val="EDIFICIOSINTERCOM"/>
      <sheetName val="RESUMEN CIAS"/>
      <sheetName val="CONSTR PROCESO"/>
      <sheetName val="MAQUINARIA"/>
      <sheetName val="TERRENOS"/>
      <sheetName val="MEJORAS A EDIFICIO"/>
      <sheetName val="CONSTRUCCIONES EN PROCESO"/>
      <sheetName val="MAQUINARIA Y EQUIPO"/>
      <sheetName val="EQUIPO DE COMPUTO"/>
      <sheetName val="MOBILIARIO Y EQUIPO DE OFICINA"/>
      <sheetName val="DEDUCCION VIA DECRETO"/>
      <sheetName val="DEDUCC INMEDIATA"/>
      <sheetName val="COSTOS FISCALES VTA 09"/>
      <sheetName val="INV.TERRENOS"/>
      <sheetName val="intereses"/>
      <sheetName val="IMPAC"/>
      <sheetName val="IMPAC 5A"/>
      <sheetName val="EXCESOS ISR"/>
      <sheetName val="REDUCCION RLIA"/>
      <sheetName val="D-4"/>
      <sheetName val="COSTO FISCAL ACTIVOS"/>
      <sheetName val="AJUSTE ANUAL"/>
      <sheetName val="VACIADO DE PAGOS 2015"/>
      <sheetName val="12"/>
      <sheetName val="01"/>
      <sheetName val="02"/>
      <sheetName val="03"/>
      <sheetName val="04"/>
      <sheetName val="05"/>
      <sheetName val="06"/>
      <sheetName val="07"/>
      <sheetName val="08"/>
      <sheetName val="9"/>
      <sheetName val="10"/>
      <sheetName val="11"/>
      <sheetName val="Compatib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>AÑO</v>
          </cell>
          <cell r="B5" t="str">
            <v>ENE</v>
          </cell>
          <cell r="C5" t="str">
            <v>FEB</v>
          </cell>
          <cell r="D5" t="str">
            <v>MAR</v>
          </cell>
          <cell r="E5" t="str">
            <v>ABR</v>
          </cell>
          <cell r="F5" t="str">
            <v>MAY</v>
          </cell>
          <cell r="G5" t="str">
            <v>JUN</v>
          </cell>
          <cell r="H5" t="str">
            <v>JUL</v>
          </cell>
          <cell r="I5" t="str">
            <v>AGO</v>
          </cell>
          <cell r="J5" t="str">
            <v>SEP</v>
          </cell>
          <cell r="K5" t="str">
            <v>OCT</v>
          </cell>
          <cell r="L5" t="str">
            <v>NOV</v>
          </cell>
          <cell r="M5" t="str">
            <v>DIC</v>
          </cell>
        </row>
        <row r="6">
          <cell r="A6">
            <v>1950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>
            <v>1951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1952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>
            <v>1953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1954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1955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1956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1957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1958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>
            <v>1959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>
            <v>1960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1961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1962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>
            <v>1963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1964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1965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1966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1967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1968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1969</v>
          </cell>
          <cell r="B25">
            <v>1.54E-2</v>
          </cell>
          <cell r="C25">
            <v>1.55E-2</v>
          </cell>
          <cell r="D25">
            <v>1.55E-2</v>
          </cell>
          <cell r="E25">
            <v>1.55E-2</v>
          </cell>
          <cell r="F25">
            <v>1.55E-2</v>
          </cell>
          <cell r="G25">
            <v>1.5599999999999999E-2</v>
          </cell>
          <cell r="H25">
            <v>1.5699999999999999E-2</v>
          </cell>
          <cell r="I25">
            <v>1.5699999999999999E-2</v>
          </cell>
          <cell r="J25">
            <v>1.5800000000000002E-2</v>
          </cell>
          <cell r="K25">
            <v>1.6E-2</v>
          </cell>
          <cell r="L25">
            <v>1.6E-2</v>
          </cell>
          <cell r="M25">
            <v>1.61E-2</v>
          </cell>
        </row>
        <row r="26">
          <cell r="A26">
            <v>1970</v>
          </cell>
          <cell r="B26">
            <v>1.6199999999999999E-2</v>
          </cell>
          <cell r="C26">
            <v>1.6199999999999999E-2</v>
          </cell>
          <cell r="D26">
            <v>1.6299999999999999E-2</v>
          </cell>
          <cell r="E26">
            <v>1.6299999999999999E-2</v>
          </cell>
          <cell r="F26">
            <v>1.6299999999999999E-2</v>
          </cell>
          <cell r="G26">
            <v>1.6400000000000001E-2</v>
          </cell>
          <cell r="H26">
            <v>1.6500000000000001E-2</v>
          </cell>
          <cell r="I26">
            <v>1.66E-2</v>
          </cell>
          <cell r="J26">
            <v>1.66E-2</v>
          </cell>
          <cell r="K26">
            <v>1.66E-2</v>
          </cell>
          <cell r="L26">
            <v>1.67E-2</v>
          </cell>
          <cell r="M26">
            <v>1.6899999999999998E-2</v>
          </cell>
        </row>
        <row r="27">
          <cell r="A27">
            <v>1971</v>
          </cell>
          <cell r="B27">
            <v>1.7000000000000001E-2</v>
          </cell>
          <cell r="C27">
            <v>1.7100000000000001E-2</v>
          </cell>
          <cell r="D27">
            <v>1.72E-2</v>
          </cell>
          <cell r="E27">
            <v>1.7299999999999999E-2</v>
          </cell>
          <cell r="F27">
            <v>1.7299999999999999E-2</v>
          </cell>
          <cell r="G27">
            <v>1.7399999999999999E-2</v>
          </cell>
          <cell r="H27">
            <v>1.7399999999999999E-2</v>
          </cell>
          <cell r="I27">
            <v>1.7500000000000002E-2</v>
          </cell>
          <cell r="J27">
            <v>1.7600000000000001E-2</v>
          </cell>
          <cell r="K27">
            <v>1.7600000000000001E-2</v>
          </cell>
          <cell r="L27">
            <v>1.7600000000000001E-2</v>
          </cell>
          <cell r="M27">
            <v>1.77E-2</v>
          </cell>
        </row>
        <row r="28">
          <cell r="A28">
            <v>1972</v>
          </cell>
          <cell r="B28">
            <v>1.78E-2</v>
          </cell>
          <cell r="C28">
            <v>1.78E-2</v>
          </cell>
          <cell r="D28">
            <v>1.7899999999999999E-2</v>
          </cell>
          <cell r="E28">
            <v>1.8100000000000002E-2</v>
          </cell>
          <cell r="F28">
            <v>1.8100000000000002E-2</v>
          </cell>
          <cell r="G28">
            <v>1.8200000000000001E-2</v>
          </cell>
          <cell r="H28">
            <v>1.83E-2</v>
          </cell>
          <cell r="I28">
            <v>1.84E-2</v>
          </cell>
          <cell r="J28">
            <v>1.8499999999999999E-2</v>
          </cell>
          <cell r="K28">
            <v>1.8499999999999999E-2</v>
          </cell>
          <cell r="L28">
            <v>1.8599999999999998E-2</v>
          </cell>
          <cell r="M28">
            <v>1.8700000000000001E-2</v>
          </cell>
        </row>
        <row r="29">
          <cell r="A29">
            <v>1973</v>
          </cell>
          <cell r="B29">
            <v>1.9E-2</v>
          </cell>
          <cell r="C29">
            <v>1.9099999999999999E-2</v>
          </cell>
          <cell r="D29">
            <v>1.9300000000000001E-2</v>
          </cell>
          <cell r="E29">
            <v>1.9599999999999999E-2</v>
          </cell>
          <cell r="F29">
            <v>1.9800000000000002E-2</v>
          </cell>
          <cell r="G29">
            <v>0.02</v>
          </cell>
          <cell r="H29">
            <v>2.0500000000000001E-2</v>
          </cell>
          <cell r="I29">
            <v>2.0799999999999999E-2</v>
          </cell>
          <cell r="J29">
            <v>2.1299999999999999E-2</v>
          </cell>
          <cell r="K29">
            <v>2.1600000000000001E-2</v>
          </cell>
          <cell r="L29">
            <v>2.18E-2</v>
          </cell>
          <cell r="M29">
            <v>2.2700000000000001E-2</v>
          </cell>
        </row>
        <row r="30">
          <cell r="A30">
            <v>1974</v>
          </cell>
          <cell r="B30">
            <v>2.35E-2</v>
          </cell>
          <cell r="C30">
            <v>2.4E-2</v>
          </cell>
          <cell r="D30">
            <v>2.4199999999999999E-2</v>
          </cell>
          <cell r="E30">
            <v>2.4500000000000001E-2</v>
          </cell>
          <cell r="F30">
            <v>2.47E-2</v>
          </cell>
          <cell r="G30">
            <v>2.5000000000000001E-2</v>
          </cell>
          <cell r="H30">
            <v>2.53E-2</v>
          </cell>
          <cell r="I30">
            <v>2.5600000000000001E-2</v>
          </cell>
          <cell r="J30">
            <v>2.5899999999999999E-2</v>
          </cell>
          <cell r="K30">
            <v>2.64E-2</v>
          </cell>
          <cell r="L30">
            <v>2.7099999999999999E-2</v>
          </cell>
          <cell r="M30">
            <v>2.7400000000000001E-2</v>
          </cell>
        </row>
        <row r="31">
          <cell r="A31">
            <v>1975</v>
          </cell>
          <cell r="B31">
            <v>2.7699999999999999E-2</v>
          </cell>
          <cell r="C31">
            <v>2.7900000000000001E-2</v>
          </cell>
          <cell r="D31">
            <v>2.8000000000000001E-2</v>
          </cell>
          <cell r="E31">
            <v>2.8299999999999999E-2</v>
          </cell>
          <cell r="F31">
            <v>2.87E-2</v>
          </cell>
          <cell r="G31">
            <v>2.9100000000000001E-2</v>
          </cell>
          <cell r="H31">
            <v>2.9399999999999999E-2</v>
          </cell>
          <cell r="I31">
            <v>2.9600000000000001E-2</v>
          </cell>
          <cell r="J31">
            <v>2.98E-2</v>
          </cell>
          <cell r="K31">
            <v>0.03</v>
          </cell>
          <cell r="L31">
            <v>3.0200000000000001E-2</v>
          </cell>
          <cell r="M31">
            <v>3.0499999999999999E-2</v>
          </cell>
        </row>
        <row r="32">
          <cell r="A32">
            <v>1976</v>
          </cell>
          <cell r="B32">
            <v>3.1E-2</v>
          </cell>
          <cell r="C32">
            <v>3.1600000000000003E-2</v>
          </cell>
          <cell r="D32">
            <v>3.1899999999999998E-2</v>
          </cell>
          <cell r="E32">
            <v>3.2199999999999999E-2</v>
          </cell>
          <cell r="F32">
            <v>3.2399999999999998E-2</v>
          </cell>
          <cell r="G32">
            <v>3.2500000000000001E-2</v>
          </cell>
          <cell r="H32">
            <v>3.2800000000000003E-2</v>
          </cell>
          <cell r="I32">
            <v>3.3099999999999997E-2</v>
          </cell>
          <cell r="J32">
            <v>3.4200000000000001E-2</v>
          </cell>
          <cell r="K32">
            <v>3.6200000000000003E-2</v>
          </cell>
          <cell r="L32">
            <v>3.78E-2</v>
          </cell>
          <cell r="M32">
            <v>3.8699999999999998E-2</v>
          </cell>
        </row>
        <row r="33">
          <cell r="A33">
            <v>1977</v>
          </cell>
          <cell r="B33">
            <v>0.04</v>
          </cell>
          <cell r="C33">
            <v>4.0899999999999999E-2</v>
          </cell>
          <cell r="D33">
            <v>4.1599999999999998E-2</v>
          </cell>
          <cell r="E33">
            <v>4.2200000000000001E-2</v>
          </cell>
          <cell r="F33">
            <v>4.2599999999999999E-2</v>
          </cell>
          <cell r="G33">
            <v>4.3099999999999999E-2</v>
          </cell>
          <cell r="H33">
            <v>4.36E-2</v>
          </cell>
          <cell r="I33">
            <v>4.4499999999999998E-2</v>
          </cell>
          <cell r="J33">
            <v>4.53E-2</v>
          </cell>
          <cell r="K33">
            <v>4.5600000000000002E-2</v>
          </cell>
          <cell r="L33">
            <v>4.6100000000000002E-2</v>
          </cell>
          <cell r="M33">
            <v>4.6699999999999998E-2</v>
          </cell>
        </row>
        <row r="34">
          <cell r="A34">
            <v>1978</v>
          </cell>
          <cell r="B34">
            <v>4.7800000000000002E-2</v>
          </cell>
          <cell r="C34">
            <v>4.8500000000000001E-2</v>
          </cell>
          <cell r="D34">
            <v>4.9000000000000002E-2</v>
          </cell>
          <cell r="E34">
            <v>4.9500000000000002E-2</v>
          </cell>
          <cell r="F34">
            <v>0.05</v>
          </cell>
          <cell r="G34">
            <v>5.0700000000000002E-2</v>
          </cell>
          <cell r="H34">
            <v>5.1499999999999997E-2</v>
          </cell>
          <cell r="I34">
            <v>5.21E-2</v>
          </cell>
          <cell r="J34">
            <v>5.2699999999999997E-2</v>
          </cell>
          <cell r="K34">
            <v>5.33E-2</v>
          </cell>
          <cell r="L34">
            <v>5.3800000000000001E-2</v>
          </cell>
          <cell r="M34">
            <v>5.4300000000000001E-2</v>
          </cell>
        </row>
        <row r="35">
          <cell r="A35">
            <v>1979</v>
          </cell>
          <cell r="B35">
            <v>5.62E-2</v>
          </cell>
          <cell r="C35">
            <v>5.7000000000000002E-2</v>
          </cell>
          <cell r="D35">
            <v>5.7799999999999997E-2</v>
          </cell>
          <cell r="E35">
            <v>5.8299999999999998E-2</v>
          </cell>
          <cell r="F35">
            <v>5.91E-2</v>
          </cell>
          <cell r="G35">
            <v>5.9700000000000003E-2</v>
          </cell>
          <cell r="H35">
            <v>6.0499999999999998E-2</v>
          </cell>
          <cell r="I35">
            <v>6.1400000000000003E-2</v>
          </cell>
          <cell r="J35">
            <v>6.2100000000000002E-2</v>
          </cell>
          <cell r="K35">
            <v>6.3200000000000006E-2</v>
          </cell>
          <cell r="L35">
            <v>6.4000000000000001E-2</v>
          </cell>
          <cell r="M35">
            <v>6.5199999999999994E-2</v>
          </cell>
        </row>
        <row r="36">
          <cell r="A36">
            <v>1980</v>
          </cell>
          <cell r="B36">
            <v>6.83E-2</v>
          </cell>
          <cell r="C36">
            <v>6.9900000000000004E-2</v>
          </cell>
          <cell r="D36">
            <v>7.1400000000000005E-2</v>
          </cell>
          <cell r="E36">
            <v>7.2599999999999998E-2</v>
          </cell>
          <cell r="F36">
            <v>7.3800000000000004E-2</v>
          </cell>
          <cell r="G36">
            <v>7.5300000000000006E-2</v>
          </cell>
          <cell r="H36">
            <v>7.7399999999999997E-2</v>
          </cell>
          <cell r="I36">
            <v>7.9000000000000001E-2</v>
          </cell>
          <cell r="J36">
            <v>7.9799999999999996E-2</v>
          </cell>
          <cell r="K36">
            <v>8.1000000000000003E-2</v>
          </cell>
          <cell r="L36">
            <v>8.2500000000000004E-2</v>
          </cell>
          <cell r="M36">
            <v>8.4599999999999995E-2</v>
          </cell>
        </row>
        <row r="37">
          <cell r="A37">
            <v>1981</v>
          </cell>
          <cell r="B37">
            <v>8.7300000000000003E-2</v>
          </cell>
          <cell r="C37">
            <v>8.9499999999999996E-2</v>
          </cell>
          <cell r="D37">
            <v>9.1399999999999995E-2</v>
          </cell>
          <cell r="E37">
            <v>9.35E-2</v>
          </cell>
          <cell r="F37">
            <v>9.4899999999999998E-2</v>
          </cell>
          <cell r="G37">
            <v>9.6199999999999994E-2</v>
          </cell>
          <cell r="H37">
            <v>9.7900000000000001E-2</v>
          </cell>
          <cell r="I37">
            <v>9.9900000000000003E-2</v>
          </cell>
          <cell r="J37">
            <v>0.1018</v>
          </cell>
          <cell r="K37">
            <v>0.104</v>
          </cell>
          <cell r="L37">
            <v>0.106</v>
          </cell>
          <cell r="M37">
            <v>0.1089</v>
          </cell>
        </row>
        <row r="38">
          <cell r="A38">
            <v>1982</v>
          </cell>
          <cell r="B38">
            <v>0.1143</v>
          </cell>
          <cell r="C38">
            <v>0.1188</v>
          </cell>
          <cell r="D38">
            <v>0.1231</v>
          </cell>
          <cell r="E38">
            <v>0.1298</v>
          </cell>
          <cell r="F38">
            <v>0.1371</v>
          </cell>
          <cell r="G38">
            <v>0.14369999999999999</v>
          </cell>
          <cell r="H38">
            <v>0.15110000000000001</v>
          </cell>
          <cell r="I38">
            <v>0.1681</v>
          </cell>
          <cell r="J38">
            <v>0.17699999999999999</v>
          </cell>
          <cell r="K38">
            <v>0.1862</v>
          </cell>
          <cell r="L38">
            <v>0.1956</v>
          </cell>
          <cell r="M38">
            <v>0.2165</v>
          </cell>
        </row>
        <row r="39">
          <cell r="A39">
            <v>1983</v>
          </cell>
          <cell r="B39">
            <v>0.24010000000000001</v>
          </cell>
          <cell r="C39">
            <v>0.253</v>
          </cell>
          <cell r="D39">
            <v>0.26519999999999999</v>
          </cell>
          <cell r="E39">
            <v>0.28199999999999997</v>
          </cell>
          <cell r="F39">
            <v>0.29420000000000002</v>
          </cell>
          <cell r="G39">
            <v>0.3054</v>
          </cell>
          <cell r="H39">
            <v>0.32050000000000001</v>
          </cell>
          <cell r="I39">
            <v>0.33289999999999997</v>
          </cell>
          <cell r="J39">
            <v>0.34310000000000002</v>
          </cell>
          <cell r="K39">
            <v>0.35449999999999998</v>
          </cell>
          <cell r="L39">
            <v>0.37540000000000001</v>
          </cell>
          <cell r="M39">
            <v>0.39140000000000003</v>
          </cell>
        </row>
        <row r="40">
          <cell r="A40">
            <v>1984</v>
          </cell>
          <cell r="B40">
            <v>0.4163</v>
          </cell>
          <cell r="C40">
            <v>0.43819999999999998</v>
          </cell>
          <cell r="D40">
            <v>0.45700000000000002</v>
          </cell>
          <cell r="E40">
            <v>0.47670000000000001</v>
          </cell>
          <cell r="F40">
            <v>0.49259999999999998</v>
          </cell>
          <cell r="G40">
            <v>0.51039999999999996</v>
          </cell>
          <cell r="H40">
            <v>0.52710000000000001</v>
          </cell>
          <cell r="I40">
            <v>0.54210000000000003</v>
          </cell>
          <cell r="J40">
            <v>0.55820000000000003</v>
          </cell>
          <cell r="K40">
            <v>0.57779999999999998</v>
          </cell>
          <cell r="L40">
            <v>0.59760000000000002</v>
          </cell>
          <cell r="M40">
            <v>0.623</v>
          </cell>
        </row>
        <row r="41">
          <cell r="A41">
            <v>1985</v>
          </cell>
          <cell r="B41">
            <v>0.66920000000000002</v>
          </cell>
          <cell r="C41">
            <v>0.69699999999999995</v>
          </cell>
          <cell r="D41">
            <v>0.72399999999999998</v>
          </cell>
          <cell r="E41">
            <v>0.74629999999999996</v>
          </cell>
          <cell r="F41">
            <v>0.76390000000000002</v>
          </cell>
          <cell r="G41">
            <v>0.78310000000000002</v>
          </cell>
          <cell r="H41">
            <v>0.81030000000000002</v>
          </cell>
          <cell r="I41">
            <v>0.8458</v>
          </cell>
          <cell r="J41">
            <v>0.87949999999999995</v>
          </cell>
          <cell r="K41">
            <v>0.91300000000000003</v>
          </cell>
          <cell r="L41">
            <v>0.95509999999999995</v>
          </cell>
          <cell r="M41">
            <v>1.0201</v>
          </cell>
        </row>
        <row r="42">
          <cell r="A42">
            <v>1986</v>
          </cell>
          <cell r="B42">
            <v>1.1103000000000001</v>
          </cell>
          <cell r="C42">
            <v>1.1596</v>
          </cell>
          <cell r="D42">
            <v>1.2135</v>
          </cell>
          <cell r="E42">
            <v>1.2768999999999999</v>
          </cell>
          <cell r="F42">
            <v>1.3479000000000001</v>
          </cell>
          <cell r="G42">
            <v>1.4343999999999999</v>
          </cell>
          <cell r="H42">
            <v>1.5059</v>
          </cell>
          <cell r="I42">
            <v>1.6259999999999999</v>
          </cell>
          <cell r="J42">
            <v>1.7235</v>
          </cell>
          <cell r="K42">
            <v>1.8221000000000001</v>
          </cell>
          <cell r="L42">
            <v>1.9452</v>
          </cell>
          <cell r="M42">
            <v>2.0988000000000002</v>
          </cell>
        </row>
        <row r="43">
          <cell r="A43">
            <v>1987</v>
          </cell>
          <cell r="B43">
            <v>2.2688000000000001</v>
          </cell>
          <cell r="C43">
            <v>2.4325000000000001</v>
          </cell>
          <cell r="D43">
            <v>2.5931999999999999</v>
          </cell>
          <cell r="E43">
            <v>2.8201000000000001</v>
          </cell>
          <cell r="F43">
            <v>3.0327000000000002</v>
          </cell>
          <cell r="G43">
            <v>3.2521</v>
          </cell>
          <cell r="H43">
            <v>3.5154999999999998</v>
          </cell>
          <cell r="I43">
            <v>3.8028</v>
          </cell>
          <cell r="J43">
            <v>4.0533999999999999</v>
          </cell>
          <cell r="K43">
            <v>4.3912000000000004</v>
          </cell>
          <cell r="L43">
            <v>4.7394999999999996</v>
          </cell>
          <cell r="M43">
            <v>5.4394999999999998</v>
          </cell>
        </row>
        <row r="44">
          <cell r="A44">
            <v>1988</v>
          </cell>
          <cell r="B44">
            <v>6.2805999999999997</v>
          </cell>
          <cell r="C44">
            <v>6.8044000000000002</v>
          </cell>
          <cell r="D44">
            <v>7.1528</v>
          </cell>
          <cell r="E44">
            <v>7.3730000000000002</v>
          </cell>
          <cell r="F44">
            <v>7.5156000000000001</v>
          </cell>
          <cell r="G44">
            <v>7.6689999999999996</v>
          </cell>
          <cell r="H44">
            <v>7.7969999999999997</v>
          </cell>
          <cell r="I44">
            <v>7.8686999999999996</v>
          </cell>
          <cell r="J44">
            <v>7.9137000000000004</v>
          </cell>
          <cell r="K44">
            <v>7.9741</v>
          </cell>
          <cell r="L44">
            <v>8.0808</v>
          </cell>
          <cell r="M44">
            <v>8.2493999999999996</v>
          </cell>
        </row>
        <row r="45">
          <cell r="A45">
            <v>1989</v>
          </cell>
          <cell r="B45">
            <v>8.4512999999999998</v>
          </cell>
          <cell r="C45">
            <v>8.5660000000000007</v>
          </cell>
          <cell r="D45">
            <v>8.6588999999999992</v>
          </cell>
          <cell r="E45">
            <v>8.7883999999999993</v>
          </cell>
          <cell r="F45">
            <v>8.9093</v>
          </cell>
          <cell r="G45">
            <v>9.0175000000000001</v>
          </cell>
          <cell r="H45">
            <v>9.1076999999999995</v>
          </cell>
          <cell r="I45">
            <v>9.1944999999999997</v>
          </cell>
          <cell r="J45">
            <v>9.2824000000000009</v>
          </cell>
          <cell r="K45">
            <v>9.4197000000000006</v>
          </cell>
          <cell r="L45">
            <v>9.5518999999999998</v>
          </cell>
          <cell r="M45">
            <v>9.8742999999999999</v>
          </cell>
        </row>
        <row r="46">
          <cell r="A46">
            <v>1990</v>
          </cell>
          <cell r="B46">
            <v>10.3508</v>
          </cell>
          <cell r="C46">
            <v>10.5852</v>
          </cell>
          <cell r="D46">
            <v>10.771800000000001</v>
          </cell>
          <cell r="E46">
            <v>10.9358</v>
          </cell>
          <cell r="F46">
            <v>11.1266</v>
          </cell>
          <cell r="G46">
            <v>11.371700000000001</v>
          </cell>
          <cell r="H46">
            <v>11.5791</v>
          </cell>
          <cell r="I46">
            <v>11.776400000000001</v>
          </cell>
          <cell r="J46">
            <v>11.9442</v>
          </cell>
          <cell r="K46">
            <v>12.1159</v>
          </cell>
          <cell r="L46">
            <v>12.4376</v>
          </cell>
          <cell r="M46">
            <v>12.829599999999999</v>
          </cell>
        </row>
        <row r="47">
          <cell r="A47">
            <v>1991</v>
          </cell>
          <cell r="B47">
            <v>13.156599999999999</v>
          </cell>
          <cell r="C47">
            <v>13.3863</v>
          </cell>
          <cell r="D47">
            <v>13.577199999999999</v>
          </cell>
          <cell r="E47">
            <v>13.7194</v>
          </cell>
          <cell r="F47">
            <v>13.8536</v>
          </cell>
          <cell r="G47">
            <v>13.998900000000001</v>
          </cell>
          <cell r="H47">
            <v>14.1226</v>
          </cell>
          <cell r="I47">
            <v>14.2209</v>
          </cell>
          <cell r="J47">
            <v>14.3626</v>
          </cell>
          <cell r="K47">
            <v>14.5296</v>
          </cell>
          <cell r="L47">
            <v>14.8904</v>
          </cell>
          <cell r="M47">
            <v>15.2409</v>
          </cell>
        </row>
        <row r="48">
          <cell r="A48">
            <v>1992</v>
          </cell>
          <cell r="B48">
            <v>15.517899999999999</v>
          </cell>
          <cell r="C48">
            <v>15.7018</v>
          </cell>
          <cell r="D48">
            <v>15.861599999999999</v>
          </cell>
          <cell r="E48">
            <v>16.003</v>
          </cell>
          <cell r="F48">
            <v>16.108499999999999</v>
          </cell>
          <cell r="G48">
            <v>16.217500000000001</v>
          </cell>
          <cell r="H48">
            <v>16.319900000000001</v>
          </cell>
          <cell r="I48">
            <v>16.420200000000001</v>
          </cell>
          <cell r="J48">
            <v>16.562999999999999</v>
          </cell>
          <cell r="K48">
            <v>16.682300000000001</v>
          </cell>
          <cell r="L48">
            <v>16.820900000000002</v>
          </cell>
          <cell r="M48">
            <v>17.060400000000001</v>
          </cell>
        </row>
        <row r="49">
          <cell r="A49">
            <v>1993</v>
          </cell>
          <cell r="B49">
            <v>17.2744</v>
          </cell>
          <cell r="C49">
            <v>17.415500000000002</v>
          </cell>
          <cell r="D49">
            <v>17.516999999999999</v>
          </cell>
          <cell r="E49">
            <v>17.617999999999999</v>
          </cell>
          <cell r="F49">
            <v>17.718699999999998</v>
          </cell>
          <cell r="G49">
            <v>17.818100000000001</v>
          </cell>
          <cell r="H49">
            <v>17.903700000000001</v>
          </cell>
          <cell r="I49">
            <v>17.999600000000001</v>
          </cell>
          <cell r="J49">
            <v>18.132899999999999</v>
          </cell>
          <cell r="K49">
            <v>18.207000000000001</v>
          </cell>
          <cell r="L49">
            <v>18.287299999999998</v>
          </cell>
          <cell r="M49">
            <v>18.4268</v>
          </cell>
        </row>
        <row r="50">
          <cell r="A50">
            <v>1994</v>
          </cell>
          <cell r="B50">
            <v>18.569600000000001</v>
          </cell>
          <cell r="C50">
            <v>18.665099999999999</v>
          </cell>
          <cell r="D50">
            <v>18.761099999999999</v>
          </cell>
          <cell r="E50">
            <v>18.853000000000002</v>
          </cell>
          <cell r="F50">
            <v>18.944099999999999</v>
          </cell>
          <cell r="G50">
            <v>19.038900000000002</v>
          </cell>
          <cell r="H50">
            <v>19.1233</v>
          </cell>
          <cell r="I50">
            <v>19.212399999999999</v>
          </cell>
          <cell r="J50">
            <v>19.3491</v>
          </cell>
          <cell r="K50">
            <v>19.450700000000001</v>
          </cell>
          <cell r="L50">
            <v>19.554600000000001</v>
          </cell>
          <cell r="M50">
            <v>19.726099999999999</v>
          </cell>
        </row>
        <row r="51">
          <cell r="A51">
            <v>1995</v>
          </cell>
          <cell r="B51">
            <v>20.468599999999999</v>
          </cell>
          <cell r="C51">
            <v>21.336099999999998</v>
          </cell>
          <cell r="D51">
            <v>22.593900000000001</v>
          </cell>
          <cell r="E51">
            <v>24.394300000000001</v>
          </cell>
          <cell r="F51">
            <v>25.413900000000002</v>
          </cell>
          <cell r="G51">
            <v>26.220400000000001</v>
          </cell>
          <cell r="H51">
            <v>26.754999999999999</v>
          </cell>
          <cell r="I51">
            <v>27.198799999999999</v>
          </cell>
          <cell r="J51">
            <v>27.761399999999998</v>
          </cell>
          <cell r="K51">
            <v>28.332599999999999</v>
          </cell>
          <cell r="L51">
            <v>29.031199999999998</v>
          </cell>
          <cell r="M51">
            <v>29.977</v>
          </cell>
        </row>
        <row r="52">
          <cell r="A52">
            <v>1996</v>
          </cell>
          <cell r="B52">
            <v>31.0547</v>
          </cell>
          <cell r="C52">
            <v>31.779499999999999</v>
          </cell>
          <cell r="D52">
            <v>32.479100000000003</v>
          </cell>
          <cell r="E52">
            <v>33.4024</v>
          </cell>
          <cell r="F52">
            <v>34.011200000000002</v>
          </cell>
          <cell r="G52">
            <v>34.565100000000001</v>
          </cell>
          <cell r="H52">
            <v>35.056399999999996</v>
          </cell>
          <cell r="I52">
            <v>35.522399999999998</v>
          </cell>
          <cell r="J52">
            <v>36.090299999999999</v>
          </cell>
          <cell r="K52">
            <v>36.540799999999997</v>
          </cell>
          <cell r="L52">
            <v>37.0944</v>
          </cell>
          <cell r="M52">
            <v>38.2821</v>
          </cell>
        </row>
        <row r="53">
          <cell r="A53">
            <v>1997</v>
          </cell>
          <cell r="B53">
            <v>39.266599999999997</v>
          </cell>
          <cell r="C53">
            <v>39.926400000000001</v>
          </cell>
          <cell r="D53">
            <v>40.423299999999998</v>
          </cell>
          <cell r="E53">
            <v>40.86</v>
          </cell>
          <cell r="F53">
            <v>41.232900000000001</v>
          </cell>
          <cell r="G53">
            <v>41.598799999999997</v>
          </cell>
          <cell r="H53">
            <v>41.961199999999998</v>
          </cell>
          <cell r="I53">
            <v>42.334299999999999</v>
          </cell>
          <cell r="J53">
            <v>42.861499999999999</v>
          </cell>
          <cell r="K53">
            <v>43.204099999999997</v>
          </cell>
          <cell r="L53">
            <v>43.687399999999997</v>
          </cell>
          <cell r="M53">
            <v>44.299500000000002</v>
          </cell>
        </row>
        <row r="54">
          <cell r="A54">
            <v>1998</v>
          </cell>
          <cell r="B54">
            <v>45.263300000000001</v>
          </cell>
          <cell r="C54">
            <v>46.055700000000002</v>
          </cell>
          <cell r="D54">
            <v>46.595199999999998</v>
          </cell>
          <cell r="E54">
            <v>47.031199999999998</v>
          </cell>
          <cell r="F54">
            <v>47.405799999999999</v>
          </cell>
          <cell r="G54">
            <v>47.966099999999997</v>
          </cell>
          <cell r="H54">
            <v>48.428600000000003</v>
          </cell>
          <cell r="I54">
            <v>48.894199999999998</v>
          </cell>
          <cell r="J54">
            <v>49.687199999999997</v>
          </cell>
          <cell r="K54">
            <v>50.3992</v>
          </cell>
          <cell r="L54">
            <v>51.291800000000002</v>
          </cell>
          <cell r="M54">
            <v>52.543300000000002</v>
          </cell>
        </row>
        <row r="55">
          <cell r="A55">
            <v>1999</v>
          </cell>
          <cell r="B55">
            <v>53.870100000000001</v>
          </cell>
          <cell r="C55">
            <v>54.594099999999997</v>
          </cell>
          <cell r="D55">
            <v>55.101300000000002</v>
          </cell>
          <cell r="E55">
            <v>55.606999999999999</v>
          </cell>
          <cell r="F55">
            <v>55.941499999999998</v>
          </cell>
          <cell r="G55">
            <v>56.308999999999997</v>
          </cell>
          <cell r="H55">
            <v>56.681199999999997</v>
          </cell>
          <cell r="I55">
            <v>57.0002</v>
          </cell>
          <cell r="J55">
            <v>57.551000000000002</v>
          </cell>
          <cell r="K55">
            <v>57.915500000000002</v>
          </cell>
          <cell r="L55">
            <v>58.430500000000002</v>
          </cell>
          <cell r="M55">
            <v>59.015900000000002</v>
          </cell>
        </row>
        <row r="56">
          <cell r="A56">
            <v>2000</v>
          </cell>
          <cell r="B56">
            <v>59.808300000000003</v>
          </cell>
          <cell r="C56">
            <v>60.338799999999999</v>
          </cell>
          <cell r="D56">
            <v>60.673400000000001</v>
          </cell>
          <cell r="E56">
            <v>61.018599999999999</v>
          </cell>
          <cell r="F56">
            <v>61.246699999999997</v>
          </cell>
          <cell r="G56">
            <v>61.609499999999997</v>
          </cell>
          <cell r="H56">
            <v>61.849800000000002</v>
          </cell>
          <cell r="I56">
            <v>62.189599999999999</v>
          </cell>
          <cell r="J56">
            <v>62.643900000000002</v>
          </cell>
          <cell r="K56">
            <v>63.075299999999999</v>
          </cell>
          <cell r="L56">
            <v>63.614600000000003</v>
          </cell>
          <cell r="M56">
            <v>64.303299999999993</v>
          </cell>
        </row>
        <row r="57">
          <cell r="A57">
            <v>2001</v>
          </cell>
          <cell r="B57">
            <v>64.659800000000004</v>
          </cell>
          <cell r="C57">
            <v>64.617000000000004</v>
          </cell>
          <cell r="D57">
            <v>65.026399999999995</v>
          </cell>
          <cell r="E57">
            <v>65.354399999999998</v>
          </cell>
          <cell r="F57">
            <v>65.504400000000004</v>
          </cell>
          <cell r="G57">
            <v>65.659300000000002</v>
          </cell>
          <cell r="H57">
            <v>65.488699999999994</v>
          </cell>
          <cell r="I57">
            <v>65.8767</v>
          </cell>
          <cell r="J57">
            <v>66.489999999999995</v>
          </cell>
          <cell r="K57">
            <v>66.790499999999994</v>
          </cell>
          <cell r="L57">
            <v>67.042100000000005</v>
          </cell>
          <cell r="M57">
            <v>67.134900000000002</v>
          </cell>
        </row>
        <row r="58">
          <cell r="A58">
            <v>2002</v>
          </cell>
          <cell r="B58">
            <v>67.754599999999996</v>
          </cell>
          <cell r="C58">
            <v>67.711100000000002</v>
          </cell>
          <cell r="D58">
            <v>68.057400000000001</v>
          </cell>
          <cell r="E58">
            <v>68.429199999999994</v>
          </cell>
          <cell r="F58">
            <v>68.567899999999995</v>
          </cell>
          <cell r="G58">
            <v>68.902199999999993</v>
          </cell>
          <cell r="H58">
            <v>69.099999999999994</v>
          </cell>
          <cell r="I58">
            <v>69.362700000000004</v>
          </cell>
          <cell r="J58">
            <v>69.78</v>
          </cell>
          <cell r="K58">
            <v>70.087500000000006</v>
          </cell>
          <cell r="L58">
            <v>70.654399999999995</v>
          </cell>
          <cell r="M58">
            <v>70.9619</v>
          </cell>
        </row>
        <row r="59">
          <cell r="A59">
            <v>2003</v>
          </cell>
          <cell r="B59">
            <v>71.248800000000003</v>
          </cell>
          <cell r="C59">
            <v>71.446700000000007</v>
          </cell>
          <cell r="D59">
            <v>71.8977</v>
          </cell>
          <cell r="E59">
            <v>72.020399999999995</v>
          </cell>
          <cell r="F59">
            <v>71.787999999999997</v>
          </cell>
          <cell r="G59">
            <v>71.847399999999993</v>
          </cell>
          <cell r="H59">
            <v>71.951499999999996</v>
          </cell>
          <cell r="I59">
            <v>72.167299999999997</v>
          </cell>
          <cell r="J59">
            <v>72.596900000000005</v>
          </cell>
          <cell r="K59">
            <v>72.863100000000003</v>
          </cell>
          <cell r="L59">
            <v>73.4679</v>
          </cell>
          <cell r="M59">
            <v>73.783699999999996</v>
          </cell>
        </row>
        <row r="60">
          <cell r="A60">
            <v>2004</v>
          </cell>
          <cell r="B60">
            <v>74.2423</v>
          </cell>
          <cell r="C60">
            <v>74.686400000000006</v>
          </cell>
          <cell r="D60">
            <v>74.939499999999995</v>
          </cell>
          <cell r="E60">
            <v>75.052599999999998</v>
          </cell>
          <cell r="F60">
            <v>74.8643</v>
          </cell>
          <cell r="G60">
            <v>74.984300000000005</v>
          </cell>
          <cell r="H60">
            <v>75.180800000000005</v>
          </cell>
          <cell r="I60">
            <v>75.644900000000007</v>
          </cell>
          <cell r="J60">
            <v>76.270399999999995</v>
          </cell>
          <cell r="K60">
            <v>76.798599999999993</v>
          </cell>
          <cell r="L60">
            <v>77.453699999999998</v>
          </cell>
          <cell r="M60">
            <v>77.613699999999994</v>
          </cell>
        </row>
        <row r="61">
          <cell r="A61">
            <v>2005</v>
          </cell>
          <cell r="B61">
            <v>77.616500000000002</v>
          </cell>
          <cell r="C61">
            <v>77.875100000000003</v>
          </cell>
          <cell r="D61">
            <v>78.226100000000002</v>
          </cell>
          <cell r="E61">
            <v>78.5047</v>
          </cell>
          <cell r="F61">
            <v>78.307500000000005</v>
          </cell>
          <cell r="G61">
            <v>78.232299999999995</v>
          </cell>
          <cell r="H61">
            <v>78.538499999999999</v>
          </cell>
          <cell r="I61">
            <v>78.632300000000001</v>
          </cell>
          <cell r="J61">
            <v>78.947400000000002</v>
          </cell>
          <cell r="K61">
            <v>79.141199999999998</v>
          </cell>
          <cell r="L61">
            <v>79.710800000000006</v>
          </cell>
          <cell r="M61">
            <v>80.200400000000002</v>
          </cell>
        </row>
        <row r="62">
          <cell r="A62">
            <v>2006</v>
          </cell>
          <cell r="B62">
            <v>80.670699999999997</v>
          </cell>
          <cell r="C62">
            <v>80.7941</v>
          </cell>
          <cell r="D62">
            <v>80.895499999999998</v>
          </cell>
          <cell r="E62">
            <v>81.014099999999999</v>
          </cell>
          <cell r="F62">
            <v>80.653499999999994</v>
          </cell>
          <cell r="G62">
            <v>80.723100000000002</v>
          </cell>
          <cell r="H62">
            <v>80.944500000000005</v>
          </cell>
          <cell r="I62">
            <v>81.357500000000002</v>
          </cell>
          <cell r="J62">
            <v>82.178799999999995</v>
          </cell>
          <cell r="K62">
            <v>82.5381</v>
          </cell>
          <cell r="L62">
            <v>82.971199999999996</v>
          </cell>
          <cell r="M62">
            <v>83.451099999999997</v>
          </cell>
        </row>
        <row r="63">
          <cell r="A63">
            <v>2007</v>
          </cell>
          <cell r="B63">
            <v>83.882099999999994</v>
          </cell>
          <cell r="C63">
            <v>84.116600000000005</v>
          </cell>
          <cell r="D63">
            <v>84.298599999999993</v>
          </cell>
          <cell r="E63">
            <v>84.2483</v>
          </cell>
          <cell r="F63">
            <v>83.837299999999999</v>
          </cell>
          <cell r="G63">
            <v>83.938000000000002</v>
          </cell>
          <cell r="H63">
            <v>84.294499999999999</v>
          </cell>
          <cell r="I63">
            <v>84.637900000000002</v>
          </cell>
          <cell r="J63">
            <v>85.295100000000005</v>
          </cell>
          <cell r="K63">
            <v>85.627499999999998</v>
          </cell>
          <cell r="L63">
            <v>86.2316</v>
          </cell>
          <cell r="M63">
            <v>86.588099999999997</v>
          </cell>
        </row>
        <row r="64">
          <cell r="A64">
            <v>2008</v>
          </cell>
          <cell r="B64">
            <v>86.989400000000003</v>
          </cell>
          <cell r="C64">
            <v>87.248000000000005</v>
          </cell>
          <cell r="D64">
            <v>87.880399999999995</v>
          </cell>
          <cell r="E64">
            <v>88.080399999999997</v>
          </cell>
          <cell r="F64">
            <v>87.985200000000006</v>
          </cell>
          <cell r="G64">
            <v>88.349299999999999</v>
          </cell>
          <cell r="H64">
            <v>88.841700000000003</v>
          </cell>
          <cell r="I64">
            <v>89.354699999999994</v>
          </cell>
          <cell r="J64">
            <v>89.963700000000003</v>
          </cell>
          <cell r="K64">
            <v>90.576700000000002</v>
          </cell>
          <cell r="L64">
            <v>91.606300000000005</v>
          </cell>
          <cell r="M64">
            <v>92.240700000000004</v>
          </cell>
        </row>
        <row r="65">
          <cell r="A65">
            <v>2009</v>
          </cell>
          <cell r="B65">
            <v>92.454499999999996</v>
          </cell>
          <cell r="C65">
            <v>92.658600000000007</v>
          </cell>
          <cell r="D65">
            <v>93.191599999999994</v>
          </cell>
          <cell r="E65">
            <v>93.517799999999994</v>
          </cell>
          <cell r="F65">
            <v>93.245400000000004</v>
          </cell>
          <cell r="G65">
            <v>93.417100000000005</v>
          </cell>
          <cell r="H65">
            <v>93.671599999999998</v>
          </cell>
          <cell r="I65">
            <v>93.895700000000005</v>
          </cell>
          <cell r="J65">
            <v>94.366699999999994</v>
          </cell>
          <cell r="K65">
            <v>94.652199999999993</v>
          </cell>
          <cell r="L65">
            <v>95.143199999999993</v>
          </cell>
          <cell r="M65">
            <v>95.537000000000006</v>
          </cell>
        </row>
        <row r="66">
          <cell r="A66">
            <v>2010</v>
          </cell>
          <cell r="B66">
            <v>96.575500000000005</v>
          </cell>
          <cell r="C66">
            <v>97.134100000000004</v>
          </cell>
          <cell r="D66">
            <v>97.823599999999999</v>
          </cell>
          <cell r="E66">
            <v>97.511899999999997</v>
          </cell>
          <cell r="F66">
            <v>96.897499999999994</v>
          </cell>
          <cell r="G66">
            <v>96.867199999999997</v>
          </cell>
          <cell r="H66">
            <v>97.077500000000001</v>
          </cell>
          <cell r="I66">
            <v>97.347099999999998</v>
          </cell>
          <cell r="J66">
            <v>97.857399999999998</v>
          </cell>
          <cell r="K66">
            <v>98.461500000000001</v>
          </cell>
          <cell r="L66">
            <v>99.250399999999999</v>
          </cell>
          <cell r="M66">
            <v>99.742099999999994</v>
          </cell>
        </row>
        <row r="67">
          <cell r="A67">
            <v>2011</v>
          </cell>
          <cell r="B67">
            <v>100.22799999999999</v>
          </cell>
          <cell r="C67">
            <v>100.604</v>
          </cell>
          <cell r="D67">
            <v>100.797</v>
          </cell>
          <cell r="E67">
            <v>100.789</v>
          </cell>
          <cell r="F67">
            <v>100.04600000000001</v>
          </cell>
          <cell r="G67">
            <v>100.041</v>
          </cell>
          <cell r="H67">
            <v>100.521</v>
          </cell>
          <cell r="I67">
            <v>100.68</v>
          </cell>
          <cell r="J67">
            <v>100.92700000000001</v>
          </cell>
          <cell r="K67">
            <v>101.608</v>
          </cell>
          <cell r="L67">
            <v>102.70699999999999</v>
          </cell>
          <cell r="M67">
            <v>103.551</v>
          </cell>
        </row>
        <row r="68">
          <cell r="A68">
            <v>2012</v>
          </cell>
          <cell r="B68">
            <v>104.28400000000001</v>
          </cell>
          <cell r="C68">
            <v>104.496</v>
          </cell>
          <cell r="D68">
            <v>104.556</v>
          </cell>
          <cell r="E68">
            <v>104.22799999999999</v>
          </cell>
          <cell r="F68">
            <v>103.899</v>
          </cell>
          <cell r="G68">
            <v>104.378</v>
          </cell>
          <cell r="H68">
            <v>104.964</v>
          </cell>
          <cell r="I68">
            <v>105.279</v>
          </cell>
          <cell r="J68">
            <v>105.74299999999999</v>
          </cell>
          <cell r="K68">
            <v>106.27800000000001</v>
          </cell>
          <cell r="L68">
            <v>107</v>
          </cell>
          <cell r="M68">
            <v>107.246</v>
          </cell>
        </row>
        <row r="69">
          <cell r="A69">
            <v>2013</v>
          </cell>
          <cell r="B69">
            <v>107.678</v>
          </cell>
          <cell r="C69">
            <v>108.208</v>
          </cell>
          <cell r="D69">
            <v>109.002</v>
          </cell>
          <cell r="E69">
            <v>109.074</v>
          </cell>
          <cell r="F69">
            <v>108.711</v>
          </cell>
          <cell r="G69">
            <v>108.645</v>
          </cell>
          <cell r="H69">
            <v>108.60899999999999</v>
          </cell>
          <cell r="I69">
            <v>108.91800000000001</v>
          </cell>
          <cell r="J69">
            <v>109.328</v>
          </cell>
          <cell r="K69">
            <v>109.848</v>
          </cell>
          <cell r="L69">
            <v>110.872</v>
          </cell>
          <cell r="M69">
            <v>111.508</v>
          </cell>
        </row>
        <row r="70">
          <cell r="A70">
            <v>2014</v>
          </cell>
          <cell r="B70">
            <v>112.505</v>
          </cell>
          <cell r="C70">
            <v>112.79</v>
          </cell>
          <cell r="D70">
            <v>113.099</v>
          </cell>
          <cell r="E70">
            <v>112.88800000000001</v>
          </cell>
          <cell r="F70">
            <v>112.527</v>
          </cell>
          <cell r="G70">
            <v>112.72199999999999</v>
          </cell>
          <cell r="H70">
            <v>113.032</v>
          </cell>
          <cell r="I70">
            <v>113.438</v>
          </cell>
          <cell r="J70">
            <v>113.93899999999999</v>
          </cell>
          <cell r="K70">
            <v>114.569</v>
          </cell>
          <cell r="L70">
            <v>115.49299999999999</v>
          </cell>
          <cell r="M70">
            <v>116.059</v>
          </cell>
        </row>
        <row r="71">
          <cell r="A71">
            <v>2015</v>
          </cell>
          <cell r="B71">
            <v>115.95399999999999</v>
          </cell>
          <cell r="C71">
            <v>116.17400000000001</v>
          </cell>
          <cell r="D71">
            <v>116.64700000000001</v>
          </cell>
          <cell r="E71">
            <v>116.345</v>
          </cell>
          <cell r="F71">
            <v>115.764</v>
          </cell>
          <cell r="G71">
            <v>115.958</v>
          </cell>
          <cell r="H71">
            <v>116.128</v>
          </cell>
          <cell r="I71">
            <v>116.373</v>
          </cell>
          <cell r="J71">
            <v>116.809</v>
          </cell>
          <cell r="K71">
            <v>117.41</v>
          </cell>
          <cell r="L71">
            <v>118.051</v>
          </cell>
          <cell r="M71">
            <v>118.532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31/Dic/2015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1090694.8</v>
          </cell>
          <cell r="D8" t="str">
            <v xml:space="preserve"> </v>
          </cell>
          <cell r="E8">
            <v>1844857.9</v>
          </cell>
          <cell r="F8">
            <v>1621423</v>
          </cell>
          <cell r="G8">
            <v>1314129.7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879352.01</v>
          </cell>
          <cell r="D9" t="str">
            <v xml:space="preserve"> </v>
          </cell>
          <cell r="E9">
            <v>1844857.9</v>
          </cell>
          <cell r="F9">
            <v>1615786.93</v>
          </cell>
          <cell r="G9">
            <v>1108422.98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648419.24</v>
          </cell>
          <cell r="D10" t="str">
            <v xml:space="preserve"> </v>
          </cell>
          <cell r="E10">
            <v>970287.85</v>
          </cell>
          <cell r="F10">
            <v>790362.92</v>
          </cell>
          <cell r="G10">
            <v>828344.17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8652.57</v>
          </cell>
          <cell r="D11" t="str">
            <v xml:space="preserve"> </v>
          </cell>
          <cell r="E11">
            <v>10101.790000000001</v>
          </cell>
          <cell r="F11">
            <v>17296.189999999999</v>
          </cell>
          <cell r="G11">
            <v>1458.17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135193.97</v>
          </cell>
          <cell r="D12" t="str">
            <v xml:space="preserve"> </v>
          </cell>
          <cell r="E12">
            <v>759890.88</v>
          </cell>
          <cell r="F12">
            <v>773066.73</v>
          </cell>
          <cell r="G12">
            <v>122018.12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504572.7</v>
          </cell>
          <cell r="D13" t="str">
            <v xml:space="preserve"> </v>
          </cell>
          <cell r="E13">
            <v>200295.18</v>
          </cell>
          <cell r="F13">
            <v>0</v>
          </cell>
          <cell r="G13">
            <v>704867.88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759890.19</v>
          </cell>
          <cell r="F14">
            <v>759890.19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759890.19</v>
          </cell>
          <cell r="F15">
            <v>759890.19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759890.19</v>
          </cell>
          <cell r="F16">
            <v>759890.19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46490.55</v>
          </cell>
          <cell r="D17" t="str">
            <v xml:space="preserve"> </v>
          </cell>
          <cell r="E17">
            <v>47558.94</v>
          </cell>
          <cell r="F17">
            <v>48339.58</v>
          </cell>
          <cell r="G17">
            <v>45709.91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19586.580000000002</v>
          </cell>
          <cell r="F18">
            <v>19586.580000000002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0</v>
          </cell>
          <cell r="D19" t="str">
            <v xml:space="preserve"> </v>
          </cell>
          <cell r="E19">
            <v>8413.36</v>
          </cell>
          <cell r="F19">
            <v>0</v>
          </cell>
          <cell r="G19">
            <v>8413.36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46490.55</v>
          </cell>
          <cell r="D20" t="str">
            <v xml:space="preserve"> </v>
          </cell>
          <cell r="E20">
            <v>19559</v>
          </cell>
          <cell r="F20">
            <v>28753</v>
          </cell>
          <cell r="G20">
            <v>37296.550000000003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5996.02</v>
          </cell>
          <cell r="D21" t="str">
            <v xml:space="preserve"> </v>
          </cell>
          <cell r="E21">
            <v>4101.79</v>
          </cell>
          <cell r="F21">
            <v>4101.79</v>
          </cell>
          <cell r="G21">
            <v>5996.02</v>
          </cell>
          <cell r="H21" t="str">
            <v xml:space="preserve"> </v>
          </cell>
        </row>
        <row r="22">
          <cell r="A22" t="str">
            <v>1106-020-000</v>
          </cell>
          <cell r="B22" t="str">
            <v>S</v>
          </cell>
          <cell r="C22">
            <v>5996.02</v>
          </cell>
          <cell r="D22" t="str">
            <v xml:space="preserve"> </v>
          </cell>
          <cell r="E22">
            <v>4101.79</v>
          </cell>
          <cell r="F22">
            <v>4101.79</v>
          </cell>
          <cell r="G22">
            <v>5996.02</v>
          </cell>
          <cell r="H22" t="str">
            <v xml:space="preserve"> </v>
          </cell>
        </row>
        <row r="23">
          <cell r="A23" t="str">
            <v>1106-020-001</v>
          </cell>
          <cell r="B23" t="str">
            <v>Stephanie Tillman</v>
          </cell>
          <cell r="C23">
            <v>5996.02</v>
          </cell>
          <cell r="D23" t="str">
            <v xml:space="preserve"> </v>
          </cell>
          <cell r="E23">
            <v>4101.79</v>
          </cell>
          <cell r="F23">
            <v>4101.79</v>
          </cell>
          <cell r="G23">
            <v>5996.02</v>
          </cell>
          <cell r="H23" t="str">
            <v xml:space="preserve"> </v>
          </cell>
        </row>
        <row r="24">
          <cell r="A24" t="str">
            <v>1107-000-000</v>
          </cell>
          <cell r="B24" t="str">
            <v>Anticipo a Proveedores</v>
          </cell>
          <cell r="C24">
            <v>145</v>
          </cell>
          <cell r="D24" t="str">
            <v xml:space="preserve"> </v>
          </cell>
          <cell r="E24">
            <v>0</v>
          </cell>
          <cell r="F24">
            <v>145</v>
          </cell>
          <cell r="G24">
            <v>0</v>
          </cell>
          <cell r="H24" t="str">
            <v xml:space="preserve"> </v>
          </cell>
        </row>
        <row r="25">
          <cell r="A25" t="str">
            <v>1107-014-000</v>
          </cell>
          <cell r="B25" t="str">
            <v>N</v>
          </cell>
          <cell r="C25">
            <v>145</v>
          </cell>
          <cell r="D25" t="str">
            <v xml:space="preserve"> </v>
          </cell>
          <cell r="E25">
            <v>0</v>
          </cell>
          <cell r="F25">
            <v>145</v>
          </cell>
          <cell r="G25">
            <v>0</v>
          </cell>
          <cell r="H25" t="str">
            <v xml:space="preserve"> </v>
          </cell>
        </row>
        <row r="26">
          <cell r="A26" t="str">
            <v>1107-014-001</v>
          </cell>
          <cell r="B26" t="str">
            <v>Navarro Lozano y Compañia, S.C.</v>
          </cell>
          <cell r="C26">
            <v>145</v>
          </cell>
          <cell r="D26" t="str">
            <v xml:space="preserve"> </v>
          </cell>
          <cell r="E26">
            <v>0</v>
          </cell>
          <cell r="F26">
            <v>145</v>
          </cell>
          <cell r="G26">
            <v>0</v>
          </cell>
          <cell r="H26" t="str">
            <v xml:space="preserve"> </v>
          </cell>
        </row>
        <row r="27">
          <cell r="A27" t="str">
            <v>1108-000-000</v>
          </cell>
          <cell r="B27" t="str">
            <v>Pagos Anticipados</v>
          </cell>
          <cell r="C27">
            <v>105092.75</v>
          </cell>
          <cell r="D27" t="str">
            <v xml:space="preserve"> </v>
          </cell>
          <cell r="E27">
            <v>10435.6</v>
          </cell>
          <cell r="F27">
            <v>0</v>
          </cell>
          <cell r="G27">
            <v>115528.35</v>
          </cell>
          <cell r="H27" t="str">
            <v xml:space="preserve"> </v>
          </cell>
        </row>
        <row r="28">
          <cell r="A28" t="str">
            <v>1108-001-000</v>
          </cell>
          <cell r="B28" t="str">
            <v>Pagos Provisionales ISR</v>
          </cell>
          <cell r="C28">
            <v>102767</v>
          </cell>
          <cell r="D28" t="str">
            <v xml:space="preserve"> </v>
          </cell>
          <cell r="E28">
            <v>10147</v>
          </cell>
          <cell r="F28">
            <v>0</v>
          </cell>
          <cell r="G28">
            <v>112914</v>
          </cell>
          <cell r="H28" t="str">
            <v xml:space="preserve"> </v>
          </cell>
        </row>
        <row r="29">
          <cell r="A29" t="str">
            <v>1108-004-000</v>
          </cell>
          <cell r="B29" t="str">
            <v>Retención de ISR Bancaria</v>
          </cell>
          <cell r="C29">
            <v>2325.5300000000002</v>
          </cell>
          <cell r="D29" t="str">
            <v xml:space="preserve"> </v>
          </cell>
          <cell r="E29">
            <v>288.60000000000002</v>
          </cell>
          <cell r="F29">
            <v>0</v>
          </cell>
          <cell r="G29">
            <v>2614.13</v>
          </cell>
          <cell r="H29" t="str">
            <v xml:space="preserve"> </v>
          </cell>
        </row>
        <row r="30">
          <cell r="A30" t="str">
            <v>1108-005-000</v>
          </cell>
          <cell r="B30" t="str">
            <v>Subsidio al Empleo</v>
          </cell>
          <cell r="C30">
            <v>0.22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0.22</v>
          </cell>
          <cell r="H30" t="str">
            <v xml:space="preserve"> </v>
          </cell>
        </row>
        <row r="31">
          <cell r="A31" t="str">
            <v>1109-000-000</v>
          </cell>
          <cell r="B31" t="str">
            <v>Depositos en Garantia</v>
          </cell>
          <cell r="C31">
            <v>24000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24000</v>
          </cell>
          <cell r="H31" t="str">
            <v xml:space="preserve"> </v>
          </cell>
        </row>
        <row r="32">
          <cell r="A32" t="str">
            <v>1109-001-000</v>
          </cell>
          <cell r="B32" t="str">
            <v>Depositos en Garantia</v>
          </cell>
          <cell r="C32">
            <v>24000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24000</v>
          </cell>
          <cell r="H32" t="str">
            <v xml:space="preserve"> </v>
          </cell>
        </row>
        <row r="33">
          <cell r="A33" t="str">
            <v>1110-000-000</v>
          </cell>
          <cell r="B33" t="str">
            <v>Seguros Pagados por anticipado</v>
          </cell>
          <cell r="C33">
            <v>49208.45</v>
          </cell>
          <cell r="D33" t="str">
            <v xml:space="preserve"> </v>
          </cell>
          <cell r="E33">
            <v>52583.53</v>
          </cell>
          <cell r="F33">
            <v>12947.45</v>
          </cell>
          <cell r="G33">
            <v>88844.53</v>
          </cell>
          <cell r="H33" t="str">
            <v xml:space="preserve"> </v>
          </cell>
        </row>
        <row r="34">
          <cell r="A34" t="str">
            <v>1110-001-000</v>
          </cell>
          <cell r="B34" t="str">
            <v>Seguro Gastos Medicos</v>
          </cell>
          <cell r="C34">
            <v>48572.79</v>
          </cell>
          <cell r="D34" t="str">
            <v xml:space="preserve"> </v>
          </cell>
          <cell r="E34">
            <v>0</v>
          </cell>
          <cell r="F34">
            <v>8565.49</v>
          </cell>
          <cell r="G34">
            <v>40007.300000000003</v>
          </cell>
          <cell r="H34" t="str">
            <v xml:space="preserve"> </v>
          </cell>
        </row>
        <row r="35">
          <cell r="A35" t="str">
            <v>1110-002-000</v>
          </cell>
          <cell r="B35" t="str">
            <v>Seguro Local</v>
          </cell>
          <cell r="C35">
            <v>635.66</v>
          </cell>
          <cell r="D35" t="str">
            <v xml:space="preserve"> </v>
          </cell>
          <cell r="E35">
            <v>52583.53</v>
          </cell>
          <cell r="F35">
            <v>4381.96</v>
          </cell>
          <cell r="G35">
            <v>48837.23</v>
          </cell>
          <cell r="H35" t="str">
            <v xml:space="preserve"> </v>
          </cell>
        </row>
        <row r="36">
          <cell r="A36" t="str">
            <v>1200-000-000</v>
          </cell>
          <cell r="B36" t="str">
            <v>ACTIVOS FIJOS</v>
          </cell>
          <cell r="C36">
            <v>211342.79</v>
          </cell>
          <cell r="D36" t="str">
            <v xml:space="preserve"> </v>
          </cell>
          <cell r="E36">
            <v>0</v>
          </cell>
          <cell r="F36">
            <v>5636.07</v>
          </cell>
          <cell r="G36">
            <v>205706.72</v>
          </cell>
          <cell r="H36" t="str">
            <v xml:space="preserve"> </v>
          </cell>
        </row>
        <row r="37">
          <cell r="A37" t="str">
            <v>1208-000-000</v>
          </cell>
          <cell r="B37" t="str">
            <v>Mobiliario y Eq de oficina</v>
          </cell>
          <cell r="C37">
            <v>127586.17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127586.17</v>
          </cell>
          <cell r="H37" t="str">
            <v xml:space="preserve"> </v>
          </cell>
        </row>
        <row r="38">
          <cell r="A38" t="str">
            <v>1208-001-000</v>
          </cell>
          <cell r="B38" t="str">
            <v>Mesa ejecutiva</v>
          </cell>
          <cell r="C38">
            <v>29827.439999999999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29827.439999999999</v>
          </cell>
          <cell r="H38" t="str">
            <v xml:space="preserve"> </v>
          </cell>
        </row>
        <row r="39">
          <cell r="A39" t="str">
            <v>1208-002-000</v>
          </cell>
          <cell r="B39" t="str">
            <v>Silla ejecutiva</v>
          </cell>
          <cell r="C39">
            <v>30890.81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30890.81</v>
          </cell>
          <cell r="H39" t="str">
            <v xml:space="preserve"> </v>
          </cell>
        </row>
        <row r="40">
          <cell r="A40" t="str">
            <v>1208-003-000</v>
          </cell>
          <cell r="B40" t="str">
            <v>Gabinete</v>
          </cell>
          <cell r="C40">
            <v>7500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7500</v>
          </cell>
          <cell r="H40" t="str">
            <v xml:space="preserve"> </v>
          </cell>
        </row>
        <row r="41">
          <cell r="A41" t="str">
            <v>1208-004-000</v>
          </cell>
          <cell r="B41" t="str">
            <v>Mesa de juntas</v>
          </cell>
          <cell r="C41">
            <v>8522.1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8522.1</v>
          </cell>
          <cell r="H41" t="str">
            <v xml:space="preserve"> </v>
          </cell>
        </row>
        <row r="42">
          <cell r="A42" t="str">
            <v>1208-005-000</v>
          </cell>
          <cell r="B42" t="str">
            <v>Calentador</v>
          </cell>
          <cell r="C42">
            <v>1415.23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1415.23</v>
          </cell>
          <cell r="H42" t="str">
            <v xml:space="preserve"> </v>
          </cell>
        </row>
        <row r="43">
          <cell r="A43" t="str">
            <v>1208-006-000</v>
          </cell>
          <cell r="B43" t="str">
            <v>Lámpara mesa</v>
          </cell>
          <cell r="C43">
            <v>11723.45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11723.45</v>
          </cell>
          <cell r="H43" t="str">
            <v xml:space="preserve"> </v>
          </cell>
        </row>
        <row r="44">
          <cell r="A44" t="str">
            <v>1208-007-000</v>
          </cell>
          <cell r="B44" t="str">
            <v>Sillón antenas piel vinil chocolate</v>
          </cell>
          <cell r="C44">
            <v>2113.79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2113.79</v>
          </cell>
          <cell r="H44" t="str">
            <v xml:space="preserve"> </v>
          </cell>
        </row>
        <row r="45">
          <cell r="A45" t="str">
            <v>1208-008-000</v>
          </cell>
          <cell r="B45" t="str">
            <v>Lámpara mesa</v>
          </cell>
          <cell r="C45">
            <v>12500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12500</v>
          </cell>
          <cell r="H45" t="str">
            <v xml:space="preserve"> </v>
          </cell>
        </row>
        <row r="46">
          <cell r="A46" t="str">
            <v>1208-009-000</v>
          </cell>
          <cell r="B46" t="str">
            <v>Comedor</v>
          </cell>
          <cell r="C46">
            <v>693.36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693.36</v>
          </cell>
          <cell r="H46" t="str">
            <v xml:space="preserve"> </v>
          </cell>
        </row>
        <row r="47">
          <cell r="A47" t="str">
            <v>1208-010-000</v>
          </cell>
          <cell r="B47" t="str">
            <v>Mesa de juntas ceniz</v>
          </cell>
          <cell r="C47">
            <v>1421.55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1421.55</v>
          </cell>
          <cell r="H47" t="str">
            <v xml:space="preserve"> </v>
          </cell>
        </row>
        <row r="48">
          <cell r="A48" t="str">
            <v>1208-011-000</v>
          </cell>
          <cell r="B48" t="str">
            <v>Escritorio Estudiante Vid Choc</v>
          </cell>
          <cell r="C48">
            <v>10343.1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10343.1</v>
          </cell>
          <cell r="H48" t="str">
            <v xml:space="preserve"> </v>
          </cell>
        </row>
        <row r="49">
          <cell r="A49" t="str">
            <v>1208-012-000</v>
          </cell>
          <cell r="B49" t="str">
            <v>Mesa de TV</v>
          </cell>
          <cell r="C49">
            <v>2584.48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2584.48</v>
          </cell>
          <cell r="H49" t="str">
            <v xml:space="preserve"> </v>
          </cell>
        </row>
        <row r="50">
          <cell r="A50" t="str">
            <v>1208-013-000</v>
          </cell>
          <cell r="B50" t="str">
            <v xml:space="preserve">Gabinetes Led 6 </v>
          </cell>
          <cell r="C50">
            <v>3879.31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3879.31</v>
          </cell>
          <cell r="H50" t="str">
            <v xml:space="preserve"> </v>
          </cell>
        </row>
        <row r="51">
          <cell r="A51" t="str">
            <v>1208-014-000</v>
          </cell>
          <cell r="B51" t="str">
            <v>Lum Lin Flour 6</v>
          </cell>
          <cell r="C51">
            <v>3051.72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3051.72</v>
          </cell>
          <cell r="H51" t="str">
            <v xml:space="preserve"> </v>
          </cell>
        </row>
        <row r="52">
          <cell r="A52" t="str">
            <v>1208-015-000</v>
          </cell>
          <cell r="B52" t="str">
            <v>Escritorio en L serie Lines</v>
          </cell>
          <cell r="C52">
            <v>1119.83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1119.83</v>
          </cell>
          <cell r="H52" t="str">
            <v xml:space="preserve"> </v>
          </cell>
        </row>
        <row r="53">
          <cell r="A53" t="str">
            <v>1209-000-000</v>
          </cell>
          <cell r="B53" t="str">
            <v>Depreciacion acumulada Mob y Eq de oficina</v>
          </cell>
          <cell r="C53" t="str">
            <v xml:space="preserve"> </v>
          </cell>
          <cell r="D53">
            <v>18197.509999999998</v>
          </cell>
          <cell r="E53">
            <v>0</v>
          </cell>
          <cell r="F53">
            <v>1063.22</v>
          </cell>
          <cell r="G53" t="str">
            <v xml:space="preserve"> </v>
          </cell>
          <cell r="H53">
            <v>19260.73</v>
          </cell>
        </row>
        <row r="54">
          <cell r="A54" t="str">
            <v>1210-000-000</v>
          </cell>
          <cell r="B54" t="str">
            <v>Equipo de Computo</v>
          </cell>
          <cell r="C54">
            <v>150627.1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150627.1</v>
          </cell>
          <cell r="H54" t="str">
            <v xml:space="preserve"> </v>
          </cell>
        </row>
        <row r="55">
          <cell r="A55" t="str">
            <v>1210-001-000</v>
          </cell>
          <cell r="B55" t="str">
            <v>Computer Elite 8300</v>
          </cell>
          <cell r="C55">
            <v>49350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49350</v>
          </cell>
          <cell r="H55" t="str">
            <v xml:space="preserve"> </v>
          </cell>
        </row>
        <row r="56">
          <cell r="A56" t="str">
            <v>1210-002-000</v>
          </cell>
          <cell r="B56" t="str">
            <v>Multi Brother</v>
          </cell>
          <cell r="C56">
            <v>3188.79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3188.79</v>
          </cell>
          <cell r="H56" t="str">
            <v xml:space="preserve"> </v>
          </cell>
        </row>
        <row r="57">
          <cell r="A57" t="str">
            <v>1210-003-000</v>
          </cell>
          <cell r="B57" t="str">
            <v>Sony Video Projector</v>
          </cell>
          <cell r="C57">
            <v>9007.7999999999993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9007.7999999999993</v>
          </cell>
          <cell r="H57" t="str">
            <v xml:space="preserve"> </v>
          </cell>
        </row>
        <row r="58">
          <cell r="A58" t="str">
            <v>1210-004-000</v>
          </cell>
          <cell r="B58" t="str">
            <v>Epson Multifunctional  XP-211</v>
          </cell>
          <cell r="C58">
            <v>991.38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991.38</v>
          </cell>
          <cell r="H58" t="str">
            <v xml:space="preserve"> </v>
          </cell>
        </row>
        <row r="59">
          <cell r="A59" t="str">
            <v>1210-005-000</v>
          </cell>
          <cell r="B59" t="str">
            <v>Combo Inalam desktop 5000 usb</v>
          </cell>
          <cell r="C59">
            <v>922.41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922.41</v>
          </cell>
          <cell r="H59" t="str">
            <v xml:space="preserve"> </v>
          </cell>
        </row>
        <row r="60">
          <cell r="A60" t="str">
            <v>1210-007-000</v>
          </cell>
          <cell r="B60" t="str">
            <v>Computadora de escritorio completa</v>
          </cell>
          <cell r="C60">
            <v>11474.33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11474.33</v>
          </cell>
          <cell r="H60" t="str">
            <v xml:space="preserve"> </v>
          </cell>
        </row>
        <row r="61">
          <cell r="A61" t="str">
            <v>1210-010-000</v>
          </cell>
          <cell r="B61" t="str">
            <v>Memorias RAM DDR3</v>
          </cell>
          <cell r="C61">
            <v>1797.41</v>
          </cell>
          <cell r="D61" t="str">
            <v xml:space="preserve"> </v>
          </cell>
          <cell r="E61">
            <v>0</v>
          </cell>
          <cell r="F61">
            <v>0</v>
          </cell>
          <cell r="G61">
            <v>1797.41</v>
          </cell>
          <cell r="H61" t="str">
            <v xml:space="preserve"> </v>
          </cell>
        </row>
        <row r="62">
          <cell r="A62" t="str">
            <v>1210-011-000</v>
          </cell>
          <cell r="B62" t="str">
            <v>Laptop NP37</v>
          </cell>
          <cell r="C62">
            <v>15737.08</v>
          </cell>
          <cell r="D62" t="str">
            <v xml:space="preserve"> </v>
          </cell>
          <cell r="E62">
            <v>0</v>
          </cell>
          <cell r="F62">
            <v>0</v>
          </cell>
          <cell r="G62">
            <v>15737.08</v>
          </cell>
          <cell r="H62" t="str">
            <v xml:space="preserve"> </v>
          </cell>
        </row>
        <row r="63">
          <cell r="A63" t="str">
            <v>1210-012-000</v>
          </cell>
          <cell r="B63" t="str">
            <v>Laptop V5 Touch</v>
          </cell>
          <cell r="C63">
            <v>9240.8700000000008</v>
          </cell>
          <cell r="D63" t="str">
            <v xml:space="preserve"> </v>
          </cell>
          <cell r="E63">
            <v>0</v>
          </cell>
          <cell r="F63">
            <v>0</v>
          </cell>
          <cell r="G63">
            <v>9240.8700000000008</v>
          </cell>
          <cell r="H63" t="str">
            <v xml:space="preserve"> </v>
          </cell>
        </row>
        <row r="64">
          <cell r="A64" t="str">
            <v>1210-013-000</v>
          </cell>
          <cell r="B64" t="str">
            <v>Laptop Acer VN7-571 UMACKKLL 3</v>
          </cell>
          <cell r="C64">
            <v>11783.62</v>
          </cell>
          <cell r="D64" t="str">
            <v xml:space="preserve"> </v>
          </cell>
          <cell r="E64">
            <v>0</v>
          </cell>
          <cell r="F64">
            <v>0</v>
          </cell>
          <cell r="G64">
            <v>11783.62</v>
          </cell>
          <cell r="H64" t="str">
            <v xml:space="preserve"> </v>
          </cell>
        </row>
        <row r="65">
          <cell r="A65" t="str">
            <v>1210-014-000</v>
          </cell>
          <cell r="B65" t="str">
            <v>Computadora de escritorio sin monitor</v>
          </cell>
          <cell r="C65">
            <v>13751.73</v>
          </cell>
          <cell r="D65" t="str">
            <v xml:space="preserve"> </v>
          </cell>
          <cell r="E65">
            <v>0</v>
          </cell>
          <cell r="F65">
            <v>0</v>
          </cell>
          <cell r="G65">
            <v>13751.73</v>
          </cell>
          <cell r="H65" t="str">
            <v xml:space="preserve"> </v>
          </cell>
        </row>
        <row r="66">
          <cell r="A66" t="str">
            <v>1210-015-000</v>
          </cell>
          <cell r="B66" t="str">
            <v>Laptop Acer Roja</v>
          </cell>
          <cell r="C66">
            <v>10140.94</v>
          </cell>
          <cell r="D66" t="str">
            <v xml:space="preserve"> </v>
          </cell>
          <cell r="E66">
            <v>0</v>
          </cell>
          <cell r="F66">
            <v>0</v>
          </cell>
          <cell r="G66">
            <v>10140.94</v>
          </cell>
          <cell r="H66" t="str">
            <v xml:space="preserve"> </v>
          </cell>
        </row>
        <row r="67">
          <cell r="A67" t="str">
            <v>1210-016-000</v>
          </cell>
          <cell r="B67" t="str">
            <v>Monitor HD LED Acer Modelo K242HL</v>
          </cell>
          <cell r="C67">
            <v>13240.74</v>
          </cell>
          <cell r="D67" t="str">
            <v xml:space="preserve"> </v>
          </cell>
          <cell r="E67">
            <v>0</v>
          </cell>
          <cell r="F67">
            <v>0</v>
          </cell>
          <cell r="G67">
            <v>13240.74</v>
          </cell>
          <cell r="H67" t="str">
            <v xml:space="preserve"> </v>
          </cell>
        </row>
        <row r="68">
          <cell r="A68" t="str">
            <v>1211-000-000</v>
          </cell>
          <cell r="B68" t="str">
            <v>Depreciacion acumulada Eq. de Computo</v>
          </cell>
          <cell r="C68" t="str">
            <v xml:space="preserve"> </v>
          </cell>
          <cell r="D68">
            <v>48672.97</v>
          </cell>
          <cell r="E68">
            <v>0</v>
          </cell>
          <cell r="F68">
            <v>4572.8500000000004</v>
          </cell>
          <cell r="G68" t="str">
            <v xml:space="preserve"> </v>
          </cell>
          <cell r="H68">
            <v>53245.82</v>
          </cell>
        </row>
        <row r="69">
          <cell r="A69" t="str">
            <v>0000-200-000</v>
          </cell>
          <cell r="B69" t="str">
            <v>PASIVOS</v>
          </cell>
          <cell r="C69" t="str">
            <v xml:space="preserve"> </v>
          </cell>
          <cell r="D69">
            <v>921069.27</v>
          </cell>
          <cell r="E69">
            <v>425584.76</v>
          </cell>
          <cell r="F69">
            <v>516352.53</v>
          </cell>
          <cell r="G69" t="str">
            <v xml:space="preserve"> </v>
          </cell>
          <cell r="H69">
            <v>1011837.04</v>
          </cell>
        </row>
        <row r="70">
          <cell r="A70" t="str">
            <v>2100-000-000</v>
          </cell>
          <cell r="B70" t="str">
            <v>PASIVO CIRCULANTE</v>
          </cell>
          <cell r="C70" t="str">
            <v xml:space="preserve"> </v>
          </cell>
          <cell r="D70">
            <v>921069.27</v>
          </cell>
          <cell r="E70">
            <v>425584.76</v>
          </cell>
          <cell r="F70">
            <v>516352.53</v>
          </cell>
          <cell r="G70" t="str">
            <v xml:space="preserve"> </v>
          </cell>
          <cell r="H70">
            <v>1011837.04</v>
          </cell>
        </row>
        <row r="71">
          <cell r="A71" t="str">
            <v>2103-000-000</v>
          </cell>
          <cell r="B71" t="str">
            <v>Proveedores</v>
          </cell>
          <cell r="C71" t="str">
            <v xml:space="preserve"> </v>
          </cell>
          <cell r="D71">
            <v>0</v>
          </cell>
          <cell r="E71">
            <v>0</v>
          </cell>
          <cell r="F71">
            <v>60996.89</v>
          </cell>
          <cell r="G71" t="str">
            <v xml:space="preserve"> </v>
          </cell>
          <cell r="H71">
            <v>60996.89</v>
          </cell>
        </row>
        <row r="72">
          <cell r="A72" t="str">
            <v>2103-001-000</v>
          </cell>
          <cell r="B72" t="str">
            <v>A</v>
          </cell>
          <cell r="C72" t="str">
            <v xml:space="preserve"> </v>
          </cell>
          <cell r="D72">
            <v>0</v>
          </cell>
          <cell r="E72">
            <v>0</v>
          </cell>
          <cell r="F72">
            <v>9408.41</v>
          </cell>
          <cell r="G72" t="str">
            <v xml:space="preserve"> </v>
          </cell>
          <cell r="H72">
            <v>9408.41</v>
          </cell>
        </row>
        <row r="73">
          <cell r="A73" t="str">
            <v>2103-001-001</v>
          </cell>
          <cell r="B73" t="str">
            <v>Axa Seguros, S.A. de C.V.</v>
          </cell>
          <cell r="C73" t="str">
            <v xml:space="preserve"> </v>
          </cell>
          <cell r="D73">
            <v>0</v>
          </cell>
          <cell r="E73">
            <v>0</v>
          </cell>
          <cell r="F73">
            <v>9408.41</v>
          </cell>
          <cell r="G73" t="str">
            <v xml:space="preserve"> </v>
          </cell>
          <cell r="H73">
            <v>9408.41</v>
          </cell>
        </row>
        <row r="74">
          <cell r="A74" t="str">
            <v>2103-007-000</v>
          </cell>
          <cell r="B74" t="str">
            <v>G</v>
          </cell>
          <cell r="C74" t="str">
            <v xml:space="preserve"> </v>
          </cell>
          <cell r="D74">
            <v>0</v>
          </cell>
          <cell r="E74">
            <v>0</v>
          </cell>
          <cell r="F74">
            <v>51588.480000000003</v>
          </cell>
          <cell r="G74" t="str">
            <v xml:space="preserve"> </v>
          </cell>
          <cell r="H74">
            <v>51588.480000000003</v>
          </cell>
        </row>
        <row r="75">
          <cell r="A75" t="str">
            <v>2103-007-002</v>
          </cell>
          <cell r="B75" t="str">
            <v>Grupo Nacional Provincial</v>
          </cell>
          <cell r="C75" t="str">
            <v xml:space="preserve"> </v>
          </cell>
          <cell r="D75">
            <v>0</v>
          </cell>
          <cell r="E75">
            <v>0</v>
          </cell>
          <cell r="F75">
            <v>51588.480000000003</v>
          </cell>
          <cell r="G75" t="str">
            <v xml:space="preserve"> </v>
          </cell>
          <cell r="H75">
            <v>51588.480000000003</v>
          </cell>
        </row>
        <row r="76">
          <cell r="A76" t="str">
            <v>2106-000-000</v>
          </cell>
          <cell r="B76" t="str">
            <v>Acreedores Diversos</v>
          </cell>
          <cell r="C76" t="str">
            <v xml:space="preserve"> </v>
          </cell>
          <cell r="D76">
            <v>761024.31</v>
          </cell>
          <cell r="E76">
            <v>269280.21999999997</v>
          </cell>
          <cell r="F76">
            <v>269279.8</v>
          </cell>
          <cell r="G76" t="str">
            <v xml:space="preserve"> </v>
          </cell>
          <cell r="H76">
            <v>761023.89</v>
          </cell>
        </row>
        <row r="77">
          <cell r="A77" t="str">
            <v>2106-001-000</v>
          </cell>
          <cell r="B77" t="str">
            <v>A</v>
          </cell>
          <cell r="C77" t="str">
            <v xml:space="preserve"> </v>
          </cell>
          <cell r="D77">
            <v>761024.3</v>
          </cell>
          <cell r="E77">
            <v>0</v>
          </cell>
          <cell r="F77">
            <v>0</v>
          </cell>
          <cell r="G77" t="str">
            <v xml:space="preserve"> </v>
          </cell>
          <cell r="H77">
            <v>761024.3</v>
          </cell>
        </row>
        <row r="78">
          <cell r="A78" t="str">
            <v>2106-001-001</v>
          </cell>
          <cell r="B78" t="str">
            <v>1A Auto Inc.</v>
          </cell>
          <cell r="C78" t="str">
            <v xml:space="preserve"> </v>
          </cell>
          <cell r="D78">
            <v>761024.3</v>
          </cell>
          <cell r="E78">
            <v>0</v>
          </cell>
          <cell r="F78">
            <v>0</v>
          </cell>
          <cell r="G78" t="str">
            <v xml:space="preserve"> </v>
          </cell>
          <cell r="H78">
            <v>761024.3</v>
          </cell>
        </row>
        <row r="79">
          <cell r="A79" t="str">
            <v>2106-017-000</v>
          </cell>
          <cell r="B79" t="str">
            <v>P</v>
          </cell>
          <cell r="C79" t="str">
            <v xml:space="preserve"> </v>
          </cell>
          <cell r="D79">
            <v>0.03</v>
          </cell>
          <cell r="E79">
            <v>0</v>
          </cell>
          <cell r="F79">
            <v>0</v>
          </cell>
          <cell r="G79" t="str">
            <v xml:space="preserve"> </v>
          </cell>
          <cell r="H79">
            <v>0.03</v>
          </cell>
        </row>
        <row r="80">
          <cell r="A80" t="str">
            <v>2106-017-002</v>
          </cell>
          <cell r="B80" t="str">
            <v>PTU</v>
          </cell>
          <cell r="C80" t="str">
            <v xml:space="preserve"> </v>
          </cell>
          <cell r="D80">
            <v>0.03</v>
          </cell>
          <cell r="E80">
            <v>0</v>
          </cell>
          <cell r="F80">
            <v>0</v>
          </cell>
          <cell r="G80" t="str">
            <v xml:space="preserve"> </v>
          </cell>
          <cell r="H80">
            <v>0.03</v>
          </cell>
        </row>
        <row r="81">
          <cell r="A81" t="str">
            <v>2106-023-000</v>
          </cell>
          <cell r="B81" t="str">
            <v>V</v>
          </cell>
          <cell r="C81" t="str">
            <v xml:space="preserve"> </v>
          </cell>
          <cell r="D81">
            <v>-0.02</v>
          </cell>
          <cell r="E81">
            <v>21175.02</v>
          </cell>
          <cell r="F81">
            <v>21175</v>
          </cell>
          <cell r="G81" t="str">
            <v xml:space="preserve"> </v>
          </cell>
          <cell r="H81">
            <v>-0.04</v>
          </cell>
        </row>
        <row r="82">
          <cell r="A82" t="str">
            <v>2106-023-001</v>
          </cell>
          <cell r="B82" t="str">
            <v>Vales de despensa</v>
          </cell>
          <cell r="C82" t="str">
            <v xml:space="preserve"> </v>
          </cell>
          <cell r="D82">
            <v>0</v>
          </cell>
          <cell r="E82">
            <v>12600</v>
          </cell>
          <cell r="F82">
            <v>12600</v>
          </cell>
          <cell r="G82" t="str">
            <v xml:space="preserve"> </v>
          </cell>
          <cell r="H82">
            <v>0</v>
          </cell>
        </row>
        <row r="83">
          <cell r="A83" t="str">
            <v>2106-023-002</v>
          </cell>
          <cell r="B83" t="str">
            <v>Vales de gasolina</v>
          </cell>
          <cell r="C83" t="str">
            <v xml:space="preserve"> </v>
          </cell>
          <cell r="D83">
            <v>-0.02</v>
          </cell>
          <cell r="E83">
            <v>8575.02</v>
          </cell>
          <cell r="F83">
            <v>8575</v>
          </cell>
          <cell r="G83" t="str">
            <v xml:space="preserve"> </v>
          </cell>
          <cell r="H83">
            <v>-0.04</v>
          </cell>
        </row>
        <row r="84">
          <cell r="A84" t="str">
            <v>2106-100-000</v>
          </cell>
          <cell r="B84" t="str">
            <v>Sueldos por pagar</v>
          </cell>
          <cell r="C84" t="str">
            <v xml:space="preserve"> </v>
          </cell>
          <cell r="D84">
            <v>0</v>
          </cell>
          <cell r="E84">
            <v>248105.2</v>
          </cell>
          <cell r="F84">
            <v>248104.8</v>
          </cell>
          <cell r="G84" t="str">
            <v xml:space="preserve"> </v>
          </cell>
          <cell r="H84">
            <v>-0.4</v>
          </cell>
        </row>
        <row r="85">
          <cell r="A85" t="str">
            <v>2108-000-000</v>
          </cell>
          <cell r="B85" t="str">
            <v>Impuestos por pagar</v>
          </cell>
          <cell r="C85" t="str">
            <v xml:space="preserve"> </v>
          </cell>
          <cell r="D85">
            <v>160044.96</v>
          </cell>
          <cell r="E85">
            <v>156304.54</v>
          </cell>
          <cell r="F85">
            <v>186075.84</v>
          </cell>
          <cell r="G85" t="str">
            <v xml:space="preserve"> </v>
          </cell>
          <cell r="H85">
            <v>189816.26</v>
          </cell>
        </row>
        <row r="86">
          <cell r="A86" t="str">
            <v>2108-001-000</v>
          </cell>
          <cell r="B86" t="str">
            <v>ISPT</v>
          </cell>
          <cell r="C86" t="str">
            <v xml:space="preserve"> </v>
          </cell>
          <cell r="D86">
            <v>114751.47</v>
          </cell>
          <cell r="E86">
            <v>114749</v>
          </cell>
          <cell r="F86">
            <v>74334.039999999994</v>
          </cell>
          <cell r="G86" t="str">
            <v xml:space="preserve"> </v>
          </cell>
          <cell r="H86">
            <v>74336.509999999995</v>
          </cell>
        </row>
        <row r="87">
          <cell r="A87" t="str">
            <v>2108-002-000</v>
          </cell>
          <cell r="B87" t="str">
            <v>ISN</v>
          </cell>
          <cell r="C87" t="str">
            <v xml:space="preserve"> </v>
          </cell>
          <cell r="D87">
            <v>11368</v>
          </cell>
          <cell r="E87">
            <v>11368</v>
          </cell>
          <cell r="F87">
            <v>8109</v>
          </cell>
          <cell r="G87" t="str">
            <v xml:space="preserve"> </v>
          </cell>
          <cell r="H87">
            <v>8109</v>
          </cell>
        </row>
        <row r="88">
          <cell r="A88" t="str">
            <v>2108-003-000</v>
          </cell>
          <cell r="B88" t="str">
            <v>IMSS</v>
          </cell>
          <cell r="C88" t="str">
            <v xml:space="preserve"> </v>
          </cell>
          <cell r="D88">
            <v>30187.54</v>
          </cell>
          <cell r="E88">
            <v>30187.54</v>
          </cell>
          <cell r="F88">
            <v>31193.79</v>
          </cell>
          <cell r="G88" t="str">
            <v xml:space="preserve"> </v>
          </cell>
          <cell r="H88">
            <v>31193.79</v>
          </cell>
        </row>
        <row r="89">
          <cell r="A89" t="str">
            <v>2108-004-000</v>
          </cell>
          <cell r="B89" t="str">
            <v>INFONAVIT</v>
          </cell>
          <cell r="C89" t="str">
            <v xml:space="preserve"> </v>
          </cell>
          <cell r="D89">
            <v>0</v>
          </cell>
          <cell r="E89">
            <v>0</v>
          </cell>
          <cell r="F89">
            <v>33781.43</v>
          </cell>
          <cell r="G89" t="str">
            <v xml:space="preserve"> </v>
          </cell>
          <cell r="H89">
            <v>33781.43</v>
          </cell>
        </row>
        <row r="90">
          <cell r="A90" t="str">
            <v>2108-005-000</v>
          </cell>
          <cell r="B90" t="str">
            <v>SAR</v>
          </cell>
          <cell r="C90" t="str">
            <v xml:space="preserve"> </v>
          </cell>
          <cell r="D90">
            <v>3738.08</v>
          </cell>
          <cell r="E90">
            <v>0</v>
          </cell>
          <cell r="F90">
            <v>38657.58</v>
          </cell>
          <cell r="G90" t="str">
            <v xml:space="preserve"> </v>
          </cell>
          <cell r="H90">
            <v>42395.66</v>
          </cell>
        </row>
        <row r="91">
          <cell r="A91" t="str">
            <v>2108-008-000</v>
          </cell>
          <cell r="B91" t="str">
            <v>ISPT Assimilated</v>
          </cell>
          <cell r="C91" t="str">
            <v xml:space="preserve"> </v>
          </cell>
          <cell r="D91">
            <v>-0.14000000000000001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-0.14000000000000001</v>
          </cell>
        </row>
        <row r="92">
          <cell r="A92" t="str">
            <v>2108-020-000</v>
          </cell>
          <cell r="B92" t="str">
            <v>Infonavit creditos</v>
          </cell>
          <cell r="C92" t="str">
            <v xml:space="preserve"> </v>
          </cell>
          <cell r="D92">
            <v>0.01</v>
          </cell>
          <cell r="E92">
            <v>0</v>
          </cell>
          <cell r="F92">
            <v>0</v>
          </cell>
          <cell r="G92" t="str">
            <v xml:space="preserve"> </v>
          </cell>
          <cell r="H92">
            <v>0.01</v>
          </cell>
        </row>
        <row r="93">
          <cell r="A93" t="str">
            <v>0000-300-000</v>
          </cell>
          <cell r="B93" t="str">
            <v>CAPITAL</v>
          </cell>
          <cell r="C93" t="str">
            <v xml:space="preserve"> </v>
          </cell>
          <cell r="D93">
            <v>-221330.79</v>
          </cell>
          <cell r="E93">
            <v>0</v>
          </cell>
          <cell r="F93">
            <v>0</v>
          </cell>
          <cell r="G93" t="str">
            <v xml:space="preserve"> </v>
          </cell>
          <cell r="H93">
            <v>-221330.79</v>
          </cell>
        </row>
        <row r="94">
          <cell r="A94" t="str">
            <v>3100-000-000</v>
          </cell>
          <cell r="B94" t="str">
            <v>Aportaciones de Capital</v>
          </cell>
          <cell r="C94" t="str">
            <v xml:space="preserve"> </v>
          </cell>
          <cell r="D94">
            <v>3000</v>
          </cell>
          <cell r="E94">
            <v>0</v>
          </cell>
          <cell r="F94">
            <v>0</v>
          </cell>
          <cell r="G94" t="str">
            <v xml:space="preserve"> </v>
          </cell>
          <cell r="H94">
            <v>3000</v>
          </cell>
        </row>
        <row r="95">
          <cell r="A95" t="str">
            <v>3300-000-000</v>
          </cell>
          <cell r="B95" t="str">
            <v>Remanente de Ej anteriores</v>
          </cell>
          <cell r="C95" t="str">
            <v xml:space="preserve"> </v>
          </cell>
          <cell r="D95">
            <v>-224330.79</v>
          </cell>
          <cell r="E95">
            <v>0</v>
          </cell>
          <cell r="F95">
            <v>0</v>
          </cell>
          <cell r="G95" t="str">
            <v xml:space="preserve"> </v>
          </cell>
          <cell r="H95">
            <v>-224330.79</v>
          </cell>
        </row>
        <row r="96">
          <cell r="A96" t="str">
            <v>3300-001-000</v>
          </cell>
          <cell r="B96" t="str">
            <v>Resultado del Ejercicio 2013</v>
          </cell>
          <cell r="C96" t="str">
            <v xml:space="preserve"> </v>
          </cell>
          <cell r="D96">
            <v>-411059.15</v>
          </cell>
          <cell r="E96">
            <v>0</v>
          </cell>
          <cell r="F96">
            <v>0</v>
          </cell>
          <cell r="G96" t="str">
            <v xml:space="preserve"> </v>
          </cell>
          <cell r="H96">
            <v>-411059.15</v>
          </cell>
        </row>
        <row r="97">
          <cell r="A97" t="str">
            <v>3300-002-000</v>
          </cell>
          <cell r="B97" t="str">
            <v>Resultado del Ejercicio 2014</v>
          </cell>
          <cell r="C97" t="str">
            <v xml:space="preserve"> </v>
          </cell>
          <cell r="D97">
            <v>186728.36</v>
          </cell>
          <cell r="E97">
            <v>0</v>
          </cell>
          <cell r="F97">
            <v>0</v>
          </cell>
          <cell r="G97" t="str">
            <v xml:space="preserve"> </v>
          </cell>
          <cell r="H97">
            <v>186728.36</v>
          </cell>
        </row>
        <row r="98">
          <cell r="A98" t="str">
            <v>0000-400-000</v>
          </cell>
          <cell r="B98" t="str">
            <v>INGRESOS</v>
          </cell>
          <cell r="C98" t="str">
            <v xml:space="preserve"> </v>
          </cell>
          <cell r="D98">
            <v>6773189.9800000004</v>
          </cell>
          <cell r="E98">
            <v>0</v>
          </cell>
          <cell r="F98">
            <v>760062.61</v>
          </cell>
          <cell r="G98" t="str">
            <v xml:space="preserve"> </v>
          </cell>
          <cell r="H98">
            <v>7533252.5899999999</v>
          </cell>
        </row>
        <row r="99">
          <cell r="A99" t="str">
            <v>4100-002-000</v>
          </cell>
          <cell r="B99" t="str">
            <v>0% Ventas</v>
          </cell>
          <cell r="C99" t="str">
            <v xml:space="preserve"> </v>
          </cell>
          <cell r="D99">
            <v>6765631.21</v>
          </cell>
          <cell r="E99">
            <v>0</v>
          </cell>
          <cell r="F99">
            <v>759890.19</v>
          </cell>
          <cell r="G99" t="str">
            <v xml:space="preserve"> </v>
          </cell>
          <cell r="H99">
            <v>7525521.4000000004</v>
          </cell>
        </row>
        <row r="100">
          <cell r="A100" t="str">
            <v>4100-005-000</v>
          </cell>
          <cell r="B100" t="str">
            <v>Otros Ingresos</v>
          </cell>
          <cell r="C100" t="str">
            <v xml:space="preserve"> </v>
          </cell>
          <cell r="D100">
            <v>2437.8000000000002</v>
          </cell>
          <cell r="E100">
            <v>0</v>
          </cell>
          <cell r="F100">
            <v>0</v>
          </cell>
          <cell r="G100" t="str">
            <v xml:space="preserve"> </v>
          </cell>
          <cell r="H100">
            <v>2437.8000000000002</v>
          </cell>
        </row>
        <row r="101">
          <cell r="A101" t="str">
            <v>4100-005-002</v>
          </cell>
          <cell r="B101" t="str">
            <v>Reembolso de gastos medicos</v>
          </cell>
          <cell r="C101" t="str">
            <v xml:space="preserve"> </v>
          </cell>
          <cell r="D101">
            <v>2437.8000000000002</v>
          </cell>
          <cell r="E101">
            <v>0</v>
          </cell>
          <cell r="F101">
            <v>0</v>
          </cell>
          <cell r="G101" t="str">
            <v xml:space="preserve"> </v>
          </cell>
          <cell r="H101">
            <v>2437.8000000000002</v>
          </cell>
        </row>
        <row r="102">
          <cell r="A102" t="str">
            <v>4100-006-000</v>
          </cell>
          <cell r="B102" t="str">
            <v>Desc sobre Compras</v>
          </cell>
          <cell r="C102" t="str">
            <v xml:space="preserve"> </v>
          </cell>
          <cell r="D102">
            <v>5120.97</v>
          </cell>
          <cell r="E102">
            <v>0</v>
          </cell>
          <cell r="F102">
            <v>172.42</v>
          </cell>
          <cell r="G102" t="str">
            <v xml:space="preserve"> </v>
          </cell>
          <cell r="H102">
            <v>5293.39</v>
          </cell>
        </row>
        <row r="103">
          <cell r="A103" t="str">
            <v>0000-500-000</v>
          </cell>
          <cell r="B103" t="str">
            <v>GASTOS</v>
          </cell>
          <cell r="C103">
            <v>6386832.9400000004</v>
          </cell>
          <cell r="D103" t="str">
            <v xml:space="preserve"> </v>
          </cell>
          <cell r="E103">
            <v>627984.65</v>
          </cell>
          <cell r="F103">
            <v>0</v>
          </cell>
          <cell r="G103">
            <v>7014817.5899999999</v>
          </cell>
          <cell r="H103" t="str">
            <v xml:space="preserve"> </v>
          </cell>
        </row>
        <row r="104">
          <cell r="A104" t="str">
            <v>5200-000-000</v>
          </cell>
          <cell r="B104" t="str">
            <v>GASTOS DE NOMINA</v>
          </cell>
          <cell r="C104">
            <v>5014012.53</v>
          </cell>
          <cell r="D104" t="str">
            <v xml:space="preserve"> </v>
          </cell>
          <cell r="E104">
            <v>456414.69</v>
          </cell>
          <cell r="F104">
            <v>0</v>
          </cell>
          <cell r="G104">
            <v>5470427.2199999997</v>
          </cell>
          <cell r="H104" t="str">
            <v xml:space="preserve"> </v>
          </cell>
        </row>
        <row r="105">
          <cell r="A105" t="str">
            <v>5200-001-000</v>
          </cell>
          <cell r="B105" t="str">
            <v>Sueldos</v>
          </cell>
          <cell r="C105">
            <v>3748152.55</v>
          </cell>
          <cell r="D105" t="str">
            <v xml:space="preserve"> </v>
          </cell>
          <cell r="E105">
            <v>290672.43</v>
          </cell>
          <cell r="F105">
            <v>0</v>
          </cell>
          <cell r="G105">
            <v>4038824.98</v>
          </cell>
          <cell r="H105" t="str">
            <v xml:space="preserve"> </v>
          </cell>
        </row>
        <row r="106">
          <cell r="A106" t="str">
            <v>5200-004-000</v>
          </cell>
          <cell r="B106" t="str">
            <v>Vales de despensa</v>
          </cell>
          <cell r="C106">
            <v>127800</v>
          </cell>
          <cell r="D106" t="str">
            <v xml:space="preserve"> </v>
          </cell>
          <cell r="E106">
            <v>12600</v>
          </cell>
          <cell r="F106">
            <v>0</v>
          </cell>
          <cell r="G106">
            <v>140400</v>
          </cell>
          <cell r="H106" t="str">
            <v xml:space="preserve"> </v>
          </cell>
        </row>
        <row r="107">
          <cell r="A107" t="str">
            <v>5200-007-000</v>
          </cell>
          <cell r="B107" t="str">
            <v>IMSS</v>
          </cell>
          <cell r="C107">
            <v>250579.1</v>
          </cell>
          <cell r="D107" t="str">
            <v xml:space="preserve"> </v>
          </cell>
          <cell r="E107">
            <v>25711.01</v>
          </cell>
          <cell r="F107">
            <v>0</v>
          </cell>
          <cell r="G107">
            <v>276290.11</v>
          </cell>
          <cell r="H107" t="str">
            <v xml:space="preserve"> </v>
          </cell>
        </row>
        <row r="108">
          <cell r="A108" t="str">
            <v>5200-008-000</v>
          </cell>
          <cell r="B108" t="str">
            <v>SAR</v>
          </cell>
          <cell r="C108">
            <v>187414.32</v>
          </cell>
          <cell r="D108" t="str">
            <v xml:space="preserve"> </v>
          </cell>
          <cell r="E108">
            <v>34794.879999999997</v>
          </cell>
          <cell r="F108">
            <v>0</v>
          </cell>
          <cell r="G108">
            <v>222209.2</v>
          </cell>
          <cell r="H108" t="str">
            <v xml:space="preserve"> </v>
          </cell>
        </row>
        <row r="109">
          <cell r="A109" t="str">
            <v>5200-009-000</v>
          </cell>
          <cell r="B109" t="str">
            <v>INFONAVIT</v>
          </cell>
          <cell r="C109">
            <v>161255.79</v>
          </cell>
          <cell r="D109" t="str">
            <v xml:space="preserve"> </v>
          </cell>
          <cell r="E109">
            <v>33781.43</v>
          </cell>
          <cell r="F109">
            <v>0</v>
          </cell>
          <cell r="G109">
            <v>195037.22</v>
          </cell>
          <cell r="H109" t="str">
            <v xml:space="preserve"> </v>
          </cell>
        </row>
        <row r="110">
          <cell r="A110" t="str">
            <v>5200-010-000</v>
          </cell>
          <cell r="B110" t="str">
            <v>ISN</v>
          </cell>
          <cell r="C110">
            <v>97367</v>
          </cell>
          <cell r="D110" t="str">
            <v xml:space="preserve"> </v>
          </cell>
          <cell r="E110">
            <v>8109</v>
          </cell>
          <cell r="F110">
            <v>0</v>
          </cell>
          <cell r="G110">
            <v>105476</v>
          </cell>
          <cell r="H110" t="str">
            <v xml:space="preserve"> </v>
          </cell>
        </row>
        <row r="111">
          <cell r="A111" t="str">
            <v>5200-012-000</v>
          </cell>
          <cell r="B111" t="str">
            <v>Vacaciones</v>
          </cell>
          <cell r="C111">
            <v>144079.82999999999</v>
          </cell>
          <cell r="D111" t="str">
            <v xml:space="preserve"> </v>
          </cell>
          <cell r="E111">
            <v>35360.370000000003</v>
          </cell>
          <cell r="F111">
            <v>0</v>
          </cell>
          <cell r="G111">
            <v>179440.2</v>
          </cell>
          <cell r="H111" t="str">
            <v xml:space="preserve"> </v>
          </cell>
        </row>
        <row r="112">
          <cell r="A112" t="str">
            <v>5200-013-000</v>
          </cell>
          <cell r="B112" t="str">
            <v>Prima Vacacional</v>
          </cell>
          <cell r="C112">
            <v>31591.31</v>
          </cell>
          <cell r="D112" t="str">
            <v xml:space="preserve"> </v>
          </cell>
          <cell r="E112">
            <v>5751.83</v>
          </cell>
          <cell r="F112">
            <v>0</v>
          </cell>
          <cell r="G112">
            <v>37343.14</v>
          </cell>
          <cell r="H112" t="str">
            <v xml:space="preserve"> </v>
          </cell>
        </row>
        <row r="113">
          <cell r="A113" t="str">
            <v>5200-014-000</v>
          </cell>
          <cell r="B113" t="str">
            <v>Aguinaldo</v>
          </cell>
          <cell r="C113">
            <v>174493.89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174493.89</v>
          </cell>
          <cell r="H113" t="str">
            <v xml:space="preserve"> </v>
          </cell>
        </row>
        <row r="114">
          <cell r="A114" t="str">
            <v>5200-021-000</v>
          </cell>
          <cell r="B114" t="str">
            <v>Comisiones Vales</v>
          </cell>
          <cell r="C114">
            <v>10603.74</v>
          </cell>
          <cell r="D114" t="str">
            <v xml:space="preserve"> </v>
          </cell>
          <cell r="E114">
            <v>1058.74</v>
          </cell>
          <cell r="F114">
            <v>0</v>
          </cell>
          <cell r="G114">
            <v>11662.48</v>
          </cell>
          <cell r="H114" t="str">
            <v xml:space="preserve"> </v>
          </cell>
        </row>
        <row r="115">
          <cell r="A115" t="str">
            <v>5200-027-000</v>
          </cell>
          <cell r="B115" t="str">
            <v>Vales de gasolina</v>
          </cell>
          <cell r="C115">
            <v>80675</v>
          </cell>
          <cell r="D115" t="str">
            <v xml:space="preserve"> </v>
          </cell>
          <cell r="E115">
            <v>8575</v>
          </cell>
          <cell r="F115">
            <v>0</v>
          </cell>
          <cell r="G115">
            <v>89250</v>
          </cell>
          <cell r="H115" t="str">
            <v xml:space="preserve"> </v>
          </cell>
        </row>
        <row r="116">
          <cell r="A116" t="str">
            <v>5300-000-000</v>
          </cell>
          <cell r="B116" t="str">
            <v>GASTOS DE ADMINISTRACION</v>
          </cell>
          <cell r="C116">
            <v>1133586.42</v>
          </cell>
          <cell r="D116" t="str">
            <v xml:space="preserve"> </v>
          </cell>
          <cell r="E116">
            <v>109381.85</v>
          </cell>
          <cell r="F116">
            <v>0</v>
          </cell>
          <cell r="G116">
            <v>1242968.27</v>
          </cell>
          <cell r="H116" t="str">
            <v xml:space="preserve"> </v>
          </cell>
        </row>
        <row r="117">
          <cell r="A117" t="str">
            <v>5300-002-000</v>
          </cell>
          <cell r="B117" t="str">
            <v>Gastos de viaje</v>
          </cell>
          <cell r="C117">
            <v>99970.78</v>
          </cell>
          <cell r="D117" t="str">
            <v xml:space="preserve"> </v>
          </cell>
          <cell r="E117">
            <v>0</v>
          </cell>
          <cell r="F117">
            <v>0</v>
          </cell>
          <cell r="G117">
            <v>99970.78</v>
          </cell>
          <cell r="H117" t="str">
            <v xml:space="preserve"> </v>
          </cell>
        </row>
        <row r="118">
          <cell r="A118" t="str">
            <v>5300-003-000</v>
          </cell>
          <cell r="B118" t="str">
            <v>Eventos especiales</v>
          </cell>
          <cell r="C118">
            <v>30807.35</v>
          </cell>
          <cell r="D118" t="str">
            <v xml:space="preserve"> </v>
          </cell>
          <cell r="E118">
            <v>10695.73</v>
          </cell>
          <cell r="F118">
            <v>0</v>
          </cell>
          <cell r="G118">
            <v>41503.08</v>
          </cell>
          <cell r="H118" t="str">
            <v xml:space="preserve"> </v>
          </cell>
        </row>
        <row r="119">
          <cell r="A119" t="str">
            <v>5300-004-000</v>
          </cell>
          <cell r="B119" t="str">
            <v>Consumo en Restaurantes</v>
          </cell>
          <cell r="C119">
            <v>444.85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444.85</v>
          </cell>
          <cell r="H119" t="str">
            <v xml:space="preserve"> </v>
          </cell>
        </row>
        <row r="120">
          <cell r="A120" t="str">
            <v>5300-006-000</v>
          </cell>
          <cell r="B120" t="str">
            <v>Comunicacion</v>
          </cell>
          <cell r="C120">
            <v>39382.76</v>
          </cell>
          <cell r="D120" t="str">
            <v xml:space="preserve"> </v>
          </cell>
          <cell r="E120">
            <v>3487.93</v>
          </cell>
          <cell r="F120">
            <v>0</v>
          </cell>
          <cell r="G120">
            <v>42870.69</v>
          </cell>
          <cell r="H120" t="str">
            <v xml:space="preserve"> </v>
          </cell>
        </row>
        <row r="121">
          <cell r="A121" t="str">
            <v>5300-007-000</v>
          </cell>
          <cell r="B121" t="str">
            <v>Honorarios</v>
          </cell>
          <cell r="C121">
            <v>174500</v>
          </cell>
          <cell r="D121" t="str">
            <v xml:space="preserve"> </v>
          </cell>
          <cell r="E121">
            <v>7500</v>
          </cell>
          <cell r="F121">
            <v>0</v>
          </cell>
          <cell r="G121">
            <v>182000</v>
          </cell>
          <cell r="H121" t="str">
            <v xml:space="preserve"> </v>
          </cell>
        </row>
        <row r="122">
          <cell r="A122" t="str">
            <v>5300-008-000</v>
          </cell>
          <cell r="B122" t="str">
            <v>Servicios Profesionales</v>
          </cell>
          <cell r="C122">
            <v>45663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45663</v>
          </cell>
          <cell r="H122" t="str">
            <v xml:space="preserve"> </v>
          </cell>
        </row>
        <row r="123">
          <cell r="A123" t="str">
            <v>5300-009-000</v>
          </cell>
          <cell r="B123" t="str">
            <v>Arrendamiento</v>
          </cell>
          <cell r="C123">
            <v>205050</v>
          </cell>
          <cell r="D123" t="str">
            <v xml:space="preserve"> </v>
          </cell>
          <cell r="E123">
            <v>0</v>
          </cell>
          <cell r="F123">
            <v>0</v>
          </cell>
          <cell r="G123">
            <v>205050</v>
          </cell>
          <cell r="H123" t="str">
            <v xml:space="preserve"> </v>
          </cell>
        </row>
        <row r="124">
          <cell r="A124" t="str">
            <v>5300-013-000</v>
          </cell>
          <cell r="B124" t="str">
            <v>Seguros</v>
          </cell>
          <cell r="C124">
            <v>72219.399999999994</v>
          </cell>
          <cell r="D124" t="str">
            <v xml:space="preserve"> </v>
          </cell>
          <cell r="E124">
            <v>12947.45</v>
          </cell>
          <cell r="F124">
            <v>0</v>
          </cell>
          <cell r="G124">
            <v>85166.85</v>
          </cell>
          <cell r="H124" t="str">
            <v xml:space="preserve"> </v>
          </cell>
        </row>
        <row r="125">
          <cell r="A125" t="str">
            <v>5300-017-000</v>
          </cell>
          <cell r="B125" t="str">
            <v>Luz</v>
          </cell>
          <cell r="C125">
            <v>17868.93</v>
          </cell>
          <cell r="D125" t="str">
            <v xml:space="preserve"> </v>
          </cell>
          <cell r="E125">
            <v>3123.93</v>
          </cell>
          <cell r="F125">
            <v>0</v>
          </cell>
          <cell r="G125">
            <v>20992.86</v>
          </cell>
          <cell r="H125" t="str">
            <v xml:space="preserve"> </v>
          </cell>
        </row>
        <row r="126">
          <cell r="A126" t="str">
            <v>5300-018-000</v>
          </cell>
          <cell r="B126" t="str">
            <v>Gas Natural</v>
          </cell>
          <cell r="C126">
            <v>11592.51</v>
          </cell>
          <cell r="D126" t="str">
            <v xml:space="preserve"> </v>
          </cell>
          <cell r="E126">
            <v>0</v>
          </cell>
          <cell r="F126">
            <v>0</v>
          </cell>
          <cell r="G126">
            <v>11592.51</v>
          </cell>
          <cell r="H126" t="str">
            <v xml:space="preserve"> </v>
          </cell>
        </row>
        <row r="127">
          <cell r="A127" t="str">
            <v>5300-019-000</v>
          </cell>
          <cell r="B127" t="str">
            <v>Agua</v>
          </cell>
          <cell r="C127">
            <v>2222.44</v>
          </cell>
          <cell r="D127" t="str">
            <v xml:space="preserve"> </v>
          </cell>
          <cell r="E127">
            <v>0</v>
          </cell>
          <cell r="F127">
            <v>0</v>
          </cell>
          <cell r="G127">
            <v>2222.44</v>
          </cell>
          <cell r="H127" t="str">
            <v xml:space="preserve"> </v>
          </cell>
        </row>
        <row r="128">
          <cell r="A128" t="str">
            <v>5300-022-000</v>
          </cell>
          <cell r="B128" t="str">
            <v>Papeleria</v>
          </cell>
          <cell r="C128">
            <v>111.21</v>
          </cell>
          <cell r="D128" t="str">
            <v xml:space="preserve"> </v>
          </cell>
          <cell r="E128">
            <v>419.4</v>
          </cell>
          <cell r="F128">
            <v>0</v>
          </cell>
          <cell r="G128">
            <v>530.61</v>
          </cell>
          <cell r="H128" t="str">
            <v xml:space="preserve"> </v>
          </cell>
        </row>
        <row r="129">
          <cell r="A129" t="str">
            <v>5300-027-000</v>
          </cell>
          <cell r="B129" t="str">
            <v>Seguridad e Higiene</v>
          </cell>
          <cell r="C129">
            <v>7200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7200</v>
          </cell>
          <cell r="H129" t="str">
            <v xml:space="preserve"> </v>
          </cell>
        </row>
        <row r="130">
          <cell r="A130" t="str">
            <v>5300-028-000</v>
          </cell>
          <cell r="B130" t="str">
            <v>Recolección de Basura</v>
          </cell>
          <cell r="C130">
            <v>1209.5999999999999</v>
          </cell>
          <cell r="D130" t="str">
            <v xml:space="preserve"> </v>
          </cell>
          <cell r="E130">
            <v>134.4</v>
          </cell>
          <cell r="F130">
            <v>0</v>
          </cell>
          <cell r="G130">
            <v>1344</v>
          </cell>
          <cell r="H130" t="str">
            <v xml:space="preserve"> </v>
          </cell>
        </row>
        <row r="131">
          <cell r="A131" t="str">
            <v>5300-029-000</v>
          </cell>
          <cell r="B131" t="str">
            <v>Sistemas de Alarma</v>
          </cell>
          <cell r="C131">
            <v>2700</v>
          </cell>
          <cell r="D131" t="str">
            <v xml:space="preserve"> </v>
          </cell>
          <cell r="E131">
            <v>0</v>
          </cell>
          <cell r="F131">
            <v>0</v>
          </cell>
          <cell r="G131">
            <v>2700</v>
          </cell>
          <cell r="H131" t="str">
            <v xml:space="preserve"> </v>
          </cell>
        </row>
        <row r="132">
          <cell r="A132" t="str">
            <v>5300-031-000</v>
          </cell>
          <cell r="B132" t="str">
            <v>Cuotas y Suscripciones</v>
          </cell>
          <cell r="C132">
            <v>387.76</v>
          </cell>
          <cell r="D132" t="str">
            <v xml:space="preserve"> </v>
          </cell>
          <cell r="E132">
            <v>0</v>
          </cell>
          <cell r="F132">
            <v>0</v>
          </cell>
          <cell r="G132">
            <v>387.76</v>
          </cell>
          <cell r="H132" t="str">
            <v xml:space="preserve"> </v>
          </cell>
        </row>
        <row r="133">
          <cell r="A133" t="str">
            <v>5300-032-000</v>
          </cell>
          <cell r="B133" t="str">
            <v>Otros impuestos y derechos</v>
          </cell>
          <cell r="C133">
            <v>2413.1999999999998</v>
          </cell>
          <cell r="D133" t="str">
            <v xml:space="preserve"> </v>
          </cell>
          <cell r="E133">
            <v>19.420000000000002</v>
          </cell>
          <cell r="F133">
            <v>0</v>
          </cell>
          <cell r="G133">
            <v>2432.62</v>
          </cell>
          <cell r="H133" t="str">
            <v xml:space="preserve"> </v>
          </cell>
        </row>
        <row r="134">
          <cell r="A134" t="str">
            <v>5300-035-000</v>
          </cell>
          <cell r="B134" t="str">
            <v>Mantenimiento Local</v>
          </cell>
          <cell r="C134">
            <v>48406.65</v>
          </cell>
          <cell r="D134" t="str">
            <v xml:space="preserve"> </v>
          </cell>
          <cell r="E134">
            <v>6000</v>
          </cell>
          <cell r="F134">
            <v>0</v>
          </cell>
          <cell r="G134">
            <v>54406.65</v>
          </cell>
          <cell r="H134" t="str">
            <v xml:space="preserve"> </v>
          </cell>
        </row>
        <row r="135">
          <cell r="A135" t="str">
            <v>5300-036-000</v>
          </cell>
          <cell r="B135" t="str">
            <v>Mantenimiento equipo de computo</v>
          </cell>
          <cell r="C135">
            <v>304011.86</v>
          </cell>
          <cell r="D135" t="str">
            <v xml:space="preserve"> </v>
          </cell>
          <cell r="E135">
            <v>61230</v>
          </cell>
          <cell r="F135">
            <v>0</v>
          </cell>
          <cell r="G135">
            <v>365241.86</v>
          </cell>
          <cell r="H135" t="str">
            <v xml:space="preserve"> </v>
          </cell>
        </row>
        <row r="136">
          <cell r="A136" t="str">
            <v>5300-038-000</v>
          </cell>
          <cell r="B136" t="str">
            <v>No deducibles</v>
          </cell>
          <cell r="C136">
            <v>48642.51</v>
          </cell>
          <cell r="D136" t="str">
            <v xml:space="preserve"> </v>
          </cell>
          <cell r="E136">
            <v>145</v>
          </cell>
          <cell r="F136">
            <v>0</v>
          </cell>
          <cell r="G136">
            <v>48787.51</v>
          </cell>
          <cell r="H136" t="str">
            <v xml:space="preserve"> </v>
          </cell>
        </row>
        <row r="137">
          <cell r="A137" t="str">
            <v>5300-039-000</v>
          </cell>
          <cell r="B137" t="str">
            <v>Comisiones bancarias</v>
          </cell>
          <cell r="C137">
            <v>2820</v>
          </cell>
          <cell r="D137" t="str">
            <v xml:space="preserve"> </v>
          </cell>
          <cell r="E137">
            <v>250</v>
          </cell>
          <cell r="F137">
            <v>0</v>
          </cell>
          <cell r="G137">
            <v>3070</v>
          </cell>
          <cell r="H137" t="str">
            <v xml:space="preserve"> </v>
          </cell>
        </row>
        <row r="138">
          <cell r="A138" t="str">
            <v>5300-040-000</v>
          </cell>
          <cell r="B138" t="str">
            <v>Actualizacion de contribuciones</v>
          </cell>
          <cell r="C138">
            <v>119.96</v>
          </cell>
          <cell r="D138" t="str">
            <v xml:space="preserve"> </v>
          </cell>
          <cell r="E138">
            <v>0</v>
          </cell>
          <cell r="F138">
            <v>0</v>
          </cell>
          <cell r="G138">
            <v>119.96</v>
          </cell>
          <cell r="H138" t="str">
            <v xml:space="preserve"> </v>
          </cell>
        </row>
        <row r="139">
          <cell r="A139" t="str">
            <v>5300-041-000</v>
          </cell>
          <cell r="B139" t="str">
            <v>Recargos</v>
          </cell>
          <cell r="C139">
            <v>304.3</v>
          </cell>
          <cell r="D139" t="str">
            <v xml:space="preserve"> </v>
          </cell>
          <cell r="E139">
            <v>0</v>
          </cell>
          <cell r="F139">
            <v>0</v>
          </cell>
          <cell r="G139">
            <v>304.3</v>
          </cell>
          <cell r="H139" t="str">
            <v xml:space="preserve"> </v>
          </cell>
        </row>
        <row r="140">
          <cell r="A140" t="str">
            <v>5300-042-000</v>
          </cell>
          <cell r="B140" t="str">
            <v>Diversos</v>
          </cell>
          <cell r="C140">
            <v>9933.9</v>
          </cell>
          <cell r="D140" t="str">
            <v xml:space="preserve"> </v>
          </cell>
          <cell r="E140">
            <v>3428.59</v>
          </cell>
          <cell r="F140">
            <v>0</v>
          </cell>
          <cell r="G140">
            <v>13362.49</v>
          </cell>
          <cell r="H140" t="str">
            <v xml:space="preserve"> </v>
          </cell>
        </row>
        <row r="141">
          <cell r="A141" t="str">
            <v>5300-046-000</v>
          </cell>
          <cell r="B141" t="str">
            <v>Honorarios legales</v>
          </cell>
          <cell r="C141">
            <v>5603.45</v>
          </cell>
          <cell r="D141" t="str">
            <v xml:space="preserve"> </v>
          </cell>
          <cell r="E141">
            <v>0</v>
          </cell>
          <cell r="F141">
            <v>0</v>
          </cell>
          <cell r="G141">
            <v>5603.45</v>
          </cell>
          <cell r="H141" t="str">
            <v xml:space="preserve"> </v>
          </cell>
        </row>
        <row r="142">
          <cell r="A142" t="str">
            <v>5400-000-000</v>
          </cell>
          <cell r="B142" t="str">
            <v>GASTOS DE OPERACION</v>
          </cell>
          <cell r="C142">
            <v>239233.99</v>
          </cell>
          <cell r="D142" t="str">
            <v xml:space="preserve"> </v>
          </cell>
          <cell r="E142">
            <v>62188.11</v>
          </cell>
          <cell r="F142">
            <v>0</v>
          </cell>
          <cell r="G142">
            <v>301422.09999999998</v>
          </cell>
          <cell r="H142" t="str">
            <v xml:space="preserve"> </v>
          </cell>
        </row>
        <row r="143">
          <cell r="A143" t="str">
            <v>5400-001-000</v>
          </cell>
          <cell r="B143" t="str">
            <v>Depreciacion acumulada</v>
          </cell>
          <cell r="C143">
            <v>36490.839999999997</v>
          </cell>
          <cell r="D143" t="str">
            <v xml:space="preserve"> </v>
          </cell>
          <cell r="E143">
            <v>5636.07</v>
          </cell>
          <cell r="F143">
            <v>0</v>
          </cell>
          <cell r="G143">
            <v>42126.91</v>
          </cell>
          <cell r="H143" t="str">
            <v xml:space="preserve"> </v>
          </cell>
        </row>
        <row r="144">
          <cell r="A144" t="str">
            <v>5400-001-004</v>
          </cell>
          <cell r="B144" t="str">
            <v>Machinery &amp; Equipment accumulated depreciation</v>
          </cell>
          <cell r="C144">
            <v>9902.9599999999991</v>
          </cell>
          <cell r="D144" t="str">
            <v xml:space="preserve"> </v>
          </cell>
          <cell r="E144">
            <v>1063.22</v>
          </cell>
          <cell r="F144">
            <v>0</v>
          </cell>
          <cell r="G144">
            <v>10966.18</v>
          </cell>
          <cell r="H144" t="str">
            <v xml:space="preserve"> </v>
          </cell>
        </row>
        <row r="145">
          <cell r="A145" t="str">
            <v>5400-001-005</v>
          </cell>
          <cell r="B145" t="str">
            <v>Computer Equipment accumulated depreciation</v>
          </cell>
          <cell r="C145">
            <v>26587.88</v>
          </cell>
          <cell r="D145" t="str">
            <v xml:space="preserve"> </v>
          </cell>
          <cell r="E145">
            <v>4572.8500000000004</v>
          </cell>
          <cell r="F145">
            <v>0</v>
          </cell>
          <cell r="G145">
            <v>31160.73</v>
          </cell>
          <cell r="H145" t="str">
            <v xml:space="preserve"> </v>
          </cell>
        </row>
        <row r="146">
          <cell r="A146" t="str">
            <v>5400-003-000</v>
          </cell>
          <cell r="B146" t="str">
            <v>Eventos Especiales</v>
          </cell>
          <cell r="C146">
            <v>1043.77</v>
          </cell>
          <cell r="D146" t="str">
            <v xml:space="preserve"> </v>
          </cell>
          <cell r="E146">
            <v>0</v>
          </cell>
          <cell r="F146">
            <v>0</v>
          </cell>
          <cell r="G146">
            <v>1043.77</v>
          </cell>
          <cell r="H146" t="str">
            <v xml:space="preserve"> </v>
          </cell>
        </row>
        <row r="147">
          <cell r="A147" t="str">
            <v>5400-004-000</v>
          </cell>
          <cell r="B147" t="str">
            <v>Consumo en Restaurantes</v>
          </cell>
          <cell r="C147">
            <v>89.83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89.83</v>
          </cell>
          <cell r="H147" t="str">
            <v xml:space="preserve"> </v>
          </cell>
        </row>
        <row r="148">
          <cell r="A148" t="str">
            <v>5400-006-000</v>
          </cell>
          <cell r="B148" t="str">
            <v>Comunicación</v>
          </cell>
          <cell r="C148">
            <v>6118.96</v>
          </cell>
          <cell r="D148" t="str">
            <v xml:space="preserve"> </v>
          </cell>
          <cell r="E148">
            <v>0</v>
          </cell>
          <cell r="F148">
            <v>0</v>
          </cell>
          <cell r="G148">
            <v>6118.96</v>
          </cell>
          <cell r="H148" t="str">
            <v xml:space="preserve"> </v>
          </cell>
        </row>
        <row r="149">
          <cell r="A149" t="str">
            <v>5400-007-000</v>
          </cell>
          <cell r="B149" t="str">
            <v>Honorarios</v>
          </cell>
          <cell r="C149">
            <v>104000</v>
          </cell>
          <cell r="D149" t="str">
            <v xml:space="preserve"> </v>
          </cell>
          <cell r="E149">
            <v>28000</v>
          </cell>
          <cell r="F149">
            <v>0</v>
          </cell>
          <cell r="G149">
            <v>132000</v>
          </cell>
          <cell r="H149" t="str">
            <v xml:space="preserve"> </v>
          </cell>
        </row>
        <row r="150">
          <cell r="A150" t="str">
            <v>5400-009-000</v>
          </cell>
          <cell r="B150" t="str">
            <v>Arrendamiento</v>
          </cell>
          <cell r="C150">
            <v>80700</v>
          </cell>
          <cell r="D150" t="str">
            <v xml:space="preserve"> </v>
          </cell>
          <cell r="E150">
            <v>28350</v>
          </cell>
          <cell r="F150">
            <v>0</v>
          </cell>
          <cell r="G150">
            <v>109050</v>
          </cell>
          <cell r="H150" t="str">
            <v xml:space="preserve"> </v>
          </cell>
        </row>
        <row r="151">
          <cell r="A151" t="str">
            <v>5400-014-000</v>
          </cell>
          <cell r="B151" t="str">
            <v>Reclutamiento al Personal</v>
          </cell>
          <cell r="C151">
            <v>1180</v>
          </cell>
          <cell r="D151" t="str">
            <v xml:space="preserve"> </v>
          </cell>
          <cell r="E151">
            <v>0</v>
          </cell>
          <cell r="F151">
            <v>0</v>
          </cell>
          <cell r="G151">
            <v>1180</v>
          </cell>
          <cell r="H151" t="str">
            <v xml:space="preserve"> </v>
          </cell>
        </row>
        <row r="152">
          <cell r="A152" t="str">
            <v>5400-019-000</v>
          </cell>
          <cell r="B152" t="str">
            <v>Agua</v>
          </cell>
          <cell r="C152">
            <v>0</v>
          </cell>
          <cell r="D152" t="str">
            <v xml:space="preserve"> </v>
          </cell>
          <cell r="E152">
            <v>202.04</v>
          </cell>
          <cell r="F152">
            <v>0</v>
          </cell>
          <cell r="G152">
            <v>202.04</v>
          </cell>
          <cell r="H152" t="str">
            <v xml:space="preserve"> </v>
          </cell>
        </row>
        <row r="153">
          <cell r="A153" t="str">
            <v>5400-022-000</v>
          </cell>
          <cell r="B153" t="str">
            <v>Papelería y Artículos de Oficina</v>
          </cell>
          <cell r="C153">
            <v>5026.8999999999996</v>
          </cell>
          <cell r="D153" t="str">
            <v xml:space="preserve"> </v>
          </cell>
          <cell r="E153">
            <v>0</v>
          </cell>
          <cell r="F153">
            <v>0</v>
          </cell>
          <cell r="G153">
            <v>5026.8999999999996</v>
          </cell>
          <cell r="H153" t="str">
            <v xml:space="preserve"> </v>
          </cell>
        </row>
        <row r="154">
          <cell r="A154" t="str">
            <v>5400-028-000</v>
          </cell>
          <cell r="B154" t="str">
            <v>Recolección de Basura</v>
          </cell>
          <cell r="C154">
            <v>134.4</v>
          </cell>
          <cell r="D154" t="str">
            <v xml:space="preserve"> </v>
          </cell>
          <cell r="E154">
            <v>0</v>
          </cell>
          <cell r="F154">
            <v>0</v>
          </cell>
          <cell r="G154">
            <v>134.4</v>
          </cell>
          <cell r="H154" t="str">
            <v xml:space="preserve"> </v>
          </cell>
        </row>
        <row r="155">
          <cell r="A155" t="str">
            <v>5400-038-000</v>
          </cell>
          <cell r="B155" t="str">
            <v>No Deducibles</v>
          </cell>
          <cell r="C155">
            <v>3152.83</v>
          </cell>
          <cell r="D155" t="str">
            <v xml:space="preserve"> </v>
          </cell>
          <cell r="E155">
            <v>0</v>
          </cell>
          <cell r="F155">
            <v>0</v>
          </cell>
          <cell r="G155">
            <v>3152.83</v>
          </cell>
          <cell r="H155" t="str">
            <v xml:space="preserve"> </v>
          </cell>
        </row>
        <row r="156">
          <cell r="A156" t="str">
            <v>5400-046-000</v>
          </cell>
          <cell r="B156" t="str">
            <v>Multas</v>
          </cell>
          <cell r="C156">
            <v>1296.46</v>
          </cell>
          <cell r="D156" t="str">
            <v xml:space="preserve"> </v>
          </cell>
          <cell r="E156">
            <v>0</v>
          </cell>
          <cell r="F156">
            <v>0</v>
          </cell>
          <cell r="G156">
            <v>1296.46</v>
          </cell>
          <cell r="H156" t="str">
            <v xml:space="preserve"> </v>
          </cell>
        </row>
        <row r="157">
          <cell r="A157" t="str">
            <v>0000-600-000</v>
          </cell>
          <cell r="B157" t="str">
            <v>CIF</v>
          </cell>
          <cell r="C157">
            <v>-4599.28</v>
          </cell>
          <cell r="D157" t="str">
            <v xml:space="preserve"> </v>
          </cell>
          <cell r="E157">
            <v>0.04</v>
          </cell>
          <cell r="F157">
            <v>589.21</v>
          </cell>
          <cell r="G157">
            <v>-5188.45</v>
          </cell>
          <cell r="H157" t="str">
            <v xml:space="preserve"> </v>
          </cell>
        </row>
        <row r="158">
          <cell r="A158" t="str">
            <v>6000-001-000</v>
          </cell>
          <cell r="B158" t="str">
            <v>Utilidad en Cambios</v>
          </cell>
          <cell r="C158" t="str">
            <v xml:space="preserve"> </v>
          </cell>
          <cell r="D158">
            <v>12.05</v>
          </cell>
          <cell r="E158">
            <v>0</v>
          </cell>
          <cell r="F158">
            <v>0</v>
          </cell>
          <cell r="G158" t="str">
            <v xml:space="preserve"> </v>
          </cell>
          <cell r="H158">
            <v>12.05</v>
          </cell>
        </row>
        <row r="159">
          <cell r="A159" t="str">
            <v>6000-002-000</v>
          </cell>
          <cell r="B159" t="str">
            <v>Pérdida en Cambios</v>
          </cell>
          <cell r="C159">
            <v>2223.7600000000002</v>
          </cell>
          <cell r="D159" t="str">
            <v xml:space="preserve"> </v>
          </cell>
          <cell r="E159">
            <v>0</v>
          </cell>
          <cell r="F159">
            <v>0</v>
          </cell>
          <cell r="G159">
            <v>2223.7600000000002</v>
          </cell>
          <cell r="H159" t="str">
            <v xml:space="preserve"> </v>
          </cell>
        </row>
        <row r="160">
          <cell r="A160" t="str">
            <v>6000-003-000</v>
          </cell>
          <cell r="B160" t="str">
            <v>Intereses Bancarios</v>
          </cell>
          <cell r="C160">
            <v>-6810.93</v>
          </cell>
          <cell r="D160" t="str">
            <v xml:space="preserve"> </v>
          </cell>
          <cell r="E160">
            <v>0</v>
          </cell>
          <cell r="F160">
            <v>588.16999999999996</v>
          </cell>
          <cell r="G160">
            <v>-7399.1</v>
          </cell>
          <cell r="H160" t="str">
            <v xml:space="preserve"> </v>
          </cell>
        </row>
        <row r="161">
          <cell r="A161" t="str">
            <v>6000-005-000</v>
          </cell>
          <cell r="B161" t="str">
            <v>Minor Dif</v>
          </cell>
          <cell r="C161">
            <v>-0.06</v>
          </cell>
          <cell r="D161" t="str">
            <v xml:space="preserve"> </v>
          </cell>
          <cell r="E161">
            <v>0.04</v>
          </cell>
          <cell r="F161">
            <v>1.04</v>
          </cell>
          <cell r="G161">
            <v>-1.06</v>
          </cell>
          <cell r="H161" t="str">
            <v xml:space="preserve"> </v>
          </cell>
        </row>
        <row r="162">
          <cell r="A162" t="str">
            <v xml:space="preserve"> </v>
          </cell>
        </row>
        <row r="163">
          <cell r="B163" t="str">
            <v>Total cuentas no impresas</v>
          </cell>
          <cell r="C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B164" t="str">
            <v xml:space="preserve"> </v>
          </cell>
          <cell r="D164">
            <v>0</v>
          </cell>
          <cell r="H164">
            <v>0</v>
          </cell>
        </row>
        <row r="165">
          <cell r="A165" t="str">
            <v xml:space="preserve"> </v>
          </cell>
        </row>
        <row r="167">
          <cell r="B167" t="str">
            <v xml:space="preserve">Sumas Iguales: </v>
          </cell>
          <cell r="C167">
            <v>7539810.9900000002</v>
          </cell>
          <cell r="E167">
            <v>2898427.35</v>
          </cell>
          <cell r="F167">
            <v>2898427.35</v>
          </cell>
          <cell r="G167">
            <v>8396277.4399999995</v>
          </cell>
        </row>
        <row r="168">
          <cell r="D168">
            <v>7539810.9900000002</v>
          </cell>
          <cell r="H168">
            <v>8396277.4399999995</v>
          </cell>
        </row>
      </sheetData>
      <sheetData sheetId="44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31/Ene/2015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805540.79</v>
          </cell>
          <cell r="D8" t="str">
            <v xml:space="preserve"> </v>
          </cell>
          <cell r="E8">
            <v>1201628.9099999999</v>
          </cell>
          <cell r="F8">
            <v>1226754.53</v>
          </cell>
          <cell r="G8">
            <v>780415.17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669135.88</v>
          </cell>
          <cell r="D9" t="str">
            <v xml:space="preserve"> </v>
          </cell>
          <cell r="E9">
            <v>1201628.9099999999</v>
          </cell>
          <cell r="F9">
            <v>1224152.97</v>
          </cell>
          <cell r="G9">
            <v>646611.81999999995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482857.82</v>
          </cell>
          <cell r="D10" t="str">
            <v xml:space="preserve"> </v>
          </cell>
          <cell r="E10">
            <v>584925.27</v>
          </cell>
          <cell r="F10">
            <v>636252.16000000003</v>
          </cell>
          <cell r="G10">
            <v>431530.93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8288.8799999999992</v>
          </cell>
          <cell r="D11" t="str">
            <v xml:space="preserve"> </v>
          </cell>
          <cell r="E11">
            <v>13000</v>
          </cell>
          <cell r="F11">
            <v>19987.55</v>
          </cell>
          <cell r="G11">
            <v>1301.33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374455.13</v>
          </cell>
          <cell r="D12" t="str">
            <v xml:space="preserve"> </v>
          </cell>
          <cell r="E12">
            <v>571804.42000000004</v>
          </cell>
          <cell r="F12">
            <v>616264.61</v>
          </cell>
          <cell r="G12">
            <v>329994.94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100113.81</v>
          </cell>
          <cell r="D13" t="str">
            <v xml:space="preserve"> </v>
          </cell>
          <cell r="E13">
            <v>120.85</v>
          </cell>
          <cell r="F13">
            <v>0</v>
          </cell>
          <cell r="G13">
            <v>100234.66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571804.42000000004</v>
          </cell>
          <cell r="F14">
            <v>571804.42000000004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571804.42000000004</v>
          </cell>
          <cell r="F15">
            <v>571804.42000000004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571804.42000000004</v>
          </cell>
          <cell r="F16">
            <v>571804.42000000004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162205.82</v>
          </cell>
          <cell r="D17" t="str">
            <v xml:space="preserve"> </v>
          </cell>
          <cell r="E17">
            <v>26205.8</v>
          </cell>
          <cell r="F17">
            <v>14542.9</v>
          </cell>
          <cell r="G17">
            <v>173868.72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12622.9</v>
          </cell>
          <cell r="F18">
            <v>12622.9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1920</v>
          </cell>
          <cell r="D19" t="str">
            <v xml:space="preserve"> </v>
          </cell>
          <cell r="E19">
            <v>960</v>
          </cell>
          <cell r="F19">
            <v>1920</v>
          </cell>
          <cell r="G19">
            <v>960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160285.82</v>
          </cell>
          <cell r="D20" t="str">
            <v xml:space="preserve"> </v>
          </cell>
          <cell r="E20">
            <v>12622.9</v>
          </cell>
          <cell r="F20">
            <v>0</v>
          </cell>
          <cell r="G20">
            <v>172908.72</v>
          </cell>
          <cell r="H20" t="str">
            <v xml:space="preserve"> </v>
          </cell>
        </row>
        <row r="21">
          <cell r="A21" t="str">
            <v>1108-000-000</v>
          </cell>
          <cell r="B21" t="str">
            <v>Pagos Anticipados</v>
          </cell>
          <cell r="C21">
            <v>72.239999999999995</v>
          </cell>
          <cell r="D21" t="str">
            <v xml:space="preserve"> </v>
          </cell>
          <cell r="E21">
            <v>51.47</v>
          </cell>
          <cell r="F21">
            <v>0</v>
          </cell>
          <cell r="G21">
            <v>123.71</v>
          </cell>
          <cell r="H21" t="str">
            <v xml:space="preserve"> </v>
          </cell>
        </row>
        <row r="22">
          <cell r="A22" t="str">
            <v>1108-004-000</v>
          </cell>
          <cell r="B22" t="str">
            <v>Retención de ISR Bancaria</v>
          </cell>
          <cell r="C22">
            <v>72.02</v>
          </cell>
          <cell r="D22" t="str">
            <v xml:space="preserve"> </v>
          </cell>
          <cell r="E22">
            <v>51.47</v>
          </cell>
          <cell r="F22">
            <v>0</v>
          </cell>
          <cell r="G22">
            <v>123.49</v>
          </cell>
          <cell r="H22" t="str">
            <v xml:space="preserve"> </v>
          </cell>
        </row>
        <row r="23">
          <cell r="A23" t="str">
            <v>1108-005-000</v>
          </cell>
          <cell r="B23" t="str">
            <v>Subsidio al Empleo</v>
          </cell>
          <cell r="C23">
            <v>0.22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0.22</v>
          </cell>
          <cell r="H23" t="str">
            <v xml:space="preserve"> </v>
          </cell>
        </row>
        <row r="24">
          <cell r="A24" t="str">
            <v>1109-000-000</v>
          </cell>
          <cell r="B24" t="str">
            <v>Depositos en Garantia</v>
          </cell>
          <cell r="C24">
            <v>24000</v>
          </cell>
          <cell r="D24" t="str">
            <v xml:space="preserve"> </v>
          </cell>
          <cell r="E24">
            <v>0</v>
          </cell>
          <cell r="F24">
            <v>0</v>
          </cell>
          <cell r="G24">
            <v>24000</v>
          </cell>
          <cell r="H24" t="str">
            <v xml:space="preserve"> </v>
          </cell>
        </row>
        <row r="25">
          <cell r="A25" t="str">
            <v>1109-001-000</v>
          </cell>
          <cell r="B25" t="str">
            <v>Depositos en Garantia</v>
          </cell>
          <cell r="C25">
            <v>24000</v>
          </cell>
          <cell r="D25" t="str">
            <v xml:space="preserve"> </v>
          </cell>
          <cell r="E25">
            <v>0</v>
          </cell>
          <cell r="F25">
            <v>0</v>
          </cell>
          <cell r="G25">
            <v>24000</v>
          </cell>
          <cell r="H25" t="str">
            <v xml:space="preserve"> </v>
          </cell>
        </row>
        <row r="26">
          <cell r="A26" t="str">
            <v>1110-000-000</v>
          </cell>
          <cell r="B26" t="str">
            <v>Seguros Pagados por anticipado</v>
          </cell>
          <cell r="C26">
            <v>0</v>
          </cell>
          <cell r="D26" t="str">
            <v xml:space="preserve"> </v>
          </cell>
          <cell r="E26">
            <v>18641.95</v>
          </cell>
          <cell r="F26">
            <v>1553.49</v>
          </cell>
          <cell r="G26">
            <v>17088.46</v>
          </cell>
          <cell r="H26" t="str">
            <v xml:space="preserve"> </v>
          </cell>
        </row>
        <row r="27">
          <cell r="A27" t="str">
            <v>1110-001-000</v>
          </cell>
          <cell r="B27" t="str">
            <v>Seguro Gastos Medicos</v>
          </cell>
          <cell r="C27">
            <v>0</v>
          </cell>
          <cell r="D27" t="str">
            <v xml:space="preserve"> </v>
          </cell>
          <cell r="E27">
            <v>11014.58</v>
          </cell>
          <cell r="F27">
            <v>917.88</v>
          </cell>
          <cell r="G27">
            <v>10096.700000000001</v>
          </cell>
          <cell r="H27" t="str">
            <v xml:space="preserve"> </v>
          </cell>
        </row>
        <row r="28">
          <cell r="A28" t="str">
            <v>1110-002-000</v>
          </cell>
          <cell r="B28" t="str">
            <v>Seguro Local</v>
          </cell>
          <cell r="C28">
            <v>0</v>
          </cell>
          <cell r="D28" t="str">
            <v xml:space="preserve"> </v>
          </cell>
          <cell r="E28">
            <v>7627.37</v>
          </cell>
          <cell r="F28">
            <v>635.61</v>
          </cell>
          <cell r="G28">
            <v>6991.76</v>
          </cell>
          <cell r="H28" t="str">
            <v xml:space="preserve"> </v>
          </cell>
        </row>
        <row r="29">
          <cell r="A29" t="str">
            <v>1200-000-000</v>
          </cell>
          <cell r="B29" t="str">
            <v>ACTIVOS FIJOS</v>
          </cell>
          <cell r="C29">
            <v>136404.91</v>
          </cell>
          <cell r="D29" t="str">
            <v xml:space="preserve"> </v>
          </cell>
          <cell r="E29">
            <v>0</v>
          </cell>
          <cell r="F29">
            <v>2601.56</v>
          </cell>
          <cell r="G29">
            <v>133803.35</v>
          </cell>
          <cell r="H29" t="str">
            <v xml:space="preserve"> </v>
          </cell>
        </row>
        <row r="30">
          <cell r="A30" t="str">
            <v>1208-000-000</v>
          </cell>
          <cell r="B30" t="str">
            <v>Mobiliario y Eq de oficina</v>
          </cell>
          <cell r="C30">
            <v>94083.3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94083.3</v>
          </cell>
          <cell r="H30" t="str">
            <v xml:space="preserve"> </v>
          </cell>
        </row>
        <row r="31">
          <cell r="A31" t="str">
            <v>1208-001-000</v>
          </cell>
          <cell r="B31" t="str">
            <v>Mesa ejecutiva</v>
          </cell>
          <cell r="C31">
            <v>26207.61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26207.61</v>
          </cell>
          <cell r="H31" t="str">
            <v xml:space="preserve"> </v>
          </cell>
        </row>
        <row r="32">
          <cell r="A32" t="str">
            <v>1208-002-000</v>
          </cell>
          <cell r="B32" t="str">
            <v>Silla ejecutiva</v>
          </cell>
          <cell r="C32">
            <v>23407.759999999998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23407.759999999998</v>
          </cell>
          <cell r="H32" t="str">
            <v xml:space="preserve"> </v>
          </cell>
        </row>
        <row r="33">
          <cell r="A33" t="str">
            <v>1208-003-000</v>
          </cell>
          <cell r="B33" t="str">
            <v>Gabinete</v>
          </cell>
          <cell r="C33">
            <v>7500</v>
          </cell>
          <cell r="D33" t="str">
            <v xml:space="preserve"> </v>
          </cell>
          <cell r="E33">
            <v>0</v>
          </cell>
          <cell r="F33">
            <v>0</v>
          </cell>
          <cell r="G33">
            <v>7500</v>
          </cell>
          <cell r="H33" t="str">
            <v xml:space="preserve"> </v>
          </cell>
        </row>
        <row r="34">
          <cell r="A34" t="str">
            <v>1208-004-000</v>
          </cell>
          <cell r="B34" t="str">
            <v>Mesa de juntas</v>
          </cell>
          <cell r="C34">
            <v>8522.1</v>
          </cell>
          <cell r="D34" t="str">
            <v xml:space="preserve"> </v>
          </cell>
          <cell r="E34">
            <v>0</v>
          </cell>
          <cell r="F34">
            <v>0</v>
          </cell>
          <cell r="G34">
            <v>8522.1</v>
          </cell>
          <cell r="H34" t="str">
            <v xml:space="preserve"> </v>
          </cell>
        </row>
        <row r="35">
          <cell r="A35" t="str">
            <v>1208-005-000</v>
          </cell>
          <cell r="B35" t="str">
            <v>Calentador</v>
          </cell>
          <cell r="C35">
            <v>1415.23</v>
          </cell>
          <cell r="D35" t="str">
            <v xml:space="preserve"> </v>
          </cell>
          <cell r="E35">
            <v>0</v>
          </cell>
          <cell r="F35">
            <v>0</v>
          </cell>
          <cell r="G35">
            <v>1415.23</v>
          </cell>
          <cell r="H35" t="str">
            <v xml:space="preserve"> </v>
          </cell>
        </row>
        <row r="36">
          <cell r="A36" t="str">
            <v>1208-006-000</v>
          </cell>
          <cell r="B36" t="str">
            <v>Lámpara mesa</v>
          </cell>
          <cell r="C36">
            <v>11723.45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11723.45</v>
          </cell>
          <cell r="H36" t="str">
            <v xml:space="preserve"> </v>
          </cell>
        </row>
        <row r="37">
          <cell r="A37" t="str">
            <v>1208-007-000</v>
          </cell>
          <cell r="B37" t="str">
            <v>Sillón antenas piel vinil chocolate</v>
          </cell>
          <cell r="C37">
            <v>2113.79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2113.79</v>
          </cell>
          <cell r="H37" t="str">
            <v xml:space="preserve"> </v>
          </cell>
        </row>
        <row r="38">
          <cell r="A38" t="str">
            <v>1208-008-000</v>
          </cell>
          <cell r="B38" t="str">
            <v>Lámpara mesa</v>
          </cell>
          <cell r="C38">
            <v>12500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12500</v>
          </cell>
          <cell r="H38" t="str">
            <v xml:space="preserve"> </v>
          </cell>
        </row>
        <row r="39">
          <cell r="A39" t="str">
            <v>1208-009-000</v>
          </cell>
          <cell r="B39" t="str">
            <v>Comedor</v>
          </cell>
          <cell r="C39">
            <v>693.36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693.36</v>
          </cell>
          <cell r="H39" t="str">
            <v xml:space="preserve"> </v>
          </cell>
        </row>
        <row r="40">
          <cell r="A40" t="str">
            <v>1209-000-000</v>
          </cell>
          <cell r="B40" t="str">
            <v>Depreciacion acumulada Mob y Eq de oficina</v>
          </cell>
          <cell r="C40" t="str">
            <v xml:space="preserve"> </v>
          </cell>
          <cell r="D40">
            <v>8294.5499999999993</v>
          </cell>
          <cell r="E40">
            <v>0</v>
          </cell>
          <cell r="F40">
            <v>784.03</v>
          </cell>
          <cell r="G40" t="str">
            <v xml:space="preserve"> </v>
          </cell>
          <cell r="H40">
            <v>9078.58</v>
          </cell>
        </row>
        <row r="41">
          <cell r="A41" t="str">
            <v>1210-000-000</v>
          </cell>
          <cell r="B41" t="str">
            <v>Equipo de Computo</v>
          </cell>
          <cell r="C41">
            <v>72701.25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72701.25</v>
          </cell>
          <cell r="H41" t="str">
            <v xml:space="preserve"> </v>
          </cell>
        </row>
        <row r="42">
          <cell r="A42" t="str">
            <v>1210-001-000</v>
          </cell>
          <cell r="B42" t="str">
            <v>Computer Elite 8300</v>
          </cell>
          <cell r="C42">
            <v>49350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49350</v>
          </cell>
          <cell r="H42" t="str">
            <v xml:space="preserve"> </v>
          </cell>
        </row>
        <row r="43">
          <cell r="A43" t="str">
            <v>1210-002-000</v>
          </cell>
          <cell r="B43" t="str">
            <v>Multi Brother</v>
          </cell>
          <cell r="C43">
            <v>3188.79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3188.79</v>
          </cell>
          <cell r="H43" t="str">
            <v xml:space="preserve"> </v>
          </cell>
        </row>
        <row r="44">
          <cell r="A44" t="str">
            <v>1210-003-000</v>
          </cell>
          <cell r="B44" t="str">
            <v>Sony Video Projector</v>
          </cell>
          <cell r="C44">
            <v>9007.7999999999993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9007.7999999999993</v>
          </cell>
          <cell r="H44" t="str">
            <v xml:space="preserve"> </v>
          </cell>
        </row>
        <row r="45">
          <cell r="A45" t="str">
            <v>1210-004-000</v>
          </cell>
          <cell r="B45" t="str">
            <v>Epson Multifunctional  XP-211</v>
          </cell>
          <cell r="C45">
            <v>991.38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991.38</v>
          </cell>
          <cell r="H45" t="str">
            <v xml:space="preserve"> </v>
          </cell>
        </row>
        <row r="46">
          <cell r="A46" t="str">
            <v>1210-005-000</v>
          </cell>
          <cell r="B46" t="str">
            <v>Combo Inalam desktop 5000 usb</v>
          </cell>
          <cell r="C46">
            <v>922.41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922.41</v>
          </cell>
          <cell r="H46" t="str">
            <v xml:space="preserve"> </v>
          </cell>
        </row>
        <row r="47">
          <cell r="A47" t="str">
            <v>1210-012-000</v>
          </cell>
          <cell r="B47" t="str">
            <v>Laptop V5 Touch</v>
          </cell>
          <cell r="C47">
            <v>9240.8700000000008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9240.8700000000008</v>
          </cell>
          <cell r="H47" t="str">
            <v xml:space="preserve"> </v>
          </cell>
        </row>
        <row r="48">
          <cell r="A48" t="str">
            <v>1211-000-000</v>
          </cell>
          <cell r="B48" t="str">
            <v>Depreciacion acumulada Eq. de Computo</v>
          </cell>
          <cell r="C48" t="str">
            <v xml:space="preserve"> </v>
          </cell>
          <cell r="D48">
            <v>22085.09</v>
          </cell>
          <cell r="E48">
            <v>0</v>
          </cell>
          <cell r="F48">
            <v>1817.53</v>
          </cell>
          <cell r="G48" t="str">
            <v xml:space="preserve"> </v>
          </cell>
          <cell r="H48">
            <v>23902.62</v>
          </cell>
        </row>
        <row r="49">
          <cell r="A49" t="str">
            <v>0000-200-000</v>
          </cell>
          <cell r="B49" t="str">
            <v>PASIVOS</v>
          </cell>
          <cell r="C49" t="str">
            <v xml:space="preserve"> </v>
          </cell>
          <cell r="D49">
            <v>1026871.58</v>
          </cell>
          <cell r="E49">
            <v>537407.84</v>
          </cell>
          <cell r="F49">
            <v>454389.91</v>
          </cell>
          <cell r="G49" t="str">
            <v xml:space="preserve"> </v>
          </cell>
          <cell r="H49">
            <v>943853.65</v>
          </cell>
        </row>
        <row r="50">
          <cell r="A50" t="str">
            <v>2100-000-000</v>
          </cell>
          <cell r="B50" t="str">
            <v>PASIVO CIRCULANTE</v>
          </cell>
          <cell r="C50" t="str">
            <v xml:space="preserve"> </v>
          </cell>
          <cell r="D50">
            <v>1026871.58</v>
          </cell>
          <cell r="E50">
            <v>537407.84</v>
          </cell>
          <cell r="F50">
            <v>454389.91</v>
          </cell>
          <cell r="G50" t="str">
            <v xml:space="preserve"> </v>
          </cell>
          <cell r="H50">
            <v>943853.65</v>
          </cell>
        </row>
        <row r="51">
          <cell r="A51" t="str">
            <v>2103-000-000</v>
          </cell>
          <cell r="B51" t="str">
            <v>Proveedores</v>
          </cell>
          <cell r="C51" t="str">
            <v xml:space="preserve"> </v>
          </cell>
          <cell r="D51">
            <v>13920</v>
          </cell>
          <cell r="E51">
            <v>13920</v>
          </cell>
          <cell r="F51">
            <v>6960</v>
          </cell>
          <cell r="G51" t="str">
            <v xml:space="preserve"> </v>
          </cell>
          <cell r="H51">
            <v>6960</v>
          </cell>
        </row>
        <row r="52">
          <cell r="A52" t="str">
            <v>2103-007-000</v>
          </cell>
          <cell r="B52" t="str">
            <v>G</v>
          </cell>
          <cell r="C52" t="str">
            <v xml:space="preserve"> </v>
          </cell>
          <cell r="D52">
            <v>13920</v>
          </cell>
          <cell r="E52">
            <v>13920</v>
          </cell>
          <cell r="F52">
            <v>6960</v>
          </cell>
          <cell r="G52" t="str">
            <v xml:space="preserve"> </v>
          </cell>
          <cell r="H52">
            <v>6960</v>
          </cell>
        </row>
        <row r="53">
          <cell r="A53" t="str">
            <v>2103-007-001</v>
          </cell>
          <cell r="B53" t="str">
            <v>Galaz Yamazaki Ruiz Urquiza SC</v>
          </cell>
          <cell r="C53" t="str">
            <v xml:space="preserve"> </v>
          </cell>
          <cell r="D53">
            <v>13920</v>
          </cell>
          <cell r="E53">
            <v>13920</v>
          </cell>
          <cell r="F53">
            <v>6960</v>
          </cell>
          <cell r="G53" t="str">
            <v xml:space="preserve"> </v>
          </cell>
          <cell r="H53">
            <v>6960</v>
          </cell>
        </row>
        <row r="54">
          <cell r="A54" t="str">
            <v>2106-000-000</v>
          </cell>
          <cell r="B54" t="str">
            <v>Acreedores Diversos</v>
          </cell>
          <cell r="C54" t="str">
            <v xml:space="preserve"> </v>
          </cell>
          <cell r="D54">
            <v>792004.3</v>
          </cell>
          <cell r="E54">
            <v>302540.2</v>
          </cell>
          <cell r="F54">
            <v>302540.2</v>
          </cell>
          <cell r="G54" t="str">
            <v xml:space="preserve"> </v>
          </cell>
          <cell r="H54">
            <v>792004.3</v>
          </cell>
        </row>
        <row r="55">
          <cell r="A55" t="str">
            <v>2106-001-000</v>
          </cell>
          <cell r="B55" t="str">
            <v>A</v>
          </cell>
          <cell r="C55" t="str">
            <v xml:space="preserve"> </v>
          </cell>
          <cell r="D55">
            <v>761024.3</v>
          </cell>
          <cell r="E55">
            <v>0</v>
          </cell>
          <cell r="F55">
            <v>0</v>
          </cell>
          <cell r="G55" t="str">
            <v xml:space="preserve"> </v>
          </cell>
          <cell r="H55">
            <v>761024.3</v>
          </cell>
        </row>
        <row r="56">
          <cell r="A56" t="str">
            <v>2106-001-001</v>
          </cell>
          <cell r="B56" t="str">
            <v>1A Auto Inc.</v>
          </cell>
          <cell r="C56" t="str">
            <v xml:space="preserve"> </v>
          </cell>
          <cell r="D56">
            <v>761024.3</v>
          </cell>
          <cell r="E56">
            <v>0</v>
          </cell>
          <cell r="F56">
            <v>0</v>
          </cell>
          <cell r="G56" t="str">
            <v xml:space="preserve"> </v>
          </cell>
          <cell r="H56">
            <v>761024.3</v>
          </cell>
        </row>
        <row r="57">
          <cell r="A57" t="str">
            <v>2106-017-000</v>
          </cell>
          <cell r="B57" t="str">
            <v>P</v>
          </cell>
          <cell r="C57" t="str">
            <v xml:space="preserve"> </v>
          </cell>
          <cell r="D57">
            <v>30980</v>
          </cell>
          <cell r="E57">
            <v>0</v>
          </cell>
          <cell r="F57">
            <v>0</v>
          </cell>
          <cell r="G57" t="str">
            <v xml:space="preserve"> </v>
          </cell>
          <cell r="H57">
            <v>30980</v>
          </cell>
        </row>
        <row r="58">
          <cell r="A58" t="str">
            <v>2106-017-002</v>
          </cell>
          <cell r="B58" t="str">
            <v>PTU</v>
          </cell>
          <cell r="C58" t="str">
            <v xml:space="preserve"> </v>
          </cell>
          <cell r="D58">
            <v>30980</v>
          </cell>
          <cell r="E58">
            <v>0</v>
          </cell>
          <cell r="F58">
            <v>0</v>
          </cell>
          <cell r="G58" t="str">
            <v xml:space="preserve"> </v>
          </cell>
          <cell r="H58">
            <v>30980</v>
          </cell>
        </row>
        <row r="59">
          <cell r="A59" t="str">
            <v>2106-023-000</v>
          </cell>
          <cell r="B59" t="str">
            <v>V</v>
          </cell>
          <cell r="C59" t="str">
            <v xml:space="preserve"> </v>
          </cell>
          <cell r="D59">
            <v>0</v>
          </cell>
          <cell r="E59">
            <v>19600</v>
          </cell>
          <cell r="F59">
            <v>19600</v>
          </cell>
          <cell r="G59" t="str">
            <v xml:space="preserve"> </v>
          </cell>
          <cell r="H59">
            <v>0</v>
          </cell>
        </row>
        <row r="60">
          <cell r="A60" t="str">
            <v>2106-023-001</v>
          </cell>
          <cell r="B60" t="str">
            <v>Vales de despensa</v>
          </cell>
          <cell r="C60" t="str">
            <v xml:space="preserve"> </v>
          </cell>
          <cell r="D60">
            <v>0</v>
          </cell>
          <cell r="E60">
            <v>12600</v>
          </cell>
          <cell r="F60">
            <v>12600</v>
          </cell>
          <cell r="G60" t="str">
            <v xml:space="preserve"> </v>
          </cell>
          <cell r="H60">
            <v>0</v>
          </cell>
        </row>
        <row r="61">
          <cell r="A61" t="str">
            <v>2106-023-002</v>
          </cell>
          <cell r="B61" t="str">
            <v>Vales de gasolina</v>
          </cell>
          <cell r="C61" t="str">
            <v xml:space="preserve"> </v>
          </cell>
          <cell r="D61">
            <v>0</v>
          </cell>
          <cell r="E61">
            <v>7000</v>
          </cell>
          <cell r="F61">
            <v>7000</v>
          </cell>
          <cell r="G61" t="str">
            <v xml:space="preserve"> </v>
          </cell>
          <cell r="H61">
            <v>0</v>
          </cell>
        </row>
        <row r="62">
          <cell r="A62" t="str">
            <v>2106-100-000</v>
          </cell>
          <cell r="B62" t="str">
            <v>Sueldos por pagar</v>
          </cell>
          <cell r="C62" t="str">
            <v xml:space="preserve"> </v>
          </cell>
          <cell r="D62">
            <v>0</v>
          </cell>
          <cell r="E62">
            <v>282940.2</v>
          </cell>
          <cell r="F62">
            <v>282940.2</v>
          </cell>
          <cell r="G62" t="str">
            <v xml:space="preserve"> </v>
          </cell>
          <cell r="H62">
            <v>0</v>
          </cell>
        </row>
        <row r="63">
          <cell r="A63" t="str">
            <v>2108-000-000</v>
          </cell>
          <cell r="B63" t="str">
            <v>Impuestos por pagar</v>
          </cell>
          <cell r="C63" t="str">
            <v xml:space="preserve"> </v>
          </cell>
          <cell r="D63">
            <v>220947.28</v>
          </cell>
          <cell r="E63">
            <v>220947.64</v>
          </cell>
          <cell r="F63">
            <v>144889.71</v>
          </cell>
          <cell r="G63" t="str">
            <v xml:space="preserve"> </v>
          </cell>
          <cell r="H63">
            <v>144889.35</v>
          </cell>
        </row>
        <row r="64">
          <cell r="A64" t="str">
            <v>2108-001-000</v>
          </cell>
          <cell r="B64" t="str">
            <v>ISPT</v>
          </cell>
          <cell r="C64" t="str">
            <v xml:space="preserve"> </v>
          </cell>
          <cell r="D64">
            <v>95861.78</v>
          </cell>
          <cell r="E64">
            <v>95862</v>
          </cell>
          <cell r="F64">
            <v>95860.43</v>
          </cell>
          <cell r="G64" t="str">
            <v xml:space="preserve"> </v>
          </cell>
          <cell r="H64">
            <v>95860.21</v>
          </cell>
        </row>
        <row r="65">
          <cell r="A65" t="str">
            <v>2108-002-000</v>
          </cell>
          <cell r="B65" t="str">
            <v>ISN</v>
          </cell>
          <cell r="C65" t="str">
            <v xml:space="preserve"> </v>
          </cell>
          <cell r="D65">
            <v>9323</v>
          </cell>
          <cell r="E65">
            <v>9323</v>
          </cell>
          <cell r="F65">
            <v>9424</v>
          </cell>
          <cell r="G65" t="str">
            <v xml:space="preserve"> </v>
          </cell>
          <cell r="H65">
            <v>9424</v>
          </cell>
        </row>
        <row r="66">
          <cell r="A66" t="str">
            <v>2108-003-000</v>
          </cell>
          <cell r="B66" t="str">
            <v>IMSS</v>
          </cell>
          <cell r="C66" t="str">
            <v xml:space="preserve"> </v>
          </cell>
          <cell r="D66">
            <v>28735.98</v>
          </cell>
          <cell r="E66">
            <v>28735.98</v>
          </cell>
          <cell r="F66">
            <v>29562.959999999999</v>
          </cell>
          <cell r="G66" t="str">
            <v xml:space="preserve"> </v>
          </cell>
          <cell r="H66">
            <v>29562.959999999999</v>
          </cell>
        </row>
        <row r="67">
          <cell r="A67" t="str">
            <v>2108-004-000</v>
          </cell>
          <cell r="B67" t="str">
            <v>INFONAVIT</v>
          </cell>
          <cell r="C67" t="str">
            <v xml:space="preserve"> </v>
          </cell>
          <cell r="D67">
            <v>31044.12</v>
          </cell>
          <cell r="E67">
            <v>31044.12</v>
          </cell>
          <cell r="F67">
            <v>0</v>
          </cell>
          <cell r="G67" t="str">
            <v xml:space="preserve"> </v>
          </cell>
          <cell r="H67">
            <v>0</v>
          </cell>
        </row>
        <row r="68">
          <cell r="A68" t="str">
            <v>2108-005-000</v>
          </cell>
          <cell r="B68" t="str">
            <v>SAR</v>
          </cell>
          <cell r="C68" t="str">
            <v xml:space="preserve"> </v>
          </cell>
          <cell r="D68">
            <v>37694.74</v>
          </cell>
          <cell r="E68">
            <v>37694.74</v>
          </cell>
          <cell r="F68">
            <v>0</v>
          </cell>
          <cell r="G68" t="str">
            <v xml:space="preserve"> </v>
          </cell>
          <cell r="H68">
            <v>0</v>
          </cell>
        </row>
        <row r="69">
          <cell r="A69" t="str">
            <v>2108-008-000</v>
          </cell>
          <cell r="B69" t="str">
            <v>ISPT Assimilated</v>
          </cell>
          <cell r="C69" t="str">
            <v xml:space="preserve"> </v>
          </cell>
          <cell r="D69">
            <v>-0.14000000000000001</v>
          </cell>
          <cell r="E69">
            <v>0</v>
          </cell>
          <cell r="F69">
            <v>0</v>
          </cell>
          <cell r="G69" t="str">
            <v xml:space="preserve"> </v>
          </cell>
          <cell r="H69">
            <v>-0.14000000000000001</v>
          </cell>
        </row>
        <row r="70">
          <cell r="A70" t="str">
            <v>2108-020-000</v>
          </cell>
          <cell r="B70" t="str">
            <v>Infonavit creditos</v>
          </cell>
          <cell r="C70" t="str">
            <v xml:space="preserve"> </v>
          </cell>
          <cell r="D70">
            <v>18287.8</v>
          </cell>
          <cell r="E70">
            <v>18287.8</v>
          </cell>
          <cell r="F70">
            <v>10042.32</v>
          </cell>
          <cell r="G70" t="str">
            <v xml:space="preserve"> </v>
          </cell>
          <cell r="H70">
            <v>10042.32</v>
          </cell>
        </row>
        <row r="71">
          <cell r="A71" t="str">
            <v>0000-300-000</v>
          </cell>
          <cell r="B71" t="str">
            <v>CAPITAL</v>
          </cell>
          <cell r="C71" t="str">
            <v xml:space="preserve"> </v>
          </cell>
          <cell r="D71">
            <v>-221330.79</v>
          </cell>
          <cell r="E71">
            <v>0</v>
          </cell>
          <cell r="F71">
            <v>0</v>
          </cell>
          <cell r="G71" t="str">
            <v xml:space="preserve"> </v>
          </cell>
          <cell r="H71">
            <v>-221330.79</v>
          </cell>
        </row>
        <row r="72">
          <cell r="A72" t="str">
            <v>3100-000-000</v>
          </cell>
          <cell r="B72" t="str">
            <v>Aportaciones de Capital</v>
          </cell>
          <cell r="C72" t="str">
            <v xml:space="preserve"> </v>
          </cell>
          <cell r="D72">
            <v>3000</v>
          </cell>
          <cell r="E72">
            <v>0</v>
          </cell>
          <cell r="F72">
            <v>0</v>
          </cell>
          <cell r="G72" t="str">
            <v xml:space="preserve"> </v>
          </cell>
          <cell r="H72">
            <v>3000</v>
          </cell>
        </row>
        <row r="73">
          <cell r="A73" t="str">
            <v>3300-000-000</v>
          </cell>
          <cell r="B73" t="str">
            <v>Remanente de Ej anteriores</v>
          </cell>
          <cell r="C73" t="str">
            <v xml:space="preserve"> </v>
          </cell>
          <cell r="D73">
            <v>-224330.79</v>
          </cell>
          <cell r="E73">
            <v>0</v>
          </cell>
          <cell r="F73">
            <v>0</v>
          </cell>
          <cell r="G73" t="str">
            <v xml:space="preserve"> </v>
          </cell>
          <cell r="H73">
            <v>-224330.79</v>
          </cell>
        </row>
        <row r="74">
          <cell r="A74" t="str">
            <v>3300-001-000</v>
          </cell>
          <cell r="B74" t="str">
            <v>Resultado del Ejercicio 2013</v>
          </cell>
          <cell r="C74" t="str">
            <v xml:space="preserve"> </v>
          </cell>
          <cell r="D74">
            <v>-411059.15</v>
          </cell>
          <cell r="E74">
            <v>0</v>
          </cell>
          <cell r="F74">
            <v>0</v>
          </cell>
          <cell r="G74" t="str">
            <v xml:space="preserve"> </v>
          </cell>
          <cell r="H74">
            <v>-411059.15</v>
          </cell>
        </row>
        <row r="75">
          <cell r="A75" t="str">
            <v>3300-002-000</v>
          </cell>
          <cell r="B75" t="str">
            <v>Resultado del Ejercicio 2014</v>
          </cell>
          <cell r="C75" t="str">
            <v xml:space="preserve"> </v>
          </cell>
          <cell r="D75">
            <v>186728.36</v>
          </cell>
          <cell r="E75">
            <v>0</v>
          </cell>
          <cell r="F75">
            <v>0</v>
          </cell>
          <cell r="G75" t="str">
            <v xml:space="preserve"> </v>
          </cell>
          <cell r="H75">
            <v>186728.36</v>
          </cell>
        </row>
        <row r="76">
          <cell r="A76" t="str">
            <v>0000-400-000</v>
          </cell>
          <cell r="B76" t="str">
            <v>INGRESOS</v>
          </cell>
          <cell r="C76" t="str">
            <v xml:space="preserve"> </v>
          </cell>
          <cell r="D76">
            <v>0</v>
          </cell>
          <cell r="E76">
            <v>0</v>
          </cell>
          <cell r="F76">
            <v>571804.42000000004</v>
          </cell>
          <cell r="G76" t="str">
            <v xml:space="preserve"> </v>
          </cell>
          <cell r="H76">
            <v>571804.42000000004</v>
          </cell>
        </row>
        <row r="77">
          <cell r="A77" t="str">
            <v>4100-002-000</v>
          </cell>
          <cell r="B77" t="str">
            <v>0% Ventas</v>
          </cell>
          <cell r="C77" t="str">
            <v xml:space="preserve"> </v>
          </cell>
          <cell r="D77">
            <v>0</v>
          </cell>
          <cell r="E77">
            <v>0</v>
          </cell>
          <cell r="F77">
            <v>571804.42000000004</v>
          </cell>
          <cell r="G77" t="str">
            <v xml:space="preserve"> </v>
          </cell>
          <cell r="H77">
            <v>571804.42000000004</v>
          </cell>
        </row>
        <row r="78">
          <cell r="A78" t="str">
            <v>0000-500-000</v>
          </cell>
          <cell r="B78" t="str">
            <v>GASTOS</v>
          </cell>
          <cell r="C78">
            <v>0</v>
          </cell>
          <cell r="D78" t="str">
            <v xml:space="preserve"> </v>
          </cell>
          <cell r="E78">
            <v>514084.2</v>
          </cell>
          <cell r="F78">
            <v>0</v>
          </cell>
          <cell r="G78">
            <v>514084.2</v>
          </cell>
          <cell r="H78" t="str">
            <v xml:space="preserve"> </v>
          </cell>
        </row>
        <row r="79">
          <cell r="A79" t="str">
            <v>5200-000-000</v>
          </cell>
          <cell r="B79" t="str">
            <v>GASTOS DE NOMINA</v>
          </cell>
          <cell r="C79">
            <v>0</v>
          </cell>
          <cell r="D79" t="str">
            <v xml:space="preserve"> </v>
          </cell>
          <cell r="E79">
            <v>453670.88</v>
          </cell>
          <cell r="F79">
            <v>0</v>
          </cell>
          <cell r="G79">
            <v>453670.88</v>
          </cell>
          <cell r="H79" t="str">
            <v xml:space="preserve"> </v>
          </cell>
        </row>
        <row r="80">
          <cell r="A80" t="str">
            <v>5200-001-000</v>
          </cell>
          <cell r="B80" t="str">
            <v>Sueldos</v>
          </cell>
          <cell r="C80">
            <v>0</v>
          </cell>
          <cell r="D80" t="str">
            <v xml:space="preserve"> </v>
          </cell>
          <cell r="E80">
            <v>366201.88</v>
          </cell>
          <cell r="F80">
            <v>0</v>
          </cell>
          <cell r="G80">
            <v>366201.88</v>
          </cell>
          <cell r="H80" t="str">
            <v xml:space="preserve"> </v>
          </cell>
        </row>
        <row r="81">
          <cell r="A81" t="str">
            <v>5200-004-000</v>
          </cell>
          <cell r="B81" t="str">
            <v>Vales de despensa</v>
          </cell>
          <cell r="C81">
            <v>0</v>
          </cell>
          <cell r="D81" t="str">
            <v xml:space="preserve"> </v>
          </cell>
          <cell r="E81">
            <v>12600</v>
          </cell>
          <cell r="F81">
            <v>0</v>
          </cell>
          <cell r="G81">
            <v>12600</v>
          </cell>
          <cell r="H81" t="str">
            <v xml:space="preserve"> </v>
          </cell>
        </row>
        <row r="82">
          <cell r="A82" t="str">
            <v>5200-007-000</v>
          </cell>
          <cell r="B82" t="str">
            <v>IMSS</v>
          </cell>
          <cell r="C82">
            <v>0</v>
          </cell>
          <cell r="D82" t="str">
            <v xml:space="preserve"> </v>
          </cell>
          <cell r="E82">
            <v>26018.92</v>
          </cell>
          <cell r="F82">
            <v>0</v>
          </cell>
          <cell r="G82">
            <v>26018.92</v>
          </cell>
          <cell r="H82" t="str">
            <v xml:space="preserve"> </v>
          </cell>
        </row>
        <row r="83">
          <cell r="A83" t="str">
            <v>5200-010-000</v>
          </cell>
          <cell r="B83" t="str">
            <v>ISN</v>
          </cell>
          <cell r="C83">
            <v>0</v>
          </cell>
          <cell r="D83" t="str">
            <v xml:space="preserve"> </v>
          </cell>
          <cell r="E83">
            <v>9424</v>
          </cell>
          <cell r="F83">
            <v>0</v>
          </cell>
          <cell r="G83">
            <v>9424</v>
          </cell>
          <cell r="H83" t="str">
            <v xml:space="preserve"> </v>
          </cell>
        </row>
        <row r="84">
          <cell r="A84" t="str">
            <v>5200-012-000</v>
          </cell>
          <cell r="B84" t="str">
            <v>Vacaciones</v>
          </cell>
          <cell r="C84">
            <v>0</v>
          </cell>
          <cell r="D84" t="str">
            <v xml:space="preserve"> </v>
          </cell>
          <cell r="E84">
            <v>26511.87</v>
          </cell>
          <cell r="F84">
            <v>0</v>
          </cell>
          <cell r="G84">
            <v>26511.87</v>
          </cell>
          <cell r="H84" t="str">
            <v xml:space="preserve"> </v>
          </cell>
        </row>
        <row r="85">
          <cell r="A85" t="str">
            <v>5200-013-000</v>
          </cell>
          <cell r="B85" t="str">
            <v>Prima Vacacional</v>
          </cell>
          <cell r="C85">
            <v>0</v>
          </cell>
          <cell r="D85" t="str">
            <v xml:space="preserve"> </v>
          </cell>
          <cell r="E85">
            <v>4934.21</v>
          </cell>
          <cell r="F85">
            <v>0</v>
          </cell>
          <cell r="G85">
            <v>4934.21</v>
          </cell>
          <cell r="H85" t="str">
            <v xml:space="preserve"> </v>
          </cell>
        </row>
        <row r="86">
          <cell r="A86" t="str">
            <v>5200-021-000</v>
          </cell>
          <cell r="B86" t="str">
            <v>Comisiones Vales</v>
          </cell>
          <cell r="C86">
            <v>0</v>
          </cell>
          <cell r="D86" t="str">
            <v xml:space="preserve"> </v>
          </cell>
          <cell r="E86">
            <v>980</v>
          </cell>
          <cell r="F86">
            <v>0</v>
          </cell>
          <cell r="G86">
            <v>980</v>
          </cell>
          <cell r="H86" t="str">
            <v xml:space="preserve"> </v>
          </cell>
        </row>
        <row r="87">
          <cell r="A87" t="str">
            <v>5200-027-000</v>
          </cell>
          <cell r="B87" t="str">
            <v>Vales de gasolina</v>
          </cell>
          <cell r="C87">
            <v>0</v>
          </cell>
          <cell r="D87" t="str">
            <v xml:space="preserve"> </v>
          </cell>
          <cell r="E87">
            <v>7000</v>
          </cell>
          <cell r="F87">
            <v>0</v>
          </cell>
          <cell r="G87">
            <v>7000</v>
          </cell>
          <cell r="H87" t="str">
            <v xml:space="preserve"> </v>
          </cell>
        </row>
        <row r="88">
          <cell r="A88" t="str">
            <v>5300-000-000</v>
          </cell>
          <cell r="B88" t="str">
            <v>GASTOS DE ADMINISTRACION</v>
          </cell>
          <cell r="C88">
            <v>0</v>
          </cell>
          <cell r="D88" t="str">
            <v xml:space="preserve"> </v>
          </cell>
          <cell r="E88">
            <v>57811.76</v>
          </cell>
          <cell r="F88">
            <v>0</v>
          </cell>
          <cell r="G88">
            <v>57811.76</v>
          </cell>
          <cell r="H88" t="str">
            <v xml:space="preserve"> </v>
          </cell>
        </row>
        <row r="89">
          <cell r="A89" t="str">
            <v>5300-003-000</v>
          </cell>
          <cell r="B89" t="str">
            <v>Eventos especiales</v>
          </cell>
          <cell r="C89">
            <v>0</v>
          </cell>
          <cell r="D89" t="str">
            <v xml:space="preserve"> </v>
          </cell>
          <cell r="E89">
            <v>924.67</v>
          </cell>
          <cell r="F89">
            <v>0</v>
          </cell>
          <cell r="G89">
            <v>924.67</v>
          </cell>
          <cell r="H89" t="str">
            <v xml:space="preserve"> </v>
          </cell>
        </row>
        <row r="90">
          <cell r="A90" t="str">
            <v>5300-006-000</v>
          </cell>
          <cell r="B90" t="str">
            <v>Comunicacion</v>
          </cell>
          <cell r="C90">
            <v>0</v>
          </cell>
          <cell r="D90" t="str">
            <v xml:space="preserve"> </v>
          </cell>
          <cell r="E90">
            <v>4256.88</v>
          </cell>
          <cell r="F90">
            <v>0</v>
          </cell>
          <cell r="G90">
            <v>4256.88</v>
          </cell>
          <cell r="H90" t="str">
            <v xml:space="preserve"> </v>
          </cell>
        </row>
        <row r="91">
          <cell r="A91" t="str">
            <v>5300-007-000</v>
          </cell>
          <cell r="B91" t="str">
            <v>Honorarios</v>
          </cell>
          <cell r="C91">
            <v>0</v>
          </cell>
          <cell r="D91" t="str">
            <v xml:space="preserve"> </v>
          </cell>
          <cell r="E91">
            <v>6000</v>
          </cell>
          <cell r="F91">
            <v>0</v>
          </cell>
          <cell r="G91">
            <v>6000</v>
          </cell>
          <cell r="H91" t="str">
            <v xml:space="preserve"> </v>
          </cell>
        </row>
        <row r="92">
          <cell r="A92" t="str">
            <v>5300-009-000</v>
          </cell>
          <cell r="B92" t="str">
            <v>Arrendamiento</v>
          </cell>
          <cell r="C92">
            <v>0</v>
          </cell>
          <cell r="D92" t="str">
            <v xml:space="preserve"> </v>
          </cell>
          <cell r="E92">
            <v>24000</v>
          </cell>
          <cell r="F92">
            <v>0</v>
          </cell>
          <cell r="G92">
            <v>24000</v>
          </cell>
          <cell r="H92" t="str">
            <v xml:space="preserve"> </v>
          </cell>
        </row>
        <row r="93">
          <cell r="A93" t="str">
            <v>5300-013-000</v>
          </cell>
          <cell r="B93" t="str">
            <v>Seguros</v>
          </cell>
          <cell r="C93">
            <v>0</v>
          </cell>
          <cell r="D93" t="str">
            <v xml:space="preserve"> </v>
          </cell>
          <cell r="E93">
            <v>1553.49</v>
          </cell>
          <cell r="F93">
            <v>0</v>
          </cell>
          <cell r="G93">
            <v>1553.49</v>
          </cell>
          <cell r="H93" t="str">
            <v xml:space="preserve"> </v>
          </cell>
        </row>
        <row r="94">
          <cell r="A94" t="str">
            <v>5300-018-000</v>
          </cell>
          <cell r="B94" t="str">
            <v>Gas Natural</v>
          </cell>
          <cell r="C94">
            <v>0</v>
          </cell>
          <cell r="D94" t="str">
            <v xml:space="preserve"> </v>
          </cell>
          <cell r="E94">
            <v>5996.26</v>
          </cell>
          <cell r="F94">
            <v>0</v>
          </cell>
          <cell r="G94">
            <v>5996.26</v>
          </cell>
          <cell r="H94" t="str">
            <v xml:space="preserve"> </v>
          </cell>
        </row>
        <row r="95">
          <cell r="A95" t="str">
            <v>5300-019-000</v>
          </cell>
          <cell r="B95" t="str">
            <v>Agua</v>
          </cell>
          <cell r="C95">
            <v>0</v>
          </cell>
          <cell r="D95" t="str">
            <v xml:space="preserve"> </v>
          </cell>
          <cell r="E95">
            <v>202.04</v>
          </cell>
          <cell r="F95">
            <v>0</v>
          </cell>
          <cell r="G95">
            <v>202.04</v>
          </cell>
          <cell r="H95" t="str">
            <v xml:space="preserve"> </v>
          </cell>
        </row>
        <row r="96">
          <cell r="A96" t="str">
            <v>5300-027-000</v>
          </cell>
          <cell r="B96" t="str">
            <v>Seguridad e Higiene</v>
          </cell>
          <cell r="C96">
            <v>0</v>
          </cell>
          <cell r="D96" t="str">
            <v xml:space="preserve"> </v>
          </cell>
          <cell r="E96">
            <v>2400</v>
          </cell>
          <cell r="F96">
            <v>0</v>
          </cell>
          <cell r="G96">
            <v>2400</v>
          </cell>
          <cell r="H96" t="str">
            <v xml:space="preserve"> </v>
          </cell>
        </row>
        <row r="97">
          <cell r="A97" t="str">
            <v>5300-028-000</v>
          </cell>
          <cell r="B97" t="str">
            <v>Recolección de Basura</v>
          </cell>
          <cell r="C97">
            <v>0</v>
          </cell>
          <cell r="D97" t="str">
            <v xml:space="preserve"> </v>
          </cell>
          <cell r="E97">
            <v>134.4</v>
          </cell>
          <cell r="F97">
            <v>0</v>
          </cell>
          <cell r="G97">
            <v>134.4</v>
          </cell>
          <cell r="H97" t="str">
            <v xml:space="preserve"> </v>
          </cell>
        </row>
        <row r="98">
          <cell r="A98" t="str">
            <v>5300-029-000</v>
          </cell>
          <cell r="B98" t="str">
            <v>Sistemas de Alarma</v>
          </cell>
          <cell r="C98">
            <v>0</v>
          </cell>
          <cell r="D98" t="str">
            <v xml:space="preserve"> </v>
          </cell>
          <cell r="E98">
            <v>1350</v>
          </cell>
          <cell r="F98">
            <v>0</v>
          </cell>
          <cell r="G98">
            <v>1350</v>
          </cell>
          <cell r="H98" t="str">
            <v xml:space="preserve"> </v>
          </cell>
        </row>
        <row r="99">
          <cell r="A99" t="str">
            <v>5300-031-000</v>
          </cell>
          <cell r="B99" t="str">
            <v>Cuotas y Suscripciones</v>
          </cell>
          <cell r="C99">
            <v>0</v>
          </cell>
          <cell r="D99" t="str">
            <v xml:space="preserve"> </v>
          </cell>
          <cell r="E99">
            <v>180</v>
          </cell>
          <cell r="F99">
            <v>0</v>
          </cell>
          <cell r="G99">
            <v>180</v>
          </cell>
          <cell r="H99" t="str">
            <v xml:space="preserve"> </v>
          </cell>
        </row>
        <row r="100">
          <cell r="A100" t="str">
            <v>5300-032-000</v>
          </cell>
          <cell r="B100" t="str">
            <v>Otros impuestos y derechos</v>
          </cell>
          <cell r="C100">
            <v>0</v>
          </cell>
          <cell r="D100" t="str">
            <v xml:space="preserve"> </v>
          </cell>
          <cell r="E100">
            <v>5.83</v>
          </cell>
          <cell r="F100">
            <v>0</v>
          </cell>
          <cell r="G100">
            <v>5.83</v>
          </cell>
          <cell r="H100" t="str">
            <v xml:space="preserve"> </v>
          </cell>
        </row>
        <row r="101">
          <cell r="A101" t="str">
            <v>5300-035-000</v>
          </cell>
          <cell r="B101" t="str">
            <v>Mantenimiento Local</v>
          </cell>
          <cell r="C101">
            <v>0</v>
          </cell>
          <cell r="D101" t="str">
            <v xml:space="preserve"> </v>
          </cell>
          <cell r="E101">
            <v>8356.91</v>
          </cell>
          <cell r="F101">
            <v>0</v>
          </cell>
          <cell r="G101">
            <v>8356.91</v>
          </cell>
          <cell r="H101" t="str">
            <v xml:space="preserve"> </v>
          </cell>
        </row>
        <row r="102">
          <cell r="A102" t="str">
            <v>5300-038-000</v>
          </cell>
          <cell r="B102" t="str">
            <v>No deducibles</v>
          </cell>
          <cell r="C102">
            <v>0</v>
          </cell>
          <cell r="D102" t="str">
            <v xml:space="preserve"> </v>
          </cell>
          <cell r="E102">
            <v>1867.02</v>
          </cell>
          <cell r="F102">
            <v>0</v>
          </cell>
          <cell r="G102">
            <v>1867.02</v>
          </cell>
          <cell r="H102" t="str">
            <v xml:space="preserve"> </v>
          </cell>
        </row>
        <row r="103">
          <cell r="A103" t="str">
            <v>5300-039-000</v>
          </cell>
          <cell r="B103" t="str">
            <v>Comisiones bancarias</v>
          </cell>
          <cell r="C103">
            <v>0</v>
          </cell>
          <cell r="D103" t="str">
            <v xml:space="preserve"> </v>
          </cell>
          <cell r="E103">
            <v>160</v>
          </cell>
          <cell r="F103">
            <v>0</v>
          </cell>
          <cell r="G103">
            <v>160</v>
          </cell>
          <cell r="H103" t="str">
            <v xml:space="preserve"> </v>
          </cell>
        </row>
        <row r="104">
          <cell r="A104" t="str">
            <v>5300-040-000</v>
          </cell>
          <cell r="B104" t="str">
            <v>Actualizacion de contribuciones</v>
          </cell>
          <cell r="C104">
            <v>0</v>
          </cell>
          <cell r="D104" t="str">
            <v xml:space="preserve"> </v>
          </cell>
          <cell r="E104">
            <v>119.96</v>
          </cell>
          <cell r="F104">
            <v>0</v>
          </cell>
          <cell r="G104">
            <v>119.96</v>
          </cell>
          <cell r="H104" t="str">
            <v xml:space="preserve"> </v>
          </cell>
        </row>
        <row r="105">
          <cell r="A105" t="str">
            <v>5300-041-000</v>
          </cell>
          <cell r="B105" t="str">
            <v>Recargos</v>
          </cell>
          <cell r="C105">
            <v>0</v>
          </cell>
          <cell r="D105" t="str">
            <v xml:space="preserve"> </v>
          </cell>
          <cell r="E105">
            <v>304.3</v>
          </cell>
          <cell r="F105">
            <v>0</v>
          </cell>
          <cell r="G105">
            <v>304.3</v>
          </cell>
          <cell r="H105" t="str">
            <v xml:space="preserve"> </v>
          </cell>
        </row>
        <row r="106">
          <cell r="A106" t="str">
            <v>5400-000-000</v>
          </cell>
          <cell r="B106" t="str">
            <v>GASTOS DE OPERACION</v>
          </cell>
          <cell r="C106">
            <v>0</v>
          </cell>
          <cell r="D106" t="str">
            <v xml:space="preserve"> </v>
          </cell>
          <cell r="E106">
            <v>2601.56</v>
          </cell>
          <cell r="F106">
            <v>0</v>
          </cell>
          <cell r="G106">
            <v>2601.56</v>
          </cell>
          <cell r="H106" t="str">
            <v xml:space="preserve"> </v>
          </cell>
        </row>
        <row r="107">
          <cell r="A107" t="str">
            <v>5400-001-000</v>
          </cell>
          <cell r="B107" t="str">
            <v>Depreciacion acumulada</v>
          </cell>
          <cell r="C107">
            <v>0</v>
          </cell>
          <cell r="D107" t="str">
            <v xml:space="preserve"> </v>
          </cell>
          <cell r="E107">
            <v>2601.56</v>
          </cell>
          <cell r="F107">
            <v>0</v>
          </cell>
          <cell r="G107">
            <v>2601.56</v>
          </cell>
          <cell r="H107" t="str">
            <v xml:space="preserve"> </v>
          </cell>
        </row>
        <row r="108">
          <cell r="A108" t="str">
            <v>5400-001-004</v>
          </cell>
          <cell r="B108" t="str">
            <v>Machinery &amp; Equipment accumulated depreciation</v>
          </cell>
          <cell r="C108">
            <v>0</v>
          </cell>
          <cell r="D108" t="str">
            <v xml:space="preserve"> </v>
          </cell>
          <cell r="E108">
            <v>784.03</v>
          </cell>
          <cell r="F108">
            <v>0</v>
          </cell>
          <cell r="G108">
            <v>784.03</v>
          </cell>
          <cell r="H108" t="str">
            <v xml:space="preserve"> </v>
          </cell>
        </row>
        <row r="109">
          <cell r="A109" t="str">
            <v>5400-001-005</v>
          </cell>
          <cell r="B109" t="str">
            <v>Computer Equipment accumulated depreciation</v>
          </cell>
          <cell r="C109">
            <v>0</v>
          </cell>
          <cell r="D109" t="str">
            <v xml:space="preserve"> </v>
          </cell>
          <cell r="E109">
            <v>1817.53</v>
          </cell>
          <cell r="F109">
            <v>0</v>
          </cell>
          <cell r="G109">
            <v>1817.53</v>
          </cell>
          <cell r="H109" t="str">
            <v xml:space="preserve"> </v>
          </cell>
        </row>
        <row r="110">
          <cell r="A110" t="str">
            <v>0000-600-000</v>
          </cell>
          <cell r="B110" t="str">
            <v>CIF</v>
          </cell>
          <cell r="C110">
            <v>0</v>
          </cell>
          <cell r="D110" t="str">
            <v xml:space="preserve"> </v>
          </cell>
          <cell r="E110">
            <v>0.5</v>
          </cell>
          <cell r="F110">
            <v>172.59</v>
          </cell>
          <cell r="G110">
            <v>-172.09</v>
          </cell>
          <cell r="H110" t="str">
            <v xml:space="preserve"> </v>
          </cell>
        </row>
        <row r="111">
          <cell r="A111" t="str">
            <v>6000-003-000</v>
          </cell>
          <cell r="B111" t="str">
            <v>Intereses Bancarios</v>
          </cell>
          <cell r="C111">
            <v>0</v>
          </cell>
          <cell r="D111" t="str">
            <v xml:space="preserve"> </v>
          </cell>
          <cell r="E111">
            <v>0</v>
          </cell>
          <cell r="F111">
            <v>172.32</v>
          </cell>
          <cell r="G111">
            <v>-172.32</v>
          </cell>
          <cell r="H111" t="str">
            <v xml:space="preserve"> </v>
          </cell>
        </row>
        <row r="112">
          <cell r="A112" t="str">
            <v>6000-005-000</v>
          </cell>
          <cell r="B112" t="str">
            <v>Minor Dif</v>
          </cell>
          <cell r="C112">
            <v>0</v>
          </cell>
          <cell r="D112" t="str">
            <v xml:space="preserve"> </v>
          </cell>
          <cell r="E112">
            <v>0.5</v>
          </cell>
          <cell r="F112">
            <v>0.27</v>
          </cell>
          <cell r="G112">
            <v>0.23</v>
          </cell>
          <cell r="H112" t="str">
            <v xml:space="preserve"> </v>
          </cell>
        </row>
        <row r="113">
          <cell r="A113" t="str">
            <v xml:space="preserve"> </v>
          </cell>
        </row>
        <row r="114">
          <cell r="B114" t="str">
            <v>Total cuentas no impresas</v>
          </cell>
          <cell r="C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 t="str">
            <v xml:space="preserve"> </v>
          </cell>
          <cell r="D115">
            <v>0</v>
          </cell>
          <cell r="H115">
            <v>0</v>
          </cell>
        </row>
        <row r="116">
          <cell r="A116" t="str">
            <v xml:space="preserve"> </v>
          </cell>
        </row>
        <row r="118">
          <cell r="B118" t="str">
            <v xml:space="preserve">Sumas Iguales: </v>
          </cell>
          <cell r="C118">
            <v>835920.43</v>
          </cell>
          <cell r="E118">
            <v>2253121.4500000002</v>
          </cell>
          <cell r="F118">
            <v>2253121.4500000002</v>
          </cell>
          <cell r="G118">
            <v>1327308.48</v>
          </cell>
        </row>
        <row r="119">
          <cell r="D119">
            <v>835920.43</v>
          </cell>
          <cell r="H119">
            <v>1327308.48</v>
          </cell>
        </row>
      </sheetData>
      <sheetData sheetId="45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28/Feb/2015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780415.17</v>
          </cell>
          <cell r="D8" t="str">
            <v xml:space="preserve"> </v>
          </cell>
          <cell r="E8">
            <v>2287447.04</v>
          </cell>
          <cell r="F8">
            <v>2146636.0699999998</v>
          </cell>
          <cell r="G8">
            <v>921226.14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646611.81999999995</v>
          </cell>
          <cell r="D9" t="str">
            <v xml:space="preserve"> </v>
          </cell>
          <cell r="E9">
            <v>2287447.04</v>
          </cell>
          <cell r="F9">
            <v>2144034.5099999998</v>
          </cell>
          <cell r="G9">
            <v>790024.35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431530.93</v>
          </cell>
          <cell r="D10" t="str">
            <v xml:space="preserve"> </v>
          </cell>
          <cell r="E10">
            <v>1564090.38</v>
          </cell>
          <cell r="F10">
            <v>1475885.13</v>
          </cell>
          <cell r="G10">
            <v>519736.18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1301.33</v>
          </cell>
          <cell r="D11" t="str">
            <v xml:space="preserve"> </v>
          </cell>
          <cell r="E11">
            <v>4498</v>
          </cell>
          <cell r="F11">
            <v>3956</v>
          </cell>
          <cell r="G11">
            <v>1843.33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329994.94</v>
          </cell>
          <cell r="D12" t="str">
            <v xml:space="preserve"> </v>
          </cell>
          <cell r="E12">
            <v>1059411.1399999999</v>
          </cell>
          <cell r="F12">
            <v>1071917.99</v>
          </cell>
          <cell r="G12">
            <v>317488.09000000003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100234.66</v>
          </cell>
          <cell r="D13" t="str">
            <v xml:space="preserve"> </v>
          </cell>
          <cell r="E13">
            <v>500181.24</v>
          </cell>
          <cell r="F13">
            <v>400011.14</v>
          </cell>
          <cell r="G13">
            <v>200404.76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659400</v>
          </cell>
          <cell r="F14">
            <v>659400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659400</v>
          </cell>
          <cell r="F15">
            <v>659400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659400</v>
          </cell>
          <cell r="F16">
            <v>659400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173868.72</v>
          </cell>
          <cell r="D17" t="str">
            <v xml:space="preserve"> </v>
          </cell>
          <cell r="E17">
            <v>12355.78</v>
          </cell>
          <cell r="F17">
            <v>5697.89</v>
          </cell>
          <cell r="G17">
            <v>180526.61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5697.89</v>
          </cell>
          <cell r="F18">
            <v>5697.89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960</v>
          </cell>
          <cell r="D19" t="str">
            <v xml:space="preserve"> </v>
          </cell>
          <cell r="E19">
            <v>960</v>
          </cell>
          <cell r="F19">
            <v>0</v>
          </cell>
          <cell r="G19">
            <v>1920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172908.72</v>
          </cell>
          <cell r="D20" t="str">
            <v xml:space="preserve"> </v>
          </cell>
          <cell r="E20">
            <v>5697.89</v>
          </cell>
          <cell r="F20">
            <v>0</v>
          </cell>
          <cell r="G20">
            <v>178606.61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0</v>
          </cell>
          <cell r="D21" t="str">
            <v xml:space="preserve"> </v>
          </cell>
          <cell r="E21">
            <v>51498</v>
          </cell>
          <cell r="F21">
            <v>1498</v>
          </cell>
          <cell r="G21">
            <v>50000</v>
          </cell>
          <cell r="H21" t="str">
            <v xml:space="preserve"> </v>
          </cell>
        </row>
        <row r="22">
          <cell r="A22" t="str">
            <v>1106-009-000</v>
          </cell>
          <cell r="B22" t="str">
            <v>I</v>
          </cell>
          <cell r="C22">
            <v>0</v>
          </cell>
          <cell r="D22" t="str">
            <v xml:space="preserve"> </v>
          </cell>
          <cell r="E22">
            <v>51498</v>
          </cell>
          <cell r="F22">
            <v>1498</v>
          </cell>
          <cell r="G22">
            <v>50000</v>
          </cell>
          <cell r="H22" t="str">
            <v xml:space="preserve"> </v>
          </cell>
        </row>
        <row r="23">
          <cell r="A23" t="str">
            <v>1106-009-001</v>
          </cell>
          <cell r="B23" t="str">
            <v>Isaac Chavez</v>
          </cell>
          <cell r="C23">
            <v>0</v>
          </cell>
          <cell r="D23" t="str">
            <v xml:space="preserve"> </v>
          </cell>
          <cell r="E23">
            <v>51498</v>
          </cell>
          <cell r="F23">
            <v>1498</v>
          </cell>
          <cell r="G23">
            <v>50000</v>
          </cell>
          <cell r="H23" t="str">
            <v xml:space="preserve"> </v>
          </cell>
        </row>
        <row r="24">
          <cell r="A24" t="str">
            <v>1108-000-000</v>
          </cell>
          <cell r="B24" t="str">
            <v>Pagos Anticipados</v>
          </cell>
          <cell r="C24">
            <v>123.71</v>
          </cell>
          <cell r="D24" t="str">
            <v xml:space="preserve"> </v>
          </cell>
          <cell r="E24">
            <v>102.88</v>
          </cell>
          <cell r="F24">
            <v>0</v>
          </cell>
          <cell r="G24">
            <v>226.59</v>
          </cell>
          <cell r="H24" t="str">
            <v xml:space="preserve"> </v>
          </cell>
        </row>
        <row r="25">
          <cell r="A25" t="str">
            <v>1108-004-000</v>
          </cell>
          <cell r="B25" t="str">
            <v>Retención de ISR Bancaria</v>
          </cell>
          <cell r="C25">
            <v>123.49</v>
          </cell>
          <cell r="D25" t="str">
            <v xml:space="preserve"> </v>
          </cell>
          <cell r="E25">
            <v>102.88</v>
          </cell>
          <cell r="F25">
            <v>0</v>
          </cell>
          <cell r="G25">
            <v>226.37</v>
          </cell>
          <cell r="H25" t="str">
            <v xml:space="preserve"> </v>
          </cell>
        </row>
        <row r="26">
          <cell r="A26" t="str">
            <v>1108-005-000</v>
          </cell>
          <cell r="B26" t="str">
            <v>Subsidio al Empleo</v>
          </cell>
          <cell r="C26">
            <v>0.22</v>
          </cell>
          <cell r="D26" t="str">
            <v xml:space="preserve"> </v>
          </cell>
          <cell r="E26">
            <v>0</v>
          </cell>
          <cell r="F26">
            <v>0</v>
          </cell>
          <cell r="G26">
            <v>0.22</v>
          </cell>
          <cell r="H26" t="str">
            <v xml:space="preserve"> </v>
          </cell>
        </row>
        <row r="27">
          <cell r="A27" t="str">
            <v>1109-000-000</v>
          </cell>
          <cell r="B27" t="str">
            <v>Depositos en Garantia</v>
          </cell>
          <cell r="C27">
            <v>24000</v>
          </cell>
          <cell r="D27" t="str">
            <v xml:space="preserve"> </v>
          </cell>
          <cell r="E27">
            <v>0</v>
          </cell>
          <cell r="F27">
            <v>0</v>
          </cell>
          <cell r="G27">
            <v>24000</v>
          </cell>
          <cell r="H27" t="str">
            <v xml:space="preserve"> </v>
          </cell>
        </row>
        <row r="28">
          <cell r="A28" t="str">
            <v>1109-001-000</v>
          </cell>
          <cell r="B28" t="str">
            <v>Depositos en Garantia</v>
          </cell>
          <cell r="C28">
            <v>24000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24000</v>
          </cell>
          <cell r="H28" t="str">
            <v xml:space="preserve"> </v>
          </cell>
        </row>
        <row r="29">
          <cell r="A29" t="str">
            <v>1110-000-000</v>
          </cell>
          <cell r="B29" t="str">
            <v>Seguros Pagados por anticipado</v>
          </cell>
          <cell r="C29">
            <v>17088.46</v>
          </cell>
          <cell r="D29" t="str">
            <v xml:space="preserve"> </v>
          </cell>
          <cell r="E29">
            <v>0</v>
          </cell>
          <cell r="F29">
            <v>1553.49</v>
          </cell>
          <cell r="G29">
            <v>15534.97</v>
          </cell>
          <cell r="H29" t="str">
            <v xml:space="preserve"> </v>
          </cell>
        </row>
        <row r="30">
          <cell r="A30" t="str">
            <v>1110-001-000</v>
          </cell>
          <cell r="B30" t="str">
            <v>Seguro Gastos Medicos</v>
          </cell>
          <cell r="C30">
            <v>10096.700000000001</v>
          </cell>
          <cell r="D30" t="str">
            <v xml:space="preserve"> </v>
          </cell>
          <cell r="E30">
            <v>0</v>
          </cell>
          <cell r="F30">
            <v>917.88</v>
          </cell>
          <cell r="G30">
            <v>9178.82</v>
          </cell>
          <cell r="H30" t="str">
            <v xml:space="preserve"> </v>
          </cell>
        </row>
        <row r="31">
          <cell r="A31" t="str">
            <v>1110-002-000</v>
          </cell>
          <cell r="B31" t="str">
            <v>Seguro Local</v>
          </cell>
          <cell r="C31">
            <v>6991.76</v>
          </cell>
          <cell r="D31" t="str">
            <v xml:space="preserve"> </v>
          </cell>
          <cell r="E31">
            <v>0</v>
          </cell>
          <cell r="F31">
            <v>635.61</v>
          </cell>
          <cell r="G31">
            <v>6356.15</v>
          </cell>
          <cell r="H31" t="str">
            <v xml:space="preserve"> </v>
          </cell>
        </row>
        <row r="32">
          <cell r="A32" t="str">
            <v>1200-000-000</v>
          </cell>
          <cell r="B32" t="str">
            <v>ACTIVOS FIJOS</v>
          </cell>
          <cell r="C32">
            <v>133803.35</v>
          </cell>
          <cell r="D32" t="str">
            <v xml:space="preserve"> </v>
          </cell>
          <cell r="E32">
            <v>0</v>
          </cell>
          <cell r="F32">
            <v>2601.56</v>
          </cell>
          <cell r="G32">
            <v>131201.79</v>
          </cell>
          <cell r="H32" t="str">
            <v xml:space="preserve"> </v>
          </cell>
        </row>
        <row r="33">
          <cell r="A33" t="str">
            <v>1208-000-000</v>
          </cell>
          <cell r="B33" t="str">
            <v>Mobiliario y Eq de oficina</v>
          </cell>
          <cell r="C33">
            <v>94083.3</v>
          </cell>
          <cell r="D33" t="str">
            <v xml:space="preserve"> </v>
          </cell>
          <cell r="E33">
            <v>0</v>
          </cell>
          <cell r="F33">
            <v>0</v>
          </cell>
          <cell r="G33">
            <v>94083.3</v>
          </cell>
          <cell r="H33" t="str">
            <v xml:space="preserve"> </v>
          </cell>
        </row>
        <row r="34">
          <cell r="A34" t="str">
            <v>1208-001-000</v>
          </cell>
          <cell r="B34" t="str">
            <v>Mesa ejecutiva</v>
          </cell>
          <cell r="C34">
            <v>26207.61</v>
          </cell>
          <cell r="D34" t="str">
            <v xml:space="preserve"> </v>
          </cell>
          <cell r="E34">
            <v>0</v>
          </cell>
          <cell r="F34">
            <v>0</v>
          </cell>
          <cell r="G34">
            <v>26207.61</v>
          </cell>
          <cell r="H34" t="str">
            <v xml:space="preserve"> </v>
          </cell>
        </row>
        <row r="35">
          <cell r="A35" t="str">
            <v>1208-002-000</v>
          </cell>
          <cell r="B35" t="str">
            <v>Silla ejecutiva</v>
          </cell>
          <cell r="C35">
            <v>23407.759999999998</v>
          </cell>
          <cell r="D35" t="str">
            <v xml:space="preserve"> </v>
          </cell>
          <cell r="E35">
            <v>0</v>
          </cell>
          <cell r="F35">
            <v>0</v>
          </cell>
          <cell r="G35">
            <v>23407.759999999998</v>
          </cell>
          <cell r="H35" t="str">
            <v xml:space="preserve"> </v>
          </cell>
        </row>
        <row r="36">
          <cell r="A36" t="str">
            <v>1208-003-000</v>
          </cell>
          <cell r="B36" t="str">
            <v>Gabinete</v>
          </cell>
          <cell r="C36">
            <v>7500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7500</v>
          </cell>
          <cell r="H36" t="str">
            <v xml:space="preserve"> </v>
          </cell>
        </row>
        <row r="37">
          <cell r="A37" t="str">
            <v>1208-004-000</v>
          </cell>
          <cell r="B37" t="str">
            <v>Mesa de juntas</v>
          </cell>
          <cell r="C37">
            <v>8522.1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8522.1</v>
          </cell>
          <cell r="H37" t="str">
            <v xml:space="preserve"> </v>
          </cell>
        </row>
        <row r="38">
          <cell r="A38" t="str">
            <v>1208-005-000</v>
          </cell>
          <cell r="B38" t="str">
            <v>Calentador</v>
          </cell>
          <cell r="C38">
            <v>1415.23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1415.23</v>
          </cell>
          <cell r="H38" t="str">
            <v xml:space="preserve"> </v>
          </cell>
        </row>
        <row r="39">
          <cell r="A39" t="str">
            <v>1208-006-000</v>
          </cell>
          <cell r="B39" t="str">
            <v>Lámpara mesa</v>
          </cell>
          <cell r="C39">
            <v>11723.45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11723.45</v>
          </cell>
          <cell r="H39" t="str">
            <v xml:space="preserve"> </v>
          </cell>
        </row>
        <row r="40">
          <cell r="A40" t="str">
            <v>1208-007-000</v>
          </cell>
          <cell r="B40" t="str">
            <v>Sillón antenas piel vinil chocolate</v>
          </cell>
          <cell r="C40">
            <v>2113.79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2113.79</v>
          </cell>
          <cell r="H40" t="str">
            <v xml:space="preserve"> </v>
          </cell>
        </row>
        <row r="41">
          <cell r="A41" t="str">
            <v>1208-008-000</v>
          </cell>
          <cell r="B41" t="str">
            <v>Lámpara mesa</v>
          </cell>
          <cell r="C41">
            <v>12500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12500</v>
          </cell>
          <cell r="H41" t="str">
            <v xml:space="preserve"> </v>
          </cell>
        </row>
        <row r="42">
          <cell r="A42" t="str">
            <v>1208-009-000</v>
          </cell>
          <cell r="B42" t="str">
            <v>Comedor</v>
          </cell>
          <cell r="C42">
            <v>693.36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693.36</v>
          </cell>
          <cell r="H42" t="str">
            <v xml:space="preserve"> </v>
          </cell>
        </row>
        <row r="43">
          <cell r="A43" t="str">
            <v>1209-000-000</v>
          </cell>
          <cell r="B43" t="str">
            <v>Depreciacion acumulada Mob y Eq de oficina</v>
          </cell>
          <cell r="C43" t="str">
            <v xml:space="preserve"> </v>
          </cell>
          <cell r="D43">
            <v>9078.58</v>
          </cell>
          <cell r="E43">
            <v>0</v>
          </cell>
          <cell r="F43">
            <v>784.03</v>
          </cell>
          <cell r="G43" t="str">
            <v xml:space="preserve"> </v>
          </cell>
          <cell r="H43">
            <v>9862.61</v>
          </cell>
        </row>
        <row r="44">
          <cell r="A44" t="str">
            <v>1210-000-000</v>
          </cell>
          <cell r="B44" t="str">
            <v>Equipo de Computo</v>
          </cell>
          <cell r="C44">
            <v>72701.25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72701.25</v>
          </cell>
          <cell r="H44" t="str">
            <v xml:space="preserve"> </v>
          </cell>
        </row>
        <row r="45">
          <cell r="A45" t="str">
            <v>1210-001-000</v>
          </cell>
          <cell r="B45" t="str">
            <v>Computer Elite 8300</v>
          </cell>
          <cell r="C45">
            <v>49350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49350</v>
          </cell>
          <cell r="H45" t="str">
            <v xml:space="preserve"> </v>
          </cell>
        </row>
        <row r="46">
          <cell r="A46" t="str">
            <v>1210-002-000</v>
          </cell>
          <cell r="B46" t="str">
            <v>Multi Brother</v>
          </cell>
          <cell r="C46">
            <v>3188.79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3188.79</v>
          </cell>
          <cell r="H46" t="str">
            <v xml:space="preserve"> </v>
          </cell>
        </row>
        <row r="47">
          <cell r="A47" t="str">
            <v>1210-003-000</v>
          </cell>
          <cell r="B47" t="str">
            <v>Sony Video Projector</v>
          </cell>
          <cell r="C47">
            <v>9007.7999999999993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9007.7999999999993</v>
          </cell>
          <cell r="H47" t="str">
            <v xml:space="preserve"> </v>
          </cell>
        </row>
        <row r="48">
          <cell r="A48" t="str">
            <v>1210-004-000</v>
          </cell>
          <cell r="B48" t="str">
            <v>Epson Multifunctional  XP-211</v>
          </cell>
          <cell r="C48">
            <v>991.38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991.38</v>
          </cell>
          <cell r="H48" t="str">
            <v xml:space="preserve"> </v>
          </cell>
        </row>
        <row r="49">
          <cell r="A49" t="str">
            <v>1210-005-000</v>
          </cell>
          <cell r="B49" t="str">
            <v>Combo Inalam desktop 5000 usb</v>
          </cell>
          <cell r="C49">
            <v>922.41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922.41</v>
          </cell>
          <cell r="H49" t="str">
            <v xml:space="preserve"> </v>
          </cell>
        </row>
        <row r="50">
          <cell r="A50" t="str">
            <v>1210-012-000</v>
          </cell>
          <cell r="B50" t="str">
            <v>Laptop V5 Touch</v>
          </cell>
          <cell r="C50">
            <v>9240.8700000000008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9240.8700000000008</v>
          </cell>
          <cell r="H50" t="str">
            <v xml:space="preserve"> </v>
          </cell>
        </row>
        <row r="51">
          <cell r="A51" t="str">
            <v>1211-000-000</v>
          </cell>
          <cell r="B51" t="str">
            <v>Depreciacion acumulada Eq. de Computo</v>
          </cell>
          <cell r="C51" t="str">
            <v xml:space="preserve"> </v>
          </cell>
          <cell r="D51">
            <v>23902.62</v>
          </cell>
          <cell r="E51">
            <v>0</v>
          </cell>
          <cell r="F51">
            <v>1817.53</v>
          </cell>
          <cell r="G51" t="str">
            <v xml:space="preserve"> </v>
          </cell>
          <cell r="H51">
            <v>25720.15</v>
          </cell>
        </row>
        <row r="52">
          <cell r="A52" t="str">
            <v>0000-200-000</v>
          </cell>
          <cell r="B52" t="str">
            <v>PASIVOS</v>
          </cell>
          <cell r="C52" t="str">
            <v xml:space="preserve"> </v>
          </cell>
          <cell r="D52">
            <v>943853.65</v>
          </cell>
          <cell r="E52">
            <v>434303.36</v>
          </cell>
          <cell r="F52">
            <v>516833.07</v>
          </cell>
          <cell r="G52" t="str">
            <v xml:space="preserve"> </v>
          </cell>
          <cell r="H52">
            <v>1026383.36</v>
          </cell>
        </row>
        <row r="53">
          <cell r="A53" t="str">
            <v>2100-000-000</v>
          </cell>
          <cell r="B53" t="str">
            <v>PASIVO CIRCULANTE</v>
          </cell>
          <cell r="C53" t="str">
            <v xml:space="preserve"> </v>
          </cell>
          <cell r="D53">
            <v>943853.65</v>
          </cell>
          <cell r="E53">
            <v>434303.36</v>
          </cell>
          <cell r="F53">
            <v>516833.07</v>
          </cell>
          <cell r="G53" t="str">
            <v xml:space="preserve"> </v>
          </cell>
          <cell r="H53">
            <v>1026383.36</v>
          </cell>
        </row>
        <row r="54">
          <cell r="A54" t="str">
            <v>2103-000-000</v>
          </cell>
          <cell r="B54" t="str">
            <v>Proveedores</v>
          </cell>
          <cell r="C54" t="str">
            <v xml:space="preserve"> </v>
          </cell>
          <cell r="D54">
            <v>6960</v>
          </cell>
          <cell r="E54">
            <v>0</v>
          </cell>
          <cell r="F54">
            <v>6960</v>
          </cell>
          <cell r="G54" t="str">
            <v xml:space="preserve"> </v>
          </cell>
          <cell r="H54">
            <v>13920</v>
          </cell>
        </row>
        <row r="55">
          <cell r="A55" t="str">
            <v>2103-007-000</v>
          </cell>
          <cell r="B55" t="str">
            <v>G</v>
          </cell>
          <cell r="C55" t="str">
            <v xml:space="preserve"> </v>
          </cell>
          <cell r="D55">
            <v>6960</v>
          </cell>
          <cell r="E55">
            <v>0</v>
          </cell>
          <cell r="F55">
            <v>6960</v>
          </cell>
          <cell r="G55" t="str">
            <v xml:space="preserve"> </v>
          </cell>
          <cell r="H55">
            <v>13920</v>
          </cell>
        </row>
        <row r="56">
          <cell r="A56" t="str">
            <v>2103-007-001</v>
          </cell>
          <cell r="B56" t="str">
            <v>Galaz Yamazaki Ruiz Urquiza SC</v>
          </cell>
          <cell r="C56" t="str">
            <v xml:space="preserve"> </v>
          </cell>
          <cell r="D56">
            <v>6960</v>
          </cell>
          <cell r="E56">
            <v>0</v>
          </cell>
          <cell r="F56">
            <v>6960</v>
          </cell>
          <cell r="G56" t="str">
            <v xml:space="preserve"> </v>
          </cell>
          <cell r="H56">
            <v>13920</v>
          </cell>
        </row>
        <row r="57">
          <cell r="A57" t="str">
            <v>2106-000-000</v>
          </cell>
          <cell r="B57" t="str">
            <v>Acreedores Diversos</v>
          </cell>
          <cell r="C57" t="str">
            <v xml:space="preserve"> </v>
          </cell>
          <cell r="D57">
            <v>792004.3</v>
          </cell>
          <cell r="E57">
            <v>299456.40000000002</v>
          </cell>
          <cell r="F57">
            <v>299456.40000000002</v>
          </cell>
          <cell r="G57" t="str">
            <v xml:space="preserve"> </v>
          </cell>
          <cell r="H57">
            <v>792004.3</v>
          </cell>
        </row>
        <row r="58">
          <cell r="A58" t="str">
            <v>2106-001-000</v>
          </cell>
          <cell r="B58" t="str">
            <v>A</v>
          </cell>
          <cell r="C58" t="str">
            <v xml:space="preserve"> </v>
          </cell>
          <cell r="D58">
            <v>761024.3</v>
          </cell>
          <cell r="E58">
            <v>0</v>
          </cell>
          <cell r="F58">
            <v>0</v>
          </cell>
          <cell r="G58" t="str">
            <v xml:space="preserve"> </v>
          </cell>
          <cell r="H58">
            <v>761024.3</v>
          </cell>
        </row>
        <row r="59">
          <cell r="A59" t="str">
            <v>2106-001-001</v>
          </cell>
          <cell r="B59" t="str">
            <v>1A Auto Inc.</v>
          </cell>
          <cell r="C59" t="str">
            <v xml:space="preserve"> </v>
          </cell>
          <cell r="D59">
            <v>761024.3</v>
          </cell>
          <cell r="E59">
            <v>0</v>
          </cell>
          <cell r="F59">
            <v>0</v>
          </cell>
          <cell r="G59" t="str">
            <v xml:space="preserve"> </v>
          </cell>
          <cell r="H59">
            <v>761024.3</v>
          </cell>
        </row>
        <row r="60">
          <cell r="A60" t="str">
            <v>2106-017-000</v>
          </cell>
          <cell r="B60" t="str">
            <v>P</v>
          </cell>
          <cell r="C60" t="str">
            <v xml:space="preserve"> </v>
          </cell>
          <cell r="D60">
            <v>30980</v>
          </cell>
          <cell r="E60">
            <v>0</v>
          </cell>
          <cell r="F60">
            <v>0</v>
          </cell>
          <cell r="G60" t="str">
            <v xml:space="preserve"> </v>
          </cell>
          <cell r="H60">
            <v>30980</v>
          </cell>
        </row>
        <row r="61">
          <cell r="A61" t="str">
            <v>2106-017-002</v>
          </cell>
          <cell r="B61" t="str">
            <v>PTU</v>
          </cell>
          <cell r="C61" t="str">
            <v xml:space="preserve"> </v>
          </cell>
          <cell r="D61">
            <v>30980</v>
          </cell>
          <cell r="E61">
            <v>0</v>
          </cell>
          <cell r="F61">
            <v>0</v>
          </cell>
          <cell r="G61" t="str">
            <v xml:space="preserve"> </v>
          </cell>
          <cell r="H61">
            <v>30980</v>
          </cell>
        </row>
        <row r="62">
          <cell r="A62" t="str">
            <v>2106-023-000</v>
          </cell>
          <cell r="B62" t="str">
            <v>V</v>
          </cell>
          <cell r="C62" t="str">
            <v xml:space="preserve"> </v>
          </cell>
          <cell r="D62">
            <v>0</v>
          </cell>
          <cell r="E62">
            <v>19600</v>
          </cell>
          <cell r="F62">
            <v>19600</v>
          </cell>
          <cell r="G62" t="str">
            <v xml:space="preserve"> </v>
          </cell>
          <cell r="H62">
            <v>0</v>
          </cell>
        </row>
        <row r="63">
          <cell r="A63" t="str">
            <v>2106-023-001</v>
          </cell>
          <cell r="B63" t="str">
            <v>Vales de despensa</v>
          </cell>
          <cell r="C63" t="str">
            <v xml:space="preserve"> </v>
          </cell>
          <cell r="D63">
            <v>0</v>
          </cell>
          <cell r="E63">
            <v>12600</v>
          </cell>
          <cell r="F63">
            <v>12600</v>
          </cell>
          <cell r="G63" t="str">
            <v xml:space="preserve"> </v>
          </cell>
          <cell r="H63">
            <v>0</v>
          </cell>
        </row>
        <row r="64">
          <cell r="A64" t="str">
            <v>2106-023-002</v>
          </cell>
          <cell r="B64" t="str">
            <v>Vales de gasolina</v>
          </cell>
          <cell r="C64" t="str">
            <v xml:space="preserve"> </v>
          </cell>
          <cell r="D64">
            <v>0</v>
          </cell>
          <cell r="E64">
            <v>7000</v>
          </cell>
          <cell r="F64">
            <v>7000</v>
          </cell>
          <cell r="G64" t="str">
            <v xml:space="preserve"> </v>
          </cell>
          <cell r="H64">
            <v>0</v>
          </cell>
        </row>
        <row r="65">
          <cell r="A65" t="str">
            <v>2106-100-000</v>
          </cell>
          <cell r="B65" t="str">
            <v>Sueldos por pagar</v>
          </cell>
          <cell r="C65" t="str">
            <v xml:space="preserve"> </v>
          </cell>
          <cell r="D65">
            <v>0</v>
          </cell>
          <cell r="E65">
            <v>279856.40000000002</v>
          </cell>
          <cell r="F65">
            <v>279856.40000000002</v>
          </cell>
          <cell r="G65" t="str">
            <v xml:space="preserve"> </v>
          </cell>
          <cell r="H65">
            <v>0</v>
          </cell>
        </row>
        <row r="66">
          <cell r="A66" t="str">
            <v>2108-000-000</v>
          </cell>
          <cell r="B66" t="str">
            <v>Impuestos por pagar</v>
          </cell>
          <cell r="C66" t="str">
            <v xml:space="preserve"> </v>
          </cell>
          <cell r="D66">
            <v>144889.35</v>
          </cell>
          <cell r="E66">
            <v>134846.96</v>
          </cell>
          <cell r="F66">
            <v>210416.67</v>
          </cell>
          <cell r="G66" t="str">
            <v xml:space="preserve"> </v>
          </cell>
          <cell r="H66">
            <v>220459.06</v>
          </cell>
        </row>
        <row r="67">
          <cell r="A67" t="str">
            <v>2108-001-000</v>
          </cell>
          <cell r="B67" t="str">
            <v>ISPT</v>
          </cell>
          <cell r="C67" t="str">
            <v xml:space="preserve"> </v>
          </cell>
          <cell r="D67">
            <v>95860.21</v>
          </cell>
          <cell r="E67">
            <v>95860</v>
          </cell>
          <cell r="F67">
            <v>95860.44</v>
          </cell>
          <cell r="G67" t="str">
            <v xml:space="preserve"> </v>
          </cell>
          <cell r="H67">
            <v>95860.65</v>
          </cell>
        </row>
        <row r="68">
          <cell r="A68" t="str">
            <v>2108-002-000</v>
          </cell>
          <cell r="B68" t="str">
            <v>ISN</v>
          </cell>
          <cell r="C68" t="str">
            <v xml:space="preserve"> </v>
          </cell>
          <cell r="D68">
            <v>9424</v>
          </cell>
          <cell r="E68">
            <v>9424</v>
          </cell>
          <cell r="F68">
            <v>9307</v>
          </cell>
          <cell r="G68" t="str">
            <v xml:space="preserve"> </v>
          </cell>
          <cell r="H68">
            <v>9307</v>
          </cell>
        </row>
        <row r="69">
          <cell r="A69" t="str">
            <v>2108-003-000</v>
          </cell>
          <cell r="B69" t="str">
            <v>IMSS</v>
          </cell>
          <cell r="C69" t="str">
            <v xml:space="preserve"> </v>
          </cell>
          <cell r="D69">
            <v>29562.959999999999</v>
          </cell>
          <cell r="E69">
            <v>29562.959999999999</v>
          </cell>
          <cell r="F69">
            <v>26702.12</v>
          </cell>
          <cell r="G69" t="str">
            <v xml:space="preserve"> </v>
          </cell>
          <cell r="H69">
            <v>26702.12</v>
          </cell>
        </row>
        <row r="70">
          <cell r="A70" t="str">
            <v>2108-004-000</v>
          </cell>
          <cell r="B70" t="str">
            <v>INFONAVIT</v>
          </cell>
          <cell r="C70" t="str">
            <v xml:space="preserve"> </v>
          </cell>
          <cell r="D70">
            <v>0</v>
          </cell>
          <cell r="E70">
            <v>0</v>
          </cell>
          <cell r="F70">
            <v>30822.07</v>
          </cell>
          <cell r="G70" t="str">
            <v xml:space="preserve"> </v>
          </cell>
          <cell r="H70">
            <v>30822.07</v>
          </cell>
        </row>
        <row r="71">
          <cell r="A71" t="str">
            <v>2108-005-000</v>
          </cell>
          <cell r="B71" t="str">
            <v>SAR</v>
          </cell>
          <cell r="C71" t="str">
            <v xml:space="preserve"> </v>
          </cell>
          <cell r="D71">
            <v>0</v>
          </cell>
          <cell r="E71">
            <v>0</v>
          </cell>
          <cell r="F71">
            <v>38681.660000000003</v>
          </cell>
          <cell r="G71" t="str">
            <v xml:space="preserve"> </v>
          </cell>
          <cell r="H71">
            <v>38681.660000000003</v>
          </cell>
        </row>
        <row r="72">
          <cell r="A72" t="str">
            <v>2108-008-000</v>
          </cell>
          <cell r="B72" t="str">
            <v>ISPT Assimilated</v>
          </cell>
          <cell r="C72" t="str">
            <v xml:space="preserve"> </v>
          </cell>
          <cell r="D72">
            <v>-0.14000000000000001</v>
          </cell>
          <cell r="E72">
            <v>0</v>
          </cell>
          <cell r="F72">
            <v>0</v>
          </cell>
          <cell r="G72" t="str">
            <v xml:space="preserve"> </v>
          </cell>
          <cell r="H72">
            <v>-0.14000000000000001</v>
          </cell>
        </row>
        <row r="73">
          <cell r="A73" t="str">
            <v>2108-020-000</v>
          </cell>
          <cell r="B73" t="str">
            <v>Infonavit creditos</v>
          </cell>
          <cell r="C73" t="str">
            <v xml:space="preserve"> </v>
          </cell>
          <cell r="D73">
            <v>10042.32</v>
          </cell>
          <cell r="E73">
            <v>0</v>
          </cell>
          <cell r="F73">
            <v>9043.3799999999992</v>
          </cell>
          <cell r="G73" t="str">
            <v xml:space="preserve"> </v>
          </cell>
          <cell r="H73">
            <v>19085.7</v>
          </cell>
        </row>
        <row r="74">
          <cell r="A74" t="str">
            <v>0000-300-000</v>
          </cell>
          <cell r="B74" t="str">
            <v>CAPITAL</v>
          </cell>
          <cell r="C74" t="str">
            <v xml:space="preserve"> </v>
          </cell>
          <cell r="D74">
            <v>-221330.79</v>
          </cell>
          <cell r="E74">
            <v>0</v>
          </cell>
          <cell r="F74">
            <v>0</v>
          </cell>
          <cell r="G74" t="str">
            <v xml:space="preserve"> </v>
          </cell>
          <cell r="H74">
            <v>-221330.79</v>
          </cell>
        </row>
        <row r="75">
          <cell r="A75" t="str">
            <v>3100-000-000</v>
          </cell>
          <cell r="B75" t="str">
            <v>Aportaciones de Capital</v>
          </cell>
          <cell r="C75" t="str">
            <v xml:space="preserve"> </v>
          </cell>
          <cell r="D75">
            <v>3000</v>
          </cell>
          <cell r="E75">
            <v>0</v>
          </cell>
          <cell r="F75">
            <v>0</v>
          </cell>
          <cell r="G75" t="str">
            <v xml:space="preserve"> </v>
          </cell>
          <cell r="H75">
            <v>3000</v>
          </cell>
        </row>
        <row r="76">
          <cell r="A76" t="str">
            <v>3300-000-000</v>
          </cell>
          <cell r="B76" t="str">
            <v>Remanente de Ej anteriores</v>
          </cell>
          <cell r="C76" t="str">
            <v xml:space="preserve"> </v>
          </cell>
          <cell r="D76">
            <v>-224330.79</v>
          </cell>
          <cell r="E76">
            <v>0</v>
          </cell>
          <cell r="F76">
            <v>0</v>
          </cell>
          <cell r="G76" t="str">
            <v xml:space="preserve"> </v>
          </cell>
          <cell r="H76">
            <v>-224330.79</v>
          </cell>
        </row>
        <row r="77">
          <cell r="A77" t="str">
            <v>3300-001-000</v>
          </cell>
          <cell r="B77" t="str">
            <v>Resultado del Ejercicio 2013</v>
          </cell>
          <cell r="C77" t="str">
            <v xml:space="preserve"> </v>
          </cell>
          <cell r="D77">
            <v>-411059.15</v>
          </cell>
          <cell r="E77">
            <v>0</v>
          </cell>
          <cell r="F77">
            <v>0</v>
          </cell>
          <cell r="G77" t="str">
            <v xml:space="preserve"> </v>
          </cell>
          <cell r="H77">
            <v>-411059.15</v>
          </cell>
        </row>
        <row r="78">
          <cell r="A78" t="str">
            <v>3300-002-000</v>
          </cell>
          <cell r="B78" t="str">
            <v>Resultado del Ejercicio 2014</v>
          </cell>
          <cell r="C78" t="str">
            <v xml:space="preserve"> </v>
          </cell>
          <cell r="D78">
            <v>186728.36</v>
          </cell>
          <cell r="E78">
            <v>0</v>
          </cell>
          <cell r="F78">
            <v>0</v>
          </cell>
          <cell r="G78" t="str">
            <v xml:space="preserve"> </v>
          </cell>
          <cell r="H78">
            <v>186728.36</v>
          </cell>
        </row>
        <row r="79">
          <cell r="A79" t="str">
            <v>0000-400-000</v>
          </cell>
          <cell r="B79" t="str">
            <v>INGRESOS</v>
          </cell>
          <cell r="C79" t="str">
            <v xml:space="preserve"> </v>
          </cell>
          <cell r="D79">
            <v>571804.42000000004</v>
          </cell>
          <cell r="E79">
            <v>0</v>
          </cell>
          <cell r="F79">
            <v>659400</v>
          </cell>
          <cell r="G79" t="str">
            <v xml:space="preserve"> </v>
          </cell>
          <cell r="H79">
            <v>1231204.42</v>
          </cell>
        </row>
        <row r="80">
          <cell r="A80" t="str">
            <v>4100-002-000</v>
          </cell>
          <cell r="B80" t="str">
            <v>0% Ventas</v>
          </cell>
          <cell r="C80" t="str">
            <v xml:space="preserve"> </v>
          </cell>
          <cell r="D80">
            <v>571804.42000000004</v>
          </cell>
          <cell r="E80">
            <v>0</v>
          </cell>
          <cell r="F80">
            <v>659400</v>
          </cell>
          <cell r="G80" t="str">
            <v xml:space="preserve"> </v>
          </cell>
          <cell r="H80">
            <v>1231204.42</v>
          </cell>
        </row>
        <row r="81">
          <cell r="A81" t="str">
            <v>0000-500-000</v>
          </cell>
          <cell r="B81" t="str">
            <v>GASTOS</v>
          </cell>
          <cell r="C81">
            <v>514084.2</v>
          </cell>
          <cell r="D81" t="str">
            <v xml:space="preserve"> </v>
          </cell>
          <cell r="E81">
            <v>601408.77</v>
          </cell>
          <cell r="F81">
            <v>0</v>
          </cell>
          <cell r="G81">
            <v>1115492.97</v>
          </cell>
          <cell r="H81" t="str">
            <v xml:space="preserve"> </v>
          </cell>
        </row>
        <row r="82">
          <cell r="A82" t="str">
            <v>5200-000-000</v>
          </cell>
          <cell r="B82" t="str">
            <v>GASTOS DE NOMINA</v>
          </cell>
          <cell r="C82">
            <v>453670.88</v>
          </cell>
          <cell r="D82" t="str">
            <v xml:space="preserve"> </v>
          </cell>
          <cell r="E82">
            <v>510853.31</v>
          </cell>
          <cell r="F82">
            <v>0</v>
          </cell>
          <cell r="G82">
            <v>964524.19</v>
          </cell>
          <cell r="H82" t="str">
            <v xml:space="preserve"> </v>
          </cell>
        </row>
        <row r="83">
          <cell r="A83" t="str">
            <v>5200-001-000</v>
          </cell>
          <cell r="B83" t="str">
            <v>Sueldos</v>
          </cell>
          <cell r="C83">
            <v>366201.88</v>
          </cell>
          <cell r="D83" t="str">
            <v xml:space="preserve"> </v>
          </cell>
          <cell r="E83">
            <v>391397.97</v>
          </cell>
          <cell r="F83">
            <v>0</v>
          </cell>
          <cell r="G83">
            <v>757599.85</v>
          </cell>
          <cell r="H83" t="str">
            <v xml:space="preserve"> </v>
          </cell>
        </row>
        <row r="84">
          <cell r="A84" t="str">
            <v>5200-004-000</v>
          </cell>
          <cell r="B84" t="str">
            <v>Vales de despensa</v>
          </cell>
          <cell r="C84">
            <v>12600</v>
          </cell>
          <cell r="D84" t="str">
            <v xml:space="preserve"> </v>
          </cell>
          <cell r="E84">
            <v>12600</v>
          </cell>
          <cell r="F84">
            <v>0</v>
          </cell>
          <cell r="G84">
            <v>25200</v>
          </cell>
          <cell r="H84" t="str">
            <v xml:space="preserve"> </v>
          </cell>
        </row>
        <row r="85">
          <cell r="A85" t="str">
            <v>5200-007-000</v>
          </cell>
          <cell r="B85" t="str">
            <v>IMSS</v>
          </cell>
          <cell r="C85">
            <v>26018.92</v>
          </cell>
          <cell r="D85" t="str">
            <v xml:space="preserve"> </v>
          </cell>
          <cell r="E85">
            <v>18748.82</v>
          </cell>
          <cell r="F85">
            <v>0</v>
          </cell>
          <cell r="G85">
            <v>44767.74</v>
          </cell>
          <cell r="H85" t="str">
            <v xml:space="preserve"> </v>
          </cell>
        </row>
        <row r="86">
          <cell r="A86" t="str">
            <v>5200-008-000</v>
          </cell>
          <cell r="B86" t="str">
            <v>SAR</v>
          </cell>
          <cell r="C86">
            <v>0</v>
          </cell>
          <cell r="D86" t="str">
            <v xml:space="preserve"> </v>
          </cell>
          <cell r="E86">
            <v>38681.660000000003</v>
          </cell>
          <cell r="F86">
            <v>0</v>
          </cell>
          <cell r="G86">
            <v>38681.660000000003</v>
          </cell>
          <cell r="H86" t="str">
            <v xml:space="preserve"> </v>
          </cell>
        </row>
        <row r="87">
          <cell r="A87" t="str">
            <v>5200-009-000</v>
          </cell>
          <cell r="B87" t="str">
            <v>INFONAVIT</v>
          </cell>
          <cell r="C87">
            <v>0</v>
          </cell>
          <cell r="D87" t="str">
            <v xml:space="preserve"> </v>
          </cell>
          <cell r="E87">
            <v>30822.07</v>
          </cell>
          <cell r="F87">
            <v>0</v>
          </cell>
          <cell r="G87">
            <v>30822.07</v>
          </cell>
          <cell r="H87" t="str">
            <v xml:space="preserve"> </v>
          </cell>
        </row>
        <row r="88">
          <cell r="A88" t="str">
            <v>5200-010-000</v>
          </cell>
          <cell r="B88" t="str">
            <v>ISN</v>
          </cell>
          <cell r="C88">
            <v>9424</v>
          </cell>
          <cell r="D88" t="str">
            <v xml:space="preserve"> </v>
          </cell>
          <cell r="E88">
            <v>9307</v>
          </cell>
          <cell r="F88">
            <v>0</v>
          </cell>
          <cell r="G88">
            <v>18731</v>
          </cell>
          <cell r="H88" t="str">
            <v xml:space="preserve"> </v>
          </cell>
        </row>
        <row r="89">
          <cell r="A89" t="str">
            <v>5200-012-000</v>
          </cell>
          <cell r="B89" t="str">
            <v>Vacaciones</v>
          </cell>
          <cell r="C89">
            <v>26511.87</v>
          </cell>
          <cell r="D89" t="str">
            <v xml:space="preserve"> </v>
          </cell>
          <cell r="E89">
            <v>1315.79</v>
          </cell>
          <cell r="F89">
            <v>0</v>
          </cell>
          <cell r="G89">
            <v>27827.66</v>
          </cell>
          <cell r="H89" t="str">
            <v xml:space="preserve"> </v>
          </cell>
        </row>
        <row r="90">
          <cell r="A90" t="str">
            <v>5200-013-000</v>
          </cell>
          <cell r="B90" t="str">
            <v>Prima Vacacional</v>
          </cell>
          <cell r="C90">
            <v>4934.21</v>
          </cell>
          <cell r="D90" t="str">
            <v xml:space="preserve"> </v>
          </cell>
          <cell r="E90">
            <v>0</v>
          </cell>
          <cell r="F90">
            <v>0</v>
          </cell>
          <cell r="G90">
            <v>4934.21</v>
          </cell>
          <cell r="H90" t="str">
            <v xml:space="preserve"> </v>
          </cell>
        </row>
        <row r="91">
          <cell r="A91" t="str">
            <v>5200-021-000</v>
          </cell>
          <cell r="B91" t="str">
            <v>Comisiones Vales</v>
          </cell>
          <cell r="C91">
            <v>980</v>
          </cell>
          <cell r="D91" t="str">
            <v xml:space="preserve"> </v>
          </cell>
          <cell r="E91">
            <v>980</v>
          </cell>
          <cell r="F91">
            <v>0</v>
          </cell>
          <cell r="G91">
            <v>1960</v>
          </cell>
          <cell r="H91" t="str">
            <v xml:space="preserve"> </v>
          </cell>
        </row>
        <row r="92">
          <cell r="A92" t="str">
            <v>5200-027-000</v>
          </cell>
          <cell r="B92" t="str">
            <v>Vales de gasolina</v>
          </cell>
          <cell r="C92">
            <v>7000</v>
          </cell>
          <cell r="D92" t="str">
            <v xml:space="preserve"> </v>
          </cell>
          <cell r="E92">
            <v>7000</v>
          </cell>
          <cell r="F92">
            <v>0</v>
          </cell>
          <cell r="G92">
            <v>14000</v>
          </cell>
          <cell r="H92" t="str">
            <v xml:space="preserve"> </v>
          </cell>
        </row>
        <row r="93">
          <cell r="A93" t="str">
            <v>5300-000-000</v>
          </cell>
          <cell r="B93" t="str">
            <v>GASTOS DE ADMINISTRACION</v>
          </cell>
          <cell r="C93">
            <v>57811.76</v>
          </cell>
          <cell r="D93" t="str">
            <v xml:space="preserve"> </v>
          </cell>
          <cell r="E93">
            <v>86653.9</v>
          </cell>
          <cell r="F93">
            <v>0</v>
          </cell>
          <cell r="G93">
            <v>144465.66</v>
          </cell>
          <cell r="H93" t="str">
            <v xml:space="preserve"> </v>
          </cell>
        </row>
        <row r="94">
          <cell r="A94" t="str">
            <v>5300-003-000</v>
          </cell>
          <cell r="B94" t="str">
            <v>Eventos especiales</v>
          </cell>
          <cell r="C94">
            <v>924.67</v>
          </cell>
          <cell r="D94" t="str">
            <v xml:space="preserve"> </v>
          </cell>
          <cell r="E94">
            <v>6000</v>
          </cell>
          <cell r="F94">
            <v>0</v>
          </cell>
          <cell r="G94">
            <v>6924.67</v>
          </cell>
          <cell r="H94" t="str">
            <v xml:space="preserve"> </v>
          </cell>
        </row>
        <row r="95">
          <cell r="A95" t="str">
            <v>5300-004-000</v>
          </cell>
          <cell r="B95" t="str">
            <v>Consumo en Restaurantes</v>
          </cell>
          <cell r="C95">
            <v>0</v>
          </cell>
          <cell r="D95" t="str">
            <v xml:space="preserve"> </v>
          </cell>
          <cell r="E95">
            <v>25.57</v>
          </cell>
          <cell r="F95">
            <v>0</v>
          </cell>
          <cell r="G95">
            <v>25.57</v>
          </cell>
          <cell r="H95" t="str">
            <v xml:space="preserve"> </v>
          </cell>
        </row>
        <row r="96">
          <cell r="A96" t="str">
            <v>5300-006-000</v>
          </cell>
          <cell r="B96" t="str">
            <v>Comunicacion</v>
          </cell>
          <cell r="C96">
            <v>4256.88</v>
          </cell>
          <cell r="D96" t="str">
            <v xml:space="preserve"> </v>
          </cell>
          <cell r="E96">
            <v>3820.74</v>
          </cell>
          <cell r="F96">
            <v>0</v>
          </cell>
          <cell r="G96">
            <v>8077.62</v>
          </cell>
          <cell r="H96" t="str">
            <v xml:space="preserve"> </v>
          </cell>
        </row>
        <row r="97">
          <cell r="A97" t="str">
            <v>5300-007-000</v>
          </cell>
          <cell r="B97" t="str">
            <v>Honorarios</v>
          </cell>
          <cell r="C97">
            <v>6000</v>
          </cell>
          <cell r="D97" t="str">
            <v xml:space="preserve"> </v>
          </cell>
          <cell r="E97">
            <v>6000</v>
          </cell>
          <cell r="F97">
            <v>0</v>
          </cell>
          <cell r="G97">
            <v>12000</v>
          </cell>
          <cell r="H97" t="str">
            <v xml:space="preserve"> </v>
          </cell>
        </row>
        <row r="98">
          <cell r="A98" t="str">
            <v>5300-009-000</v>
          </cell>
          <cell r="B98" t="str">
            <v>Arrendamiento</v>
          </cell>
          <cell r="C98">
            <v>24000</v>
          </cell>
          <cell r="D98" t="str">
            <v xml:space="preserve"> </v>
          </cell>
          <cell r="E98">
            <v>24000</v>
          </cell>
          <cell r="F98">
            <v>0</v>
          </cell>
          <cell r="G98">
            <v>48000</v>
          </cell>
          <cell r="H98" t="str">
            <v xml:space="preserve"> </v>
          </cell>
        </row>
        <row r="99">
          <cell r="A99" t="str">
            <v>5300-013-000</v>
          </cell>
          <cell r="B99" t="str">
            <v>Seguros</v>
          </cell>
          <cell r="C99">
            <v>1553.49</v>
          </cell>
          <cell r="D99" t="str">
            <v xml:space="preserve"> </v>
          </cell>
          <cell r="E99">
            <v>1553.49</v>
          </cell>
          <cell r="F99">
            <v>0</v>
          </cell>
          <cell r="G99">
            <v>3106.98</v>
          </cell>
          <cell r="H99" t="str">
            <v xml:space="preserve"> </v>
          </cell>
        </row>
        <row r="100">
          <cell r="A100" t="str">
            <v>5300-017-000</v>
          </cell>
          <cell r="B100" t="str">
            <v>Luz</v>
          </cell>
          <cell r="C100">
            <v>0</v>
          </cell>
          <cell r="D100" t="str">
            <v xml:space="preserve"> </v>
          </cell>
          <cell r="E100">
            <v>3067.11</v>
          </cell>
          <cell r="F100">
            <v>0</v>
          </cell>
          <cell r="G100">
            <v>3067.11</v>
          </cell>
          <cell r="H100" t="str">
            <v xml:space="preserve"> </v>
          </cell>
        </row>
        <row r="101">
          <cell r="A101" t="str">
            <v>5300-018-000</v>
          </cell>
          <cell r="B101" t="str">
            <v>Gas Natural</v>
          </cell>
          <cell r="C101">
            <v>5996.26</v>
          </cell>
          <cell r="D101" t="str">
            <v xml:space="preserve"> </v>
          </cell>
          <cell r="E101">
            <v>0</v>
          </cell>
          <cell r="F101">
            <v>0</v>
          </cell>
          <cell r="G101">
            <v>5996.26</v>
          </cell>
          <cell r="H101" t="str">
            <v xml:space="preserve"> </v>
          </cell>
        </row>
        <row r="102">
          <cell r="A102" t="str">
            <v>5300-019-000</v>
          </cell>
          <cell r="B102" t="str">
            <v>Agua</v>
          </cell>
          <cell r="C102">
            <v>202.04</v>
          </cell>
          <cell r="D102" t="str">
            <v xml:space="preserve"> </v>
          </cell>
          <cell r="E102">
            <v>202.04</v>
          </cell>
          <cell r="F102">
            <v>0</v>
          </cell>
          <cell r="G102">
            <v>404.08</v>
          </cell>
          <cell r="H102" t="str">
            <v xml:space="preserve"> </v>
          </cell>
        </row>
        <row r="103">
          <cell r="A103" t="str">
            <v>5300-022-000</v>
          </cell>
          <cell r="B103" t="str">
            <v>Papeleria</v>
          </cell>
          <cell r="C103">
            <v>0</v>
          </cell>
          <cell r="D103" t="str">
            <v xml:space="preserve"> </v>
          </cell>
          <cell r="E103">
            <v>111.21</v>
          </cell>
          <cell r="F103">
            <v>0</v>
          </cell>
          <cell r="G103">
            <v>111.21</v>
          </cell>
          <cell r="H103" t="str">
            <v xml:space="preserve"> </v>
          </cell>
        </row>
        <row r="104">
          <cell r="A104" t="str">
            <v>5300-027-000</v>
          </cell>
          <cell r="B104" t="str">
            <v>Seguridad e Higiene</v>
          </cell>
          <cell r="C104">
            <v>2400</v>
          </cell>
          <cell r="D104" t="str">
            <v xml:space="preserve"> </v>
          </cell>
          <cell r="E104">
            <v>2400</v>
          </cell>
          <cell r="F104">
            <v>0</v>
          </cell>
          <cell r="G104">
            <v>4800</v>
          </cell>
          <cell r="H104" t="str">
            <v xml:space="preserve"> </v>
          </cell>
        </row>
        <row r="105">
          <cell r="A105" t="str">
            <v>5300-028-000</v>
          </cell>
          <cell r="B105" t="str">
            <v>Recolección de Basura</v>
          </cell>
          <cell r="C105">
            <v>134.4</v>
          </cell>
          <cell r="D105" t="str">
            <v xml:space="preserve"> </v>
          </cell>
          <cell r="E105">
            <v>134.4</v>
          </cell>
          <cell r="F105">
            <v>0</v>
          </cell>
          <cell r="G105">
            <v>268.8</v>
          </cell>
          <cell r="H105" t="str">
            <v xml:space="preserve"> </v>
          </cell>
        </row>
        <row r="106">
          <cell r="A106" t="str">
            <v>5300-029-000</v>
          </cell>
          <cell r="B106" t="str">
            <v>Sistemas de Alarma</v>
          </cell>
          <cell r="C106">
            <v>1350</v>
          </cell>
          <cell r="D106" t="str">
            <v xml:space="preserve"> </v>
          </cell>
          <cell r="E106">
            <v>0</v>
          </cell>
          <cell r="F106">
            <v>0</v>
          </cell>
          <cell r="G106">
            <v>1350</v>
          </cell>
          <cell r="H106" t="str">
            <v xml:space="preserve"> </v>
          </cell>
        </row>
        <row r="107">
          <cell r="A107" t="str">
            <v>5300-031-000</v>
          </cell>
          <cell r="B107" t="str">
            <v>Cuotas y Suscripciones</v>
          </cell>
          <cell r="C107">
            <v>180</v>
          </cell>
          <cell r="D107" t="str">
            <v xml:space="preserve"> </v>
          </cell>
          <cell r="E107">
            <v>0</v>
          </cell>
          <cell r="F107">
            <v>0</v>
          </cell>
          <cell r="G107">
            <v>180</v>
          </cell>
          <cell r="H107" t="str">
            <v xml:space="preserve"> </v>
          </cell>
        </row>
        <row r="108">
          <cell r="A108" t="str">
            <v>5300-032-000</v>
          </cell>
          <cell r="B108" t="str">
            <v>Otros impuestos y derechos</v>
          </cell>
          <cell r="C108">
            <v>5.83</v>
          </cell>
          <cell r="D108" t="str">
            <v xml:space="preserve"> </v>
          </cell>
          <cell r="E108">
            <v>0</v>
          </cell>
          <cell r="F108">
            <v>0</v>
          </cell>
          <cell r="G108">
            <v>5.83</v>
          </cell>
          <cell r="H108" t="str">
            <v xml:space="preserve"> </v>
          </cell>
        </row>
        <row r="109">
          <cell r="A109" t="str">
            <v>5300-035-000</v>
          </cell>
          <cell r="B109" t="str">
            <v>Mantenimiento Local</v>
          </cell>
          <cell r="C109">
            <v>8356.91</v>
          </cell>
          <cell r="D109" t="str">
            <v xml:space="preserve"> </v>
          </cell>
          <cell r="E109">
            <v>1000</v>
          </cell>
          <cell r="F109">
            <v>0</v>
          </cell>
          <cell r="G109">
            <v>9356.91</v>
          </cell>
          <cell r="H109" t="str">
            <v xml:space="preserve"> </v>
          </cell>
        </row>
        <row r="110">
          <cell r="A110" t="str">
            <v>5300-038-000</v>
          </cell>
          <cell r="B110" t="str">
            <v>No deducibles</v>
          </cell>
          <cell r="C110">
            <v>1867.02</v>
          </cell>
          <cell r="D110" t="str">
            <v xml:space="preserve"> </v>
          </cell>
          <cell r="E110">
            <v>38179.339999999997</v>
          </cell>
          <cell r="F110">
            <v>0</v>
          </cell>
          <cell r="G110">
            <v>40046.36</v>
          </cell>
          <cell r="H110" t="str">
            <v xml:space="preserve"> </v>
          </cell>
        </row>
        <row r="111">
          <cell r="A111" t="str">
            <v>5300-039-000</v>
          </cell>
          <cell r="B111" t="str">
            <v>Comisiones bancarias</v>
          </cell>
          <cell r="C111">
            <v>160</v>
          </cell>
          <cell r="D111" t="str">
            <v xml:space="preserve"> </v>
          </cell>
          <cell r="E111">
            <v>160</v>
          </cell>
          <cell r="F111">
            <v>0</v>
          </cell>
          <cell r="G111">
            <v>320</v>
          </cell>
          <cell r="H111" t="str">
            <v xml:space="preserve"> </v>
          </cell>
        </row>
        <row r="112">
          <cell r="A112" t="str">
            <v>5300-040-000</v>
          </cell>
          <cell r="B112" t="str">
            <v>Actualizacion de contribuciones</v>
          </cell>
          <cell r="C112">
            <v>119.96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119.96</v>
          </cell>
          <cell r="H112" t="str">
            <v xml:space="preserve"> </v>
          </cell>
        </row>
        <row r="113">
          <cell r="A113" t="str">
            <v>5300-041-000</v>
          </cell>
          <cell r="B113" t="str">
            <v>Recargos</v>
          </cell>
          <cell r="C113">
            <v>304.3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304.3</v>
          </cell>
          <cell r="H113" t="str">
            <v xml:space="preserve"> </v>
          </cell>
        </row>
        <row r="114">
          <cell r="A114" t="str">
            <v>5400-000-000</v>
          </cell>
          <cell r="B114" t="str">
            <v>GASTOS DE OPERACION</v>
          </cell>
          <cell r="C114">
            <v>2601.56</v>
          </cell>
          <cell r="D114" t="str">
            <v xml:space="preserve"> </v>
          </cell>
          <cell r="E114">
            <v>3901.56</v>
          </cell>
          <cell r="F114">
            <v>0</v>
          </cell>
          <cell r="G114">
            <v>6503.12</v>
          </cell>
          <cell r="H114" t="str">
            <v xml:space="preserve"> </v>
          </cell>
        </row>
        <row r="115">
          <cell r="A115" t="str">
            <v>5400-001-000</v>
          </cell>
          <cell r="B115" t="str">
            <v>Depreciacion acumulada</v>
          </cell>
          <cell r="C115">
            <v>2601.56</v>
          </cell>
          <cell r="D115" t="str">
            <v xml:space="preserve"> </v>
          </cell>
          <cell r="E115">
            <v>2601.56</v>
          </cell>
          <cell r="F115">
            <v>0</v>
          </cell>
          <cell r="G115">
            <v>5203.12</v>
          </cell>
          <cell r="H115" t="str">
            <v xml:space="preserve"> </v>
          </cell>
        </row>
        <row r="116">
          <cell r="A116" t="str">
            <v>5400-001-004</v>
          </cell>
          <cell r="B116" t="str">
            <v>Machinery &amp; Equipment accumulated depreciation</v>
          </cell>
          <cell r="C116">
            <v>784.03</v>
          </cell>
          <cell r="D116" t="str">
            <v xml:space="preserve"> </v>
          </cell>
          <cell r="E116">
            <v>784.03</v>
          </cell>
          <cell r="F116">
            <v>0</v>
          </cell>
          <cell r="G116">
            <v>1568.06</v>
          </cell>
          <cell r="H116" t="str">
            <v xml:space="preserve"> </v>
          </cell>
        </row>
        <row r="117">
          <cell r="A117" t="str">
            <v>5400-001-005</v>
          </cell>
          <cell r="B117" t="str">
            <v>Computer Equipment accumulated depreciation</v>
          </cell>
          <cell r="C117">
            <v>1817.53</v>
          </cell>
          <cell r="D117" t="str">
            <v xml:space="preserve"> </v>
          </cell>
          <cell r="E117">
            <v>1817.53</v>
          </cell>
          <cell r="F117">
            <v>0</v>
          </cell>
          <cell r="G117">
            <v>3635.06</v>
          </cell>
          <cell r="H117" t="str">
            <v xml:space="preserve"> </v>
          </cell>
        </row>
        <row r="118">
          <cell r="A118" t="str">
            <v>5400-038-000</v>
          </cell>
          <cell r="B118" t="str">
            <v>No Deducibles</v>
          </cell>
          <cell r="C118">
            <v>0</v>
          </cell>
          <cell r="D118" t="str">
            <v xml:space="preserve"> </v>
          </cell>
          <cell r="E118">
            <v>3.54</v>
          </cell>
          <cell r="F118">
            <v>0</v>
          </cell>
          <cell r="G118">
            <v>3.54</v>
          </cell>
          <cell r="H118" t="str">
            <v xml:space="preserve"> </v>
          </cell>
        </row>
        <row r="119">
          <cell r="A119" t="str">
            <v>5400-046-000</v>
          </cell>
          <cell r="B119" t="str">
            <v>Multas</v>
          </cell>
          <cell r="C119">
            <v>0</v>
          </cell>
          <cell r="D119" t="str">
            <v xml:space="preserve"> </v>
          </cell>
          <cell r="E119">
            <v>1296.46</v>
          </cell>
          <cell r="F119">
            <v>0</v>
          </cell>
          <cell r="G119">
            <v>1296.46</v>
          </cell>
          <cell r="H119" t="str">
            <v xml:space="preserve"> </v>
          </cell>
        </row>
        <row r="120">
          <cell r="A120" t="str">
            <v>0000-600-000</v>
          </cell>
          <cell r="B120" t="str">
            <v>CIF</v>
          </cell>
          <cell r="C120">
            <v>-172.09</v>
          </cell>
          <cell r="D120" t="str">
            <v xml:space="preserve"> </v>
          </cell>
          <cell r="E120">
            <v>0</v>
          </cell>
          <cell r="F120">
            <v>290.02999999999997</v>
          </cell>
          <cell r="G120">
            <v>-462.12</v>
          </cell>
          <cell r="H120" t="str">
            <v xml:space="preserve"> </v>
          </cell>
        </row>
        <row r="121">
          <cell r="A121" t="str">
            <v>6000-003-000</v>
          </cell>
          <cell r="B121" t="str">
            <v>Intereses Bancarios</v>
          </cell>
          <cell r="C121">
            <v>-172.32</v>
          </cell>
          <cell r="D121" t="str">
            <v xml:space="preserve"> </v>
          </cell>
          <cell r="E121">
            <v>0</v>
          </cell>
          <cell r="F121">
            <v>289.79000000000002</v>
          </cell>
          <cell r="G121">
            <v>-462.11</v>
          </cell>
          <cell r="H121" t="str">
            <v xml:space="preserve"> </v>
          </cell>
        </row>
        <row r="122">
          <cell r="A122" t="str">
            <v>6000-005-000</v>
          </cell>
          <cell r="B122" t="str">
            <v>Minor Dif</v>
          </cell>
          <cell r="C122">
            <v>0.23</v>
          </cell>
          <cell r="D122" t="str">
            <v xml:space="preserve"> </v>
          </cell>
          <cell r="E122">
            <v>0</v>
          </cell>
          <cell r="F122">
            <v>0.24</v>
          </cell>
          <cell r="G122">
            <v>-0.01</v>
          </cell>
          <cell r="H122" t="str">
            <v xml:space="preserve"> </v>
          </cell>
        </row>
        <row r="123">
          <cell r="A123" t="str">
            <v xml:space="preserve"> </v>
          </cell>
        </row>
        <row r="124">
          <cell r="B124" t="str">
            <v>Total cuentas no impresas</v>
          </cell>
          <cell r="C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 t="str">
            <v xml:space="preserve"> </v>
          </cell>
          <cell r="D125">
            <v>0</v>
          </cell>
          <cell r="H125">
            <v>0</v>
          </cell>
        </row>
        <row r="126">
          <cell r="A126" t="str">
            <v xml:space="preserve"> </v>
          </cell>
        </row>
        <row r="128">
          <cell r="B128" t="str">
            <v xml:space="preserve">Sumas Iguales: </v>
          </cell>
          <cell r="C128">
            <v>1327308.48</v>
          </cell>
          <cell r="E128">
            <v>3323159.17</v>
          </cell>
          <cell r="F128">
            <v>3323159.17</v>
          </cell>
          <cell r="G128">
            <v>2071839.75</v>
          </cell>
        </row>
        <row r="129">
          <cell r="D129">
            <v>1327308.48</v>
          </cell>
          <cell r="H129">
            <v>2071839.75</v>
          </cell>
        </row>
      </sheetData>
      <sheetData sheetId="46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31/Mar/2015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921226.14</v>
          </cell>
          <cell r="D8" t="str">
            <v xml:space="preserve"> </v>
          </cell>
          <cell r="E8">
            <v>1361399.72</v>
          </cell>
          <cell r="F8">
            <v>1400732.61</v>
          </cell>
          <cell r="G8">
            <v>881893.25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790024.35</v>
          </cell>
          <cell r="D9" t="str">
            <v xml:space="preserve"> </v>
          </cell>
          <cell r="E9">
            <v>1349616.1</v>
          </cell>
          <cell r="F9">
            <v>1398131.05</v>
          </cell>
          <cell r="G9">
            <v>741509.4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519736.18</v>
          </cell>
          <cell r="D10" t="str">
            <v xml:space="preserve"> </v>
          </cell>
          <cell r="E10">
            <v>636085.97</v>
          </cell>
          <cell r="F10">
            <v>698973.55</v>
          </cell>
          <cell r="G10">
            <v>456848.6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1843.33</v>
          </cell>
          <cell r="D11" t="str">
            <v xml:space="preserve"> </v>
          </cell>
          <cell r="E11">
            <v>30000</v>
          </cell>
          <cell r="F11">
            <v>18070.189999999999</v>
          </cell>
          <cell r="G11">
            <v>13773.14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317488.09000000003</v>
          </cell>
          <cell r="D12" t="str">
            <v xml:space="preserve"> </v>
          </cell>
          <cell r="E12">
            <v>605897.19999999995</v>
          </cell>
          <cell r="F12">
            <v>680903.36</v>
          </cell>
          <cell r="G12">
            <v>242481.93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200404.76</v>
          </cell>
          <cell r="D13" t="str">
            <v xml:space="preserve"> </v>
          </cell>
          <cell r="E13">
            <v>188.77</v>
          </cell>
          <cell r="F13">
            <v>0</v>
          </cell>
          <cell r="G13">
            <v>200593.53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605897.19999999995</v>
          </cell>
          <cell r="F14">
            <v>605897.19999999995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605897.19999999995</v>
          </cell>
          <cell r="F15">
            <v>605897.19999999995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605897.19999999995</v>
          </cell>
          <cell r="F16">
            <v>605897.19999999995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180526.61</v>
          </cell>
          <cell r="D17" t="str">
            <v xml:space="preserve"> </v>
          </cell>
          <cell r="E17">
            <v>32872.06</v>
          </cell>
          <cell r="F17">
            <v>15956.03</v>
          </cell>
          <cell r="G17">
            <v>197442.64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15956.03</v>
          </cell>
          <cell r="F18">
            <v>15956.03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1920</v>
          </cell>
          <cell r="D19" t="str">
            <v xml:space="preserve"> </v>
          </cell>
          <cell r="E19">
            <v>960</v>
          </cell>
          <cell r="F19">
            <v>0</v>
          </cell>
          <cell r="G19">
            <v>2880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178606.61</v>
          </cell>
          <cell r="D20" t="str">
            <v xml:space="preserve"> </v>
          </cell>
          <cell r="E20">
            <v>15956.03</v>
          </cell>
          <cell r="F20">
            <v>0</v>
          </cell>
          <cell r="G20">
            <v>194562.64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50000</v>
          </cell>
          <cell r="D21" t="str">
            <v xml:space="preserve"> </v>
          </cell>
          <cell r="E21">
            <v>24504.97</v>
          </cell>
          <cell r="F21">
            <v>71504.97</v>
          </cell>
          <cell r="G21">
            <v>3000</v>
          </cell>
          <cell r="H21" t="str">
            <v xml:space="preserve"> </v>
          </cell>
        </row>
        <row r="22">
          <cell r="A22" t="str">
            <v>1106-009-000</v>
          </cell>
          <cell r="B22" t="str">
            <v>I</v>
          </cell>
          <cell r="C22">
            <v>50000</v>
          </cell>
          <cell r="D22" t="str">
            <v xml:space="preserve"> </v>
          </cell>
          <cell r="E22">
            <v>21504.97</v>
          </cell>
          <cell r="F22">
            <v>71504.97</v>
          </cell>
          <cell r="G22">
            <v>0</v>
          </cell>
          <cell r="H22" t="str">
            <v xml:space="preserve"> </v>
          </cell>
        </row>
        <row r="23">
          <cell r="A23" t="str">
            <v>1106-009-001</v>
          </cell>
          <cell r="B23" t="str">
            <v>Isaac Chavez</v>
          </cell>
          <cell r="C23">
            <v>50000</v>
          </cell>
          <cell r="D23" t="str">
            <v xml:space="preserve"> </v>
          </cell>
          <cell r="E23">
            <v>21504.97</v>
          </cell>
          <cell r="F23">
            <v>71504.97</v>
          </cell>
          <cell r="G23">
            <v>0</v>
          </cell>
          <cell r="H23" t="str">
            <v xml:space="preserve"> </v>
          </cell>
        </row>
        <row r="24">
          <cell r="A24" t="str">
            <v>1106-019-000</v>
          </cell>
          <cell r="B24" t="str">
            <v>R</v>
          </cell>
          <cell r="C24">
            <v>0</v>
          </cell>
          <cell r="D24" t="str">
            <v xml:space="preserve"> </v>
          </cell>
          <cell r="E24">
            <v>3000</v>
          </cell>
          <cell r="F24">
            <v>0</v>
          </cell>
          <cell r="G24">
            <v>3000</v>
          </cell>
          <cell r="H24" t="str">
            <v xml:space="preserve"> </v>
          </cell>
        </row>
        <row r="25">
          <cell r="A25" t="str">
            <v>1106-019-001</v>
          </cell>
          <cell r="B25" t="str">
            <v>Raymundo</v>
          </cell>
          <cell r="C25">
            <v>0</v>
          </cell>
          <cell r="D25" t="str">
            <v xml:space="preserve"> </v>
          </cell>
          <cell r="E25">
            <v>3000</v>
          </cell>
          <cell r="F25">
            <v>0</v>
          </cell>
          <cell r="G25">
            <v>3000</v>
          </cell>
          <cell r="H25" t="str">
            <v xml:space="preserve"> </v>
          </cell>
        </row>
        <row r="26">
          <cell r="A26" t="str">
            <v>1108-000-000</v>
          </cell>
          <cell r="B26" t="str">
            <v>Pagos Anticipados</v>
          </cell>
          <cell r="C26">
            <v>226.59</v>
          </cell>
          <cell r="D26" t="str">
            <v xml:space="preserve"> </v>
          </cell>
          <cell r="E26">
            <v>170.24</v>
          </cell>
          <cell r="F26">
            <v>72</v>
          </cell>
          <cell r="G26">
            <v>324.83</v>
          </cell>
          <cell r="H26" t="str">
            <v xml:space="preserve"> </v>
          </cell>
        </row>
        <row r="27">
          <cell r="A27" t="str">
            <v>1108-004-000</v>
          </cell>
          <cell r="B27" t="str">
            <v>Retención de ISR Bancaria</v>
          </cell>
          <cell r="C27">
            <v>226.37</v>
          </cell>
          <cell r="D27" t="str">
            <v xml:space="preserve"> </v>
          </cell>
          <cell r="E27">
            <v>98.24</v>
          </cell>
          <cell r="F27">
            <v>72</v>
          </cell>
          <cell r="G27">
            <v>252.61</v>
          </cell>
          <cell r="H27" t="str">
            <v xml:space="preserve"> </v>
          </cell>
        </row>
        <row r="28">
          <cell r="A28" t="str">
            <v>1108-005-000</v>
          </cell>
          <cell r="B28" t="str">
            <v>Subsidio al Empleo</v>
          </cell>
          <cell r="C28">
            <v>0.22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0.22</v>
          </cell>
          <cell r="H28" t="str">
            <v xml:space="preserve"> </v>
          </cell>
        </row>
        <row r="29">
          <cell r="A29" t="str">
            <v>1108-006-000</v>
          </cell>
          <cell r="B29" t="str">
            <v>Saldo a Favor de ISR</v>
          </cell>
          <cell r="C29">
            <v>0</v>
          </cell>
          <cell r="D29" t="str">
            <v xml:space="preserve"> </v>
          </cell>
          <cell r="E29">
            <v>72</v>
          </cell>
          <cell r="F29">
            <v>0</v>
          </cell>
          <cell r="G29">
            <v>72</v>
          </cell>
          <cell r="H29" t="str">
            <v xml:space="preserve"> </v>
          </cell>
        </row>
        <row r="30">
          <cell r="A30" t="str">
            <v>1109-000-000</v>
          </cell>
          <cell r="B30" t="str">
            <v>Depositos en Garantia</v>
          </cell>
          <cell r="C30">
            <v>24000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24000</v>
          </cell>
          <cell r="H30" t="str">
            <v xml:space="preserve"> </v>
          </cell>
        </row>
        <row r="31">
          <cell r="A31" t="str">
            <v>1109-001-000</v>
          </cell>
          <cell r="B31" t="str">
            <v>Depositos en Garantia</v>
          </cell>
          <cell r="C31">
            <v>24000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24000</v>
          </cell>
          <cell r="H31" t="str">
            <v xml:space="preserve"> </v>
          </cell>
        </row>
        <row r="32">
          <cell r="A32" t="str">
            <v>1110-000-000</v>
          </cell>
          <cell r="B32" t="str">
            <v>Seguros Pagados por anticipado</v>
          </cell>
          <cell r="C32">
            <v>15534.97</v>
          </cell>
          <cell r="D32" t="str">
            <v xml:space="preserve"> </v>
          </cell>
          <cell r="E32">
            <v>50085.66</v>
          </cell>
          <cell r="F32">
            <v>5727.3</v>
          </cell>
          <cell r="G32">
            <v>59893.33</v>
          </cell>
          <cell r="H32" t="str">
            <v xml:space="preserve"> </v>
          </cell>
        </row>
        <row r="33">
          <cell r="A33" t="str">
            <v>1110-001-000</v>
          </cell>
          <cell r="B33" t="str">
            <v>Seguro Gastos Medicos</v>
          </cell>
          <cell r="C33">
            <v>9178.82</v>
          </cell>
          <cell r="D33" t="str">
            <v xml:space="preserve"> </v>
          </cell>
          <cell r="E33">
            <v>50085.66</v>
          </cell>
          <cell r="F33">
            <v>5091.6899999999996</v>
          </cell>
          <cell r="G33">
            <v>54172.79</v>
          </cell>
          <cell r="H33" t="str">
            <v xml:space="preserve"> </v>
          </cell>
        </row>
        <row r="34">
          <cell r="A34" t="str">
            <v>1110-002-000</v>
          </cell>
          <cell r="B34" t="str">
            <v>Seguro Local</v>
          </cell>
          <cell r="C34">
            <v>6356.15</v>
          </cell>
          <cell r="D34" t="str">
            <v xml:space="preserve"> </v>
          </cell>
          <cell r="E34">
            <v>0</v>
          </cell>
          <cell r="F34">
            <v>635.61</v>
          </cell>
          <cell r="G34">
            <v>5720.54</v>
          </cell>
          <cell r="H34" t="str">
            <v xml:space="preserve"> </v>
          </cell>
        </row>
        <row r="35">
          <cell r="A35" t="str">
            <v>1200-000-000</v>
          </cell>
          <cell r="B35" t="str">
            <v>ACTIVOS FIJOS</v>
          </cell>
          <cell r="C35">
            <v>131201.79</v>
          </cell>
          <cell r="D35" t="str">
            <v xml:space="preserve"> </v>
          </cell>
          <cell r="E35">
            <v>11783.62</v>
          </cell>
          <cell r="F35">
            <v>2601.56</v>
          </cell>
          <cell r="G35">
            <v>140383.85</v>
          </cell>
          <cell r="H35" t="str">
            <v xml:space="preserve"> </v>
          </cell>
        </row>
        <row r="36">
          <cell r="A36" t="str">
            <v>1208-000-000</v>
          </cell>
          <cell r="B36" t="str">
            <v>Mobiliario y Eq de oficina</v>
          </cell>
          <cell r="C36">
            <v>94083.3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94083.3</v>
          </cell>
          <cell r="H36" t="str">
            <v xml:space="preserve"> </v>
          </cell>
        </row>
        <row r="37">
          <cell r="A37" t="str">
            <v>1208-001-000</v>
          </cell>
          <cell r="B37" t="str">
            <v>Mesa ejecutiva</v>
          </cell>
          <cell r="C37">
            <v>26207.61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26207.61</v>
          </cell>
          <cell r="H37" t="str">
            <v xml:space="preserve"> </v>
          </cell>
        </row>
        <row r="38">
          <cell r="A38" t="str">
            <v>1208-002-000</v>
          </cell>
          <cell r="B38" t="str">
            <v>Silla ejecutiva</v>
          </cell>
          <cell r="C38">
            <v>23407.759999999998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23407.759999999998</v>
          </cell>
          <cell r="H38" t="str">
            <v xml:space="preserve"> </v>
          </cell>
        </row>
        <row r="39">
          <cell r="A39" t="str">
            <v>1208-003-000</v>
          </cell>
          <cell r="B39" t="str">
            <v>Gabinete</v>
          </cell>
          <cell r="C39">
            <v>7500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7500</v>
          </cell>
          <cell r="H39" t="str">
            <v xml:space="preserve"> </v>
          </cell>
        </row>
        <row r="40">
          <cell r="A40" t="str">
            <v>1208-004-000</v>
          </cell>
          <cell r="B40" t="str">
            <v>Mesa de juntas</v>
          </cell>
          <cell r="C40">
            <v>8522.1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8522.1</v>
          </cell>
          <cell r="H40" t="str">
            <v xml:space="preserve"> </v>
          </cell>
        </row>
        <row r="41">
          <cell r="A41" t="str">
            <v>1208-005-000</v>
          </cell>
          <cell r="B41" t="str">
            <v>Calentador</v>
          </cell>
          <cell r="C41">
            <v>1415.23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1415.23</v>
          </cell>
          <cell r="H41" t="str">
            <v xml:space="preserve"> </v>
          </cell>
        </row>
        <row r="42">
          <cell r="A42" t="str">
            <v>1208-006-000</v>
          </cell>
          <cell r="B42" t="str">
            <v>Lámpara mesa</v>
          </cell>
          <cell r="C42">
            <v>11723.45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11723.45</v>
          </cell>
          <cell r="H42" t="str">
            <v xml:space="preserve"> </v>
          </cell>
        </row>
        <row r="43">
          <cell r="A43" t="str">
            <v>1208-007-000</v>
          </cell>
          <cell r="B43" t="str">
            <v>Sillón antenas piel vinil chocolate</v>
          </cell>
          <cell r="C43">
            <v>2113.79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2113.79</v>
          </cell>
          <cell r="H43" t="str">
            <v xml:space="preserve"> </v>
          </cell>
        </row>
        <row r="44">
          <cell r="A44" t="str">
            <v>1208-008-000</v>
          </cell>
          <cell r="B44" t="str">
            <v>Lámpara mesa</v>
          </cell>
          <cell r="C44">
            <v>12500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12500</v>
          </cell>
          <cell r="H44" t="str">
            <v xml:space="preserve"> </v>
          </cell>
        </row>
        <row r="45">
          <cell r="A45" t="str">
            <v>1208-009-000</v>
          </cell>
          <cell r="B45" t="str">
            <v>Comedor</v>
          </cell>
          <cell r="C45">
            <v>693.36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693.36</v>
          </cell>
          <cell r="H45" t="str">
            <v xml:space="preserve"> </v>
          </cell>
        </row>
        <row r="46">
          <cell r="A46" t="str">
            <v>1209-000-000</v>
          </cell>
          <cell r="B46" t="str">
            <v>Depreciacion acumulada Mob y Eq de oficina</v>
          </cell>
          <cell r="C46" t="str">
            <v xml:space="preserve"> </v>
          </cell>
          <cell r="D46">
            <v>9862.61</v>
          </cell>
          <cell r="E46">
            <v>0</v>
          </cell>
          <cell r="F46">
            <v>784.03</v>
          </cell>
          <cell r="G46" t="str">
            <v xml:space="preserve"> </v>
          </cell>
          <cell r="H46">
            <v>10646.64</v>
          </cell>
        </row>
        <row r="47">
          <cell r="A47" t="str">
            <v>1210-000-000</v>
          </cell>
          <cell r="B47" t="str">
            <v>Equipo de Computo</v>
          </cell>
          <cell r="C47">
            <v>72701.25</v>
          </cell>
          <cell r="D47" t="str">
            <v xml:space="preserve"> </v>
          </cell>
          <cell r="E47">
            <v>11783.62</v>
          </cell>
          <cell r="F47">
            <v>0</v>
          </cell>
          <cell r="G47">
            <v>84484.87</v>
          </cell>
          <cell r="H47" t="str">
            <v xml:space="preserve"> </v>
          </cell>
        </row>
        <row r="48">
          <cell r="A48" t="str">
            <v>1210-001-000</v>
          </cell>
          <cell r="B48" t="str">
            <v>Computer Elite 8300</v>
          </cell>
          <cell r="C48">
            <v>49350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49350</v>
          </cell>
          <cell r="H48" t="str">
            <v xml:space="preserve"> </v>
          </cell>
        </row>
        <row r="49">
          <cell r="A49" t="str">
            <v>1210-002-000</v>
          </cell>
          <cell r="B49" t="str">
            <v>Multi Brother</v>
          </cell>
          <cell r="C49">
            <v>3188.79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3188.79</v>
          </cell>
          <cell r="H49" t="str">
            <v xml:space="preserve"> </v>
          </cell>
        </row>
        <row r="50">
          <cell r="A50" t="str">
            <v>1210-003-000</v>
          </cell>
          <cell r="B50" t="str">
            <v>Sony Video Projector</v>
          </cell>
          <cell r="C50">
            <v>9007.7999999999993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9007.7999999999993</v>
          </cell>
          <cell r="H50" t="str">
            <v xml:space="preserve"> </v>
          </cell>
        </row>
        <row r="51">
          <cell r="A51" t="str">
            <v>1210-004-000</v>
          </cell>
          <cell r="B51" t="str">
            <v>Epson Multifunctional  XP-211</v>
          </cell>
          <cell r="C51">
            <v>991.38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991.38</v>
          </cell>
          <cell r="H51" t="str">
            <v xml:space="preserve"> </v>
          </cell>
        </row>
        <row r="52">
          <cell r="A52" t="str">
            <v>1210-005-000</v>
          </cell>
          <cell r="B52" t="str">
            <v>Combo Inalam desktop 5000 usb</v>
          </cell>
          <cell r="C52">
            <v>922.41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922.41</v>
          </cell>
          <cell r="H52" t="str">
            <v xml:space="preserve"> </v>
          </cell>
        </row>
        <row r="53">
          <cell r="A53" t="str">
            <v>1210-012-000</v>
          </cell>
          <cell r="B53" t="str">
            <v>Laptop V5 Touch</v>
          </cell>
          <cell r="C53">
            <v>9240.8700000000008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9240.8700000000008</v>
          </cell>
          <cell r="H53" t="str">
            <v xml:space="preserve"> </v>
          </cell>
        </row>
        <row r="54">
          <cell r="A54" t="str">
            <v>1210-013-000</v>
          </cell>
          <cell r="B54" t="str">
            <v>Laptop Acer VN7-571 UMACKKLL 3</v>
          </cell>
          <cell r="C54">
            <v>0</v>
          </cell>
          <cell r="D54" t="str">
            <v xml:space="preserve"> </v>
          </cell>
          <cell r="E54">
            <v>11783.62</v>
          </cell>
          <cell r="F54">
            <v>0</v>
          </cell>
          <cell r="G54">
            <v>11783.62</v>
          </cell>
          <cell r="H54" t="str">
            <v xml:space="preserve"> </v>
          </cell>
        </row>
        <row r="55">
          <cell r="A55" t="str">
            <v>1211-000-000</v>
          </cell>
          <cell r="B55" t="str">
            <v>Depreciacion acumulada Eq. de Computo</v>
          </cell>
          <cell r="C55" t="str">
            <v xml:space="preserve"> </v>
          </cell>
          <cell r="D55">
            <v>25720.15</v>
          </cell>
          <cell r="E55">
            <v>0</v>
          </cell>
          <cell r="F55">
            <v>1817.53</v>
          </cell>
          <cell r="G55" t="str">
            <v xml:space="preserve"> </v>
          </cell>
          <cell r="H55">
            <v>27537.68</v>
          </cell>
        </row>
        <row r="56">
          <cell r="A56" t="str">
            <v>0000-200-000</v>
          </cell>
          <cell r="B56" t="str">
            <v>PASIVOS</v>
          </cell>
          <cell r="C56" t="str">
            <v xml:space="preserve"> </v>
          </cell>
          <cell r="D56">
            <v>1026383.36</v>
          </cell>
          <cell r="E56">
            <v>518392.35</v>
          </cell>
          <cell r="F56">
            <v>449338.25</v>
          </cell>
          <cell r="G56" t="str">
            <v xml:space="preserve"> </v>
          </cell>
          <cell r="H56">
            <v>957329.26</v>
          </cell>
        </row>
        <row r="57">
          <cell r="A57" t="str">
            <v>2100-000-000</v>
          </cell>
          <cell r="B57" t="str">
            <v>PASIVO CIRCULANTE</v>
          </cell>
          <cell r="C57" t="str">
            <v xml:space="preserve"> </v>
          </cell>
          <cell r="D57">
            <v>1026383.36</v>
          </cell>
          <cell r="E57">
            <v>518392.35</v>
          </cell>
          <cell r="F57">
            <v>449338.25</v>
          </cell>
          <cell r="G57" t="str">
            <v xml:space="preserve"> </v>
          </cell>
          <cell r="H57">
            <v>957329.26</v>
          </cell>
        </row>
        <row r="58">
          <cell r="A58" t="str">
            <v>2103-000-000</v>
          </cell>
          <cell r="B58" t="str">
            <v>Proveedores</v>
          </cell>
          <cell r="C58" t="str">
            <v xml:space="preserve"> </v>
          </cell>
          <cell r="D58">
            <v>13920</v>
          </cell>
          <cell r="E58">
            <v>0</v>
          </cell>
          <cell r="F58">
            <v>6960</v>
          </cell>
          <cell r="G58" t="str">
            <v xml:space="preserve"> </v>
          </cell>
          <cell r="H58">
            <v>20880</v>
          </cell>
        </row>
        <row r="59">
          <cell r="A59" t="str">
            <v>2103-007-000</v>
          </cell>
          <cell r="B59" t="str">
            <v>G</v>
          </cell>
          <cell r="C59" t="str">
            <v xml:space="preserve"> </v>
          </cell>
          <cell r="D59">
            <v>13920</v>
          </cell>
          <cell r="E59">
            <v>0</v>
          </cell>
          <cell r="F59">
            <v>6960</v>
          </cell>
          <cell r="G59" t="str">
            <v xml:space="preserve"> </v>
          </cell>
          <cell r="H59">
            <v>20880</v>
          </cell>
        </row>
        <row r="60">
          <cell r="A60" t="str">
            <v>2103-007-001</v>
          </cell>
          <cell r="B60" t="str">
            <v>Galaz Yamazaki Ruiz Urquiza SC</v>
          </cell>
          <cell r="C60" t="str">
            <v xml:space="preserve"> </v>
          </cell>
          <cell r="D60">
            <v>13920</v>
          </cell>
          <cell r="E60">
            <v>0</v>
          </cell>
          <cell r="F60">
            <v>6960</v>
          </cell>
          <cell r="G60" t="str">
            <v xml:space="preserve"> </v>
          </cell>
          <cell r="H60">
            <v>20880</v>
          </cell>
        </row>
        <row r="61">
          <cell r="A61" t="str">
            <v>2106-000-000</v>
          </cell>
          <cell r="B61" t="str">
            <v>Acreedores Diversos</v>
          </cell>
          <cell r="C61" t="str">
            <v xml:space="preserve"> </v>
          </cell>
          <cell r="D61">
            <v>792004.3</v>
          </cell>
          <cell r="E61">
            <v>297933.8</v>
          </cell>
          <cell r="F61">
            <v>297933.8</v>
          </cell>
          <cell r="G61" t="str">
            <v xml:space="preserve"> </v>
          </cell>
          <cell r="H61">
            <v>792004.3</v>
          </cell>
        </row>
        <row r="62">
          <cell r="A62" t="str">
            <v>2106-001-000</v>
          </cell>
          <cell r="B62" t="str">
            <v>A</v>
          </cell>
          <cell r="C62" t="str">
            <v xml:space="preserve"> </v>
          </cell>
          <cell r="D62">
            <v>761024.3</v>
          </cell>
          <cell r="E62">
            <v>0</v>
          </cell>
          <cell r="F62">
            <v>0</v>
          </cell>
          <cell r="G62" t="str">
            <v xml:space="preserve"> </v>
          </cell>
          <cell r="H62">
            <v>761024.3</v>
          </cell>
        </row>
        <row r="63">
          <cell r="A63" t="str">
            <v>2106-001-001</v>
          </cell>
          <cell r="B63" t="str">
            <v>1A Auto Inc.</v>
          </cell>
          <cell r="C63" t="str">
            <v xml:space="preserve"> </v>
          </cell>
          <cell r="D63">
            <v>761024.3</v>
          </cell>
          <cell r="E63">
            <v>0</v>
          </cell>
          <cell r="F63">
            <v>0</v>
          </cell>
          <cell r="G63" t="str">
            <v xml:space="preserve"> </v>
          </cell>
          <cell r="H63">
            <v>761024.3</v>
          </cell>
        </row>
        <row r="64">
          <cell r="A64" t="str">
            <v>2106-017-000</v>
          </cell>
          <cell r="B64" t="str">
            <v>P</v>
          </cell>
          <cell r="C64" t="str">
            <v xml:space="preserve"> </v>
          </cell>
          <cell r="D64">
            <v>30980</v>
          </cell>
          <cell r="E64">
            <v>0</v>
          </cell>
          <cell r="F64">
            <v>0</v>
          </cell>
          <cell r="G64" t="str">
            <v xml:space="preserve"> </v>
          </cell>
          <cell r="H64">
            <v>30980</v>
          </cell>
        </row>
        <row r="65">
          <cell r="A65" t="str">
            <v>2106-017-002</v>
          </cell>
          <cell r="B65" t="str">
            <v>PTU</v>
          </cell>
          <cell r="C65" t="str">
            <v xml:space="preserve"> </v>
          </cell>
          <cell r="D65">
            <v>30980</v>
          </cell>
          <cell r="E65">
            <v>0</v>
          </cell>
          <cell r="F65">
            <v>0</v>
          </cell>
          <cell r="G65" t="str">
            <v xml:space="preserve"> </v>
          </cell>
          <cell r="H65">
            <v>30980</v>
          </cell>
        </row>
        <row r="66">
          <cell r="A66" t="str">
            <v>2106-023-000</v>
          </cell>
          <cell r="B66" t="str">
            <v>V</v>
          </cell>
          <cell r="C66" t="str">
            <v xml:space="preserve"> </v>
          </cell>
          <cell r="D66">
            <v>0</v>
          </cell>
          <cell r="E66">
            <v>19600</v>
          </cell>
          <cell r="F66">
            <v>19600</v>
          </cell>
          <cell r="G66" t="str">
            <v xml:space="preserve"> </v>
          </cell>
          <cell r="H66">
            <v>0</v>
          </cell>
        </row>
        <row r="67">
          <cell r="A67" t="str">
            <v>2106-023-001</v>
          </cell>
          <cell r="B67" t="str">
            <v>Vales de despensa</v>
          </cell>
          <cell r="C67" t="str">
            <v xml:space="preserve"> </v>
          </cell>
          <cell r="D67">
            <v>0</v>
          </cell>
          <cell r="E67">
            <v>12600</v>
          </cell>
          <cell r="F67">
            <v>12600</v>
          </cell>
          <cell r="G67" t="str">
            <v xml:space="preserve"> </v>
          </cell>
          <cell r="H67">
            <v>0</v>
          </cell>
        </row>
        <row r="68">
          <cell r="A68" t="str">
            <v>2106-023-002</v>
          </cell>
          <cell r="B68" t="str">
            <v>Vales de gasolina</v>
          </cell>
          <cell r="C68" t="str">
            <v xml:space="preserve"> </v>
          </cell>
          <cell r="D68">
            <v>0</v>
          </cell>
          <cell r="E68">
            <v>7000</v>
          </cell>
          <cell r="F68">
            <v>7000</v>
          </cell>
          <cell r="G68" t="str">
            <v xml:space="preserve"> </v>
          </cell>
          <cell r="H68">
            <v>0</v>
          </cell>
        </row>
        <row r="69">
          <cell r="A69" t="str">
            <v>2106-100-000</v>
          </cell>
          <cell r="B69" t="str">
            <v>Sueldos por pagar</v>
          </cell>
          <cell r="C69" t="str">
            <v xml:space="preserve"> </v>
          </cell>
          <cell r="D69">
            <v>0</v>
          </cell>
          <cell r="E69">
            <v>278333.8</v>
          </cell>
          <cell r="F69">
            <v>278333.8</v>
          </cell>
          <cell r="G69" t="str">
            <v xml:space="preserve"> </v>
          </cell>
          <cell r="H69">
            <v>0</v>
          </cell>
        </row>
        <row r="70">
          <cell r="A70" t="str">
            <v>2108-000-000</v>
          </cell>
          <cell r="B70" t="str">
            <v>Impuestos por pagar</v>
          </cell>
          <cell r="C70" t="str">
            <v xml:space="preserve"> </v>
          </cell>
          <cell r="D70">
            <v>220459.06</v>
          </cell>
          <cell r="E70">
            <v>220458.55</v>
          </cell>
          <cell r="F70">
            <v>144444.45000000001</v>
          </cell>
          <cell r="G70" t="str">
            <v xml:space="preserve"> </v>
          </cell>
          <cell r="H70">
            <v>144444.96</v>
          </cell>
        </row>
        <row r="71">
          <cell r="A71" t="str">
            <v>2108-001-000</v>
          </cell>
          <cell r="B71" t="str">
            <v>ISPT</v>
          </cell>
          <cell r="C71" t="str">
            <v xml:space="preserve"> </v>
          </cell>
          <cell r="D71">
            <v>95860.65</v>
          </cell>
          <cell r="E71">
            <v>95860</v>
          </cell>
          <cell r="F71">
            <v>95860.44</v>
          </cell>
          <cell r="G71" t="str">
            <v xml:space="preserve"> </v>
          </cell>
          <cell r="H71">
            <v>95861.09</v>
          </cell>
        </row>
        <row r="72">
          <cell r="A72" t="str">
            <v>2108-002-000</v>
          </cell>
          <cell r="B72" t="str">
            <v>ISN</v>
          </cell>
          <cell r="C72" t="str">
            <v xml:space="preserve"> </v>
          </cell>
          <cell r="D72">
            <v>9307</v>
          </cell>
          <cell r="E72">
            <v>9307</v>
          </cell>
          <cell r="F72">
            <v>9307</v>
          </cell>
          <cell r="G72" t="str">
            <v xml:space="preserve"> </v>
          </cell>
          <cell r="H72">
            <v>9307</v>
          </cell>
        </row>
        <row r="73">
          <cell r="A73" t="str">
            <v>2108-003-000</v>
          </cell>
          <cell r="B73" t="str">
            <v>IMSS</v>
          </cell>
          <cell r="C73" t="str">
            <v xml:space="preserve"> </v>
          </cell>
          <cell r="D73">
            <v>26702.12</v>
          </cell>
          <cell r="E73">
            <v>26702.12</v>
          </cell>
          <cell r="F73">
            <v>29562.959999999999</v>
          </cell>
          <cell r="G73" t="str">
            <v xml:space="preserve"> </v>
          </cell>
          <cell r="H73">
            <v>29562.959999999999</v>
          </cell>
        </row>
        <row r="74">
          <cell r="A74" t="str">
            <v>2108-004-000</v>
          </cell>
          <cell r="B74" t="str">
            <v>INFONAVIT</v>
          </cell>
          <cell r="C74" t="str">
            <v xml:space="preserve"> </v>
          </cell>
          <cell r="D74">
            <v>30822.07</v>
          </cell>
          <cell r="E74">
            <v>30822.07</v>
          </cell>
          <cell r="F74">
            <v>0</v>
          </cell>
          <cell r="G74" t="str">
            <v xml:space="preserve"> </v>
          </cell>
          <cell r="H74">
            <v>0</v>
          </cell>
        </row>
        <row r="75">
          <cell r="A75" t="str">
            <v>2108-005-000</v>
          </cell>
          <cell r="B75" t="str">
            <v>SAR</v>
          </cell>
          <cell r="C75" t="str">
            <v xml:space="preserve"> </v>
          </cell>
          <cell r="D75">
            <v>38681.660000000003</v>
          </cell>
          <cell r="E75">
            <v>38681.660000000003</v>
          </cell>
          <cell r="F75">
            <v>0</v>
          </cell>
          <cell r="G75" t="str">
            <v xml:space="preserve"> </v>
          </cell>
          <cell r="H75">
            <v>0</v>
          </cell>
        </row>
        <row r="76">
          <cell r="A76" t="str">
            <v>2108-008-000</v>
          </cell>
          <cell r="B76" t="str">
            <v>ISPT Assimilated</v>
          </cell>
          <cell r="C76" t="str">
            <v xml:space="preserve"> </v>
          </cell>
          <cell r="D76">
            <v>-0.14000000000000001</v>
          </cell>
          <cell r="E76">
            <v>0</v>
          </cell>
          <cell r="F76">
            <v>0</v>
          </cell>
          <cell r="G76" t="str">
            <v xml:space="preserve"> </v>
          </cell>
          <cell r="H76">
            <v>-0.14000000000000001</v>
          </cell>
        </row>
        <row r="77">
          <cell r="A77" t="str">
            <v>2108-020-000</v>
          </cell>
          <cell r="B77" t="str">
            <v>Infonavit creditos</v>
          </cell>
          <cell r="C77" t="str">
            <v xml:space="preserve"> </v>
          </cell>
          <cell r="D77">
            <v>19085.7</v>
          </cell>
          <cell r="E77">
            <v>19085.7</v>
          </cell>
          <cell r="F77">
            <v>9714.0499999999993</v>
          </cell>
          <cell r="G77" t="str">
            <v xml:space="preserve"> </v>
          </cell>
          <cell r="H77">
            <v>9714.0499999999993</v>
          </cell>
        </row>
        <row r="78">
          <cell r="A78" t="str">
            <v>0000-300-000</v>
          </cell>
          <cell r="B78" t="str">
            <v>CAPITAL</v>
          </cell>
          <cell r="C78" t="str">
            <v xml:space="preserve"> </v>
          </cell>
          <cell r="D78">
            <v>-221330.79</v>
          </cell>
          <cell r="E78">
            <v>0</v>
          </cell>
          <cell r="F78">
            <v>0</v>
          </cell>
          <cell r="G78" t="str">
            <v xml:space="preserve"> </v>
          </cell>
          <cell r="H78">
            <v>-221330.79</v>
          </cell>
        </row>
        <row r="79">
          <cell r="A79" t="str">
            <v>3100-000-000</v>
          </cell>
          <cell r="B79" t="str">
            <v>Aportaciones de Capital</v>
          </cell>
          <cell r="C79" t="str">
            <v xml:space="preserve"> </v>
          </cell>
          <cell r="D79">
            <v>3000</v>
          </cell>
          <cell r="E79">
            <v>0</v>
          </cell>
          <cell r="F79">
            <v>0</v>
          </cell>
          <cell r="G79" t="str">
            <v xml:space="preserve"> </v>
          </cell>
          <cell r="H79">
            <v>3000</v>
          </cell>
        </row>
        <row r="80">
          <cell r="A80" t="str">
            <v>3300-000-000</v>
          </cell>
          <cell r="B80" t="str">
            <v>Remanente de Ej anteriores</v>
          </cell>
          <cell r="C80" t="str">
            <v xml:space="preserve"> </v>
          </cell>
          <cell r="D80">
            <v>-224330.79</v>
          </cell>
          <cell r="E80">
            <v>0</v>
          </cell>
          <cell r="F80">
            <v>0</v>
          </cell>
          <cell r="G80" t="str">
            <v xml:space="preserve"> </v>
          </cell>
          <cell r="H80">
            <v>-224330.79</v>
          </cell>
        </row>
        <row r="81">
          <cell r="A81" t="str">
            <v>3300-001-000</v>
          </cell>
          <cell r="B81" t="str">
            <v>Resultado del Ejercicio 2013</v>
          </cell>
          <cell r="C81" t="str">
            <v xml:space="preserve"> </v>
          </cell>
          <cell r="D81">
            <v>-411059.15</v>
          </cell>
          <cell r="E81">
            <v>0</v>
          </cell>
          <cell r="F81">
            <v>0</v>
          </cell>
          <cell r="G81" t="str">
            <v xml:space="preserve"> </v>
          </cell>
          <cell r="H81">
            <v>-411059.15</v>
          </cell>
        </row>
        <row r="82">
          <cell r="A82" t="str">
            <v>3300-002-000</v>
          </cell>
          <cell r="B82" t="str">
            <v>Resultado del Ejercicio 2014</v>
          </cell>
          <cell r="C82" t="str">
            <v xml:space="preserve"> </v>
          </cell>
          <cell r="D82">
            <v>186728.36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186728.36</v>
          </cell>
        </row>
        <row r="83">
          <cell r="A83" t="str">
            <v>0000-400-000</v>
          </cell>
          <cell r="B83" t="str">
            <v>INGRESOS</v>
          </cell>
          <cell r="C83" t="str">
            <v xml:space="preserve"> </v>
          </cell>
          <cell r="D83">
            <v>1231204.42</v>
          </cell>
          <cell r="E83">
            <v>0</v>
          </cell>
          <cell r="F83">
            <v>605950.75</v>
          </cell>
          <cell r="G83" t="str">
            <v xml:space="preserve"> </v>
          </cell>
          <cell r="H83">
            <v>1837155.17</v>
          </cell>
        </row>
        <row r="84">
          <cell r="A84" t="str">
            <v>4100-002-000</v>
          </cell>
          <cell r="B84" t="str">
            <v>0% Ventas</v>
          </cell>
          <cell r="C84" t="str">
            <v xml:space="preserve"> </v>
          </cell>
          <cell r="D84">
            <v>1231204.42</v>
          </cell>
          <cell r="E84">
            <v>0</v>
          </cell>
          <cell r="F84">
            <v>605897.19999999995</v>
          </cell>
          <cell r="G84" t="str">
            <v xml:space="preserve"> </v>
          </cell>
          <cell r="H84">
            <v>1837101.62</v>
          </cell>
        </row>
        <row r="85">
          <cell r="A85" t="str">
            <v>4100-006-000</v>
          </cell>
          <cell r="B85" t="str">
            <v>Desc sobre Compras</v>
          </cell>
          <cell r="C85" t="str">
            <v xml:space="preserve"> </v>
          </cell>
          <cell r="D85">
            <v>0</v>
          </cell>
          <cell r="E85">
            <v>0</v>
          </cell>
          <cell r="F85">
            <v>53.55</v>
          </cell>
          <cell r="G85" t="str">
            <v xml:space="preserve"> </v>
          </cell>
          <cell r="H85">
            <v>53.55</v>
          </cell>
        </row>
        <row r="86">
          <cell r="A86" t="str">
            <v>0000-500-000</v>
          </cell>
          <cell r="B86" t="str">
            <v>GASTOS</v>
          </cell>
          <cell r="C86">
            <v>1115492.97</v>
          </cell>
          <cell r="D86" t="str">
            <v xml:space="preserve"> </v>
          </cell>
          <cell r="E86">
            <v>574685.41</v>
          </cell>
          <cell r="F86">
            <v>0</v>
          </cell>
          <cell r="G86">
            <v>1690178.38</v>
          </cell>
          <cell r="H86" t="str">
            <v xml:space="preserve"> </v>
          </cell>
        </row>
        <row r="87">
          <cell r="A87" t="str">
            <v>5200-000-000</v>
          </cell>
          <cell r="B87" t="str">
            <v>GASTOS DE NOMINA</v>
          </cell>
          <cell r="C87">
            <v>964524.19</v>
          </cell>
          <cell r="D87" t="str">
            <v xml:space="preserve"> </v>
          </cell>
          <cell r="E87">
            <v>443358.21</v>
          </cell>
          <cell r="F87">
            <v>0</v>
          </cell>
          <cell r="G87">
            <v>1407882.4</v>
          </cell>
          <cell r="H87" t="str">
            <v xml:space="preserve"> </v>
          </cell>
        </row>
        <row r="88">
          <cell r="A88" t="str">
            <v>5200-001-000</v>
          </cell>
          <cell r="B88" t="str">
            <v>Sueldos</v>
          </cell>
          <cell r="C88">
            <v>757599.85</v>
          </cell>
          <cell r="D88" t="str">
            <v xml:space="preserve"> </v>
          </cell>
          <cell r="E88">
            <v>391397.97</v>
          </cell>
          <cell r="F88">
            <v>0</v>
          </cell>
          <cell r="G88">
            <v>1148997.82</v>
          </cell>
          <cell r="H88" t="str">
            <v xml:space="preserve"> </v>
          </cell>
        </row>
        <row r="89">
          <cell r="A89" t="str">
            <v>5200-004-000</v>
          </cell>
          <cell r="B89" t="str">
            <v>Vales de despensa</v>
          </cell>
          <cell r="C89">
            <v>25200</v>
          </cell>
          <cell r="D89" t="str">
            <v xml:space="preserve"> </v>
          </cell>
          <cell r="E89">
            <v>12600</v>
          </cell>
          <cell r="F89">
            <v>0</v>
          </cell>
          <cell r="G89">
            <v>37800</v>
          </cell>
          <cell r="H89" t="str">
            <v xml:space="preserve"> </v>
          </cell>
        </row>
        <row r="90">
          <cell r="A90" t="str">
            <v>5200-007-000</v>
          </cell>
          <cell r="B90" t="str">
            <v>IMSS</v>
          </cell>
          <cell r="C90">
            <v>44767.74</v>
          </cell>
          <cell r="D90" t="str">
            <v xml:space="preserve"> </v>
          </cell>
          <cell r="E90">
            <v>20757.45</v>
          </cell>
          <cell r="F90">
            <v>0</v>
          </cell>
          <cell r="G90">
            <v>65525.19</v>
          </cell>
          <cell r="H90" t="str">
            <v xml:space="preserve"> </v>
          </cell>
        </row>
        <row r="91">
          <cell r="A91" t="str">
            <v>5200-008-000</v>
          </cell>
          <cell r="B91" t="str">
            <v>SAR</v>
          </cell>
          <cell r="C91">
            <v>38681.660000000003</v>
          </cell>
          <cell r="D91" t="str">
            <v xml:space="preserve"> </v>
          </cell>
          <cell r="E91">
            <v>0</v>
          </cell>
          <cell r="F91">
            <v>0</v>
          </cell>
          <cell r="G91">
            <v>38681.660000000003</v>
          </cell>
          <cell r="H91" t="str">
            <v xml:space="preserve"> </v>
          </cell>
        </row>
        <row r="92">
          <cell r="A92" t="str">
            <v>5200-009-000</v>
          </cell>
          <cell r="B92" t="str">
            <v>INFONAVIT</v>
          </cell>
          <cell r="C92">
            <v>30822.07</v>
          </cell>
          <cell r="D92" t="str">
            <v xml:space="preserve"> </v>
          </cell>
          <cell r="E92">
            <v>0</v>
          </cell>
          <cell r="F92">
            <v>0</v>
          </cell>
          <cell r="G92">
            <v>30822.07</v>
          </cell>
          <cell r="H92" t="str">
            <v xml:space="preserve"> </v>
          </cell>
        </row>
        <row r="93">
          <cell r="A93" t="str">
            <v>5200-010-000</v>
          </cell>
          <cell r="B93" t="str">
            <v>ISN</v>
          </cell>
          <cell r="C93">
            <v>18731</v>
          </cell>
          <cell r="D93" t="str">
            <v xml:space="preserve"> </v>
          </cell>
          <cell r="E93">
            <v>9307</v>
          </cell>
          <cell r="F93">
            <v>0</v>
          </cell>
          <cell r="G93">
            <v>28038</v>
          </cell>
          <cell r="H93" t="str">
            <v xml:space="preserve"> </v>
          </cell>
        </row>
        <row r="94">
          <cell r="A94" t="str">
            <v>5200-012-000</v>
          </cell>
          <cell r="B94" t="str">
            <v>Vacaciones</v>
          </cell>
          <cell r="C94">
            <v>27827.66</v>
          </cell>
          <cell r="D94" t="str">
            <v xml:space="preserve"> </v>
          </cell>
          <cell r="E94">
            <v>1315.79</v>
          </cell>
          <cell r="F94">
            <v>0</v>
          </cell>
          <cell r="G94">
            <v>29143.45</v>
          </cell>
          <cell r="H94" t="str">
            <v xml:space="preserve"> </v>
          </cell>
        </row>
        <row r="95">
          <cell r="A95" t="str">
            <v>5200-013-000</v>
          </cell>
          <cell r="B95" t="str">
            <v>Prima Vacacional</v>
          </cell>
          <cell r="C95">
            <v>4934.21</v>
          </cell>
          <cell r="D95" t="str">
            <v xml:space="preserve"> </v>
          </cell>
          <cell r="E95">
            <v>0</v>
          </cell>
          <cell r="F95">
            <v>0</v>
          </cell>
          <cell r="G95">
            <v>4934.21</v>
          </cell>
          <cell r="H95" t="str">
            <v xml:space="preserve"> </v>
          </cell>
        </row>
        <row r="96">
          <cell r="A96" t="str">
            <v>5200-021-000</v>
          </cell>
          <cell r="B96" t="str">
            <v>Comisiones Vales</v>
          </cell>
          <cell r="C96">
            <v>1960</v>
          </cell>
          <cell r="D96" t="str">
            <v xml:space="preserve"> </v>
          </cell>
          <cell r="E96">
            <v>980</v>
          </cell>
          <cell r="F96">
            <v>0</v>
          </cell>
          <cell r="G96">
            <v>2940</v>
          </cell>
          <cell r="H96" t="str">
            <v xml:space="preserve"> </v>
          </cell>
        </row>
        <row r="97">
          <cell r="A97" t="str">
            <v>5200-027-000</v>
          </cell>
          <cell r="B97" t="str">
            <v>Vales de gasolina</v>
          </cell>
          <cell r="C97">
            <v>14000</v>
          </cell>
          <cell r="D97" t="str">
            <v xml:space="preserve"> </v>
          </cell>
          <cell r="E97">
            <v>7000</v>
          </cell>
          <cell r="F97">
            <v>0</v>
          </cell>
          <cell r="G97">
            <v>21000</v>
          </cell>
          <cell r="H97" t="str">
            <v xml:space="preserve"> </v>
          </cell>
        </row>
        <row r="98">
          <cell r="A98" t="str">
            <v>5300-000-000</v>
          </cell>
          <cell r="B98" t="str">
            <v>GASTOS DE ADMINISTRACION</v>
          </cell>
          <cell r="C98">
            <v>144465.66</v>
          </cell>
          <cell r="D98" t="str">
            <v xml:space="preserve"> </v>
          </cell>
          <cell r="E98">
            <v>128725.64</v>
          </cell>
          <cell r="F98">
            <v>0</v>
          </cell>
          <cell r="G98">
            <v>273191.3</v>
          </cell>
          <cell r="H98" t="str">
            <v xml:space="preserve"> </v>
          </cell>
        </row>
        <row r="99">
          <cell r="A99" t="str">
            <v>5300-002-000</v>
          </cell>
          <cell r="B99" t="str">
            <v>Gastos de viaje</v>
          </cell>
          <cell r="C99">
            <v>0</v>
          </cell>
          <cell r="D99" t="str">
            <v xml:space="preserve"> </v>
          </cell>
          <cell r="E99">
            <v>70663.240000000005</v>
          </cell>
          <cell r="F99">
            <v>0</v>
          </cell>
          <cell r="G99">
            <v>70663.240000000005</v>
          </cell>
          <cell r="H99" t="str">
            <v xml:space="preserve"> </v>
          </cell>
        </row>
        <row r="100">
          <cell r="A100" t="str">
            <v>5300-003-000</v>
          </cell>
          <cell r="B100" t="str">
            <v>Eventos especiales</v>
          </cell>
          <cell r="C100">
            <v>6924.67</v>
          </cell>
          <cell r="D100" t="str">
            <v xml:space="preserve"> </v>
          </cell>
          <cell r="E100">
            <v>9284.39</v>
          </cell>
          <cell r="F100">
            <v>0</v>
          </cell>
          <cell r="G100">
            <v>16209.06</v>
          </cell>
          <cell r="H100" t="str">
            <v xml:space="preserve"> </v>
          </cell>
        </row>
        <row r="101">
          <cell r="A101" t="str">
            <v>5300-004-000</v>
          </cell>
          <cell r="B101" t="str">
            <v>Consumo en Restaurantes</v>
          </cell>
          <cell r="C101">
            <v>25.57</v>
          </cell>
          <cell r="D101" t="str">
            <v xml:space="preserve"> </v>
          </cell>
          <cell r="E101">
            <v>27.91</v>
          </cell>
          <cell r="F101">
            <v>0</v>
          </cell>
          <cell r="G101">
            <v>53.48</v>
          </cell>
          <cell r="H101" t="str">
            <v xml:space="preserve"> </v>
          </cell>
        </row>
        <row r="102">
          <cell r="A102" t="str">
            <v>5300-006-000</v>
          </cell>
          <cell r="B102" t="str">
            <v>Comunicacion</v>
          </cell>
          <cell r="C102">
            <v>8077.62</v>
          </cell>
          <cell r="D102" t="str">
            <v xml:space="preserve"> </v>
          </cell>
          <cell r="E102">
            <v>4031.47</v>
          </cell>
          <cell r="F102">
            <v>0</v>
          </cell>
          <cell r="G102">
            <v>12109.09</v>
          </cell>
          <cell r="H102" t="str">
            <v xml:space="preserve"> </v>
          </cell>
        </row>
        <row r="103">
          <cell r="A103" t="str">
            <v>5300-007-000</v>
          </cell>
          <cell r="B103" t="str">
            <v>Honorarios</v>
          </cell>
          <cell r="C103">
            <v>12000</v>
          </cell>
          <cell r="D103" t="str">
            <v xml:space="preserve"> </v>
          </cell>
          <cell r="E103">
            <v>6000</v>
          </cell>
          <cell r="F103">
            <v>0</v>
          </cell>
          <cell r="G103">
            <v>18000</v>
          </cell>
          <cell r="H103" t="str">
            <v xml:space="preserve"> </v>
          </cell>
        </row>
        <row r="104">
          <cell r="A104" t="str">
            <v>5300-009-000</v>
          </cell>
          <cell r="B104" t="str">
            <v>Arrendamiento</v>
          </cell>
          <cell r="C104">
            <v>48000</v>
          </cell>
          <cell r="D104" t="str">
            <v xml:space="preserve"> </v>
          </cell>
          <cell r="E104">
            <v>24000</v>
          </cell>
          <cell r="F104">
            <v>0</v>
          </cell>
          <cell r="G104">
            <v>72000</v>
          </cell>
          <cell r="H104" t="str">
            <v xml:space="preserve"> </v>
          </cell>
        </row>
        <row r="105">
          <cell r="A105" t="str">
            <v>5300-013-000</v>
          </cell>
          <cell r="B105" t="str">
            <v>Seguros</v>
          </cell>
          <cell r="C105">
            <v>3106.98</v>
          </cell>
          <cell r="D105" t="str">
            <v xml:space="preserve"> </v>
          </cell>
          <cell r="E105">
            <v>5727.3</v>
          </cell>
          <cell r="F105">
            <v>0</v>
          </cell>
          <cell r="G105">
            <v>8834.2800000000007</v>
          </cell>
          <cell r="H105" t="str">
            <v xml:space="preserve"> </v>
          </cell>
        </row>
        <row r="106">
          <cell r="A106" t="str">
            <v>5300-017-000</v>
          </cell>
          <cell r="B106" t="str">
            <v>Luz</v>
          </cell>
          <cell r="C106">
            <v>3067.11</v>
          </cell>
          <cell r="D106" t="str">
            <v xml:space="preserve"> </v>
          </cell>
          <cell r="E106">
            <v>0</v>
          </cell>
          <cell r="F106">
            <v>0</v>
          </cell>
          <cell r="G106">
            <v>3067.11</v>
          </cell>
          <cell r="H106" t="str">
            <v xml:space="preserve"> </v>
          </cell>
        </row>
        <row r="107">
          <cell r="A107" t="str">
            <v>5300-018-000</v>
          </cell>
          <cell r="B107" t="str">
            <v>Gas Natural</v>
          </cell>
          <cell r="C107">
            <v>5996.26</v>
          </cell>
          <cell r="D107" t="str">
            <v xml:space="preserve"> </v>
          </cell>
          <cell r="E107">
            <v>0</v>
          </cell>
          <cell r="F107">
            <v>0</v>
          </cell>
          <cell r="G107">
            <v>5996.26</v>
          </cell>
          <cell r="H107" t="str">
            <v xml:space="preserve"> </v>
          </cell>
        </row>
        <row r="108">
          <cell r="A108" t="str">
            <v>5300-019-000</v>
          </cell>
          <cell r="B108" t="str">
            <v>Agua</v>
          </cell>
          <cell r="C108">
            <v>404.08</v>
          </cell>
          <cell r="D108" t="str">
            <v xml:space="preserve"> </v>
          </cell>
          <cell r="E108">
            <v>202.04</v>
          </cell>
          <cell r="F108">
            <v>0</v>
          </cell>
          <cell r="G108">
            <v>606.12</v>
          </cell>
          <cell r="H108" t="str">
            <v xml:space="preserve"> </v>
          </cell>
        </row>
        <row r="109">
          <cell r="A109" t="str">
            <v>5300-022-000</v>
          </cell>
          <cell r="B109" t="str">
            <v>Papeleria</v>
          </cell>
          <cell r="C109">
            <v>111.21</v>
          </cell>
          <cell r="D109" t="str">
            <v xml:space="preserve"> </v>
          </cell>
          <cell r="E109">
            <v>0</v>
          </cell>
          <cell r="F109">
            <v>0</v>
          </cell>
          <cell r="G109">
            <v>111.21</v>
          </cell>
          <cell r="H109" t="str">
            <v xml:space="preserve"> </v>
          </cell>
        </row>
        <row r="110">
          <cell r="A110" t="str">
            <v>5300-027-000</v>
          </cell>
          <cell r="B110" t="str">
            <v>Seguridad e Higiene</v>
          </cell>
          <cell r="C110">
            <v>4800</v>
          </cell>
          <cell r="D110" t="str">
            <v xml:space="preserve"> </v>
          </cell>
          <cell r="E110">
            <v>2400</v>
          </cell>
          <cell r="F110">
            <v>0</v>
          </cell>
          <cell r="G110">
            <v>7200</v>
          </cell>
          <cell r="H110" t="str">
            <v xml:space="preserve"> </v>
          </cell>
        </row>
        <row r="111">
          <cell r="A111" t="str">
            <v>5300-028-000</v>
          </cell>
          <cell r="B111" t="str">
            <v>Recolección de Basura</v>
          </cell>
          <cell r="C111">
            <v>268.8</v>
          </cell>
          <cell r="D111" t="str">
            <v xml:space="preserve"> </v>
          </cell>
          <cell r="E111">
            <v>134.4</v>
          </cell>
          <cell r="F111">
            <v>0</v>
          </cell>
          <cell r="G111">
            <v>403.2</v>
          </cell>
          <cell r="H111" t="str">
            <v xml:space="preserve"> </v>
          </cell>
        </row>
        <row r="112">
          <cell r="A112" t="str">
            <v>5300-029-000</v>
          </cell>
          <cell r="B112" t="str">
            <v>Sistemas de Alarma</v>
          </cell>
          <cell r="C112">
            <v>1350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1350</v>
          </cell>
          <cell r="H112" t="str">
            <v xml:space="preserve"> </v>
          </cell>
        </row>
        <row r="113">
          <cell r="A113" t="str">
            <v>5300-031-000</v>
          </cell>
          <cell r="B113" t="str">
            <v>Cuotas y Suscripciones</v>
          </cell>
          <cell r="C113">
            <v>180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180</v>
          </cell>
          <cell r="H113" t="str">
            <v xml:space="preserve"> </v>
          </cell>
        </row>
        <row r="114">
          <cell r="A114" t="str">
            <v>5300-032-000</v>
          </cell>
          <cell r="B114" t="str">
            <v>Otros impuestos y derechos</v>
          </cell>
          <cell r="C114">
            <v>5.83</v>
          </cell>
          <cell r="D114" t="str">
            <v xml:space="preserve"> </v>
          </cell>
          <cell r="E114">
            <v>0</v>
          </cell>
          <cell r="F114">
            <v>0</v>
          </cell>
          <cell r="G114">
            <v>5.83</v>
          </cell>
          <cell r="H114" t="str">
            <v xml:space="preserve"> </v>
          </cell>
        </row>
        <row r="115">
          <cell r="A115" t="str">
            <v>5300-035-000</v>
          </cell>
          <cell r="B115" t="str">
            <v>Mantenimiento Local</v>
          </cell>
          <cell r="C115">
            <v>9356.91</v>
          </cell>
          <cell r="D115" t="str">
            <v xml:space="preserve"> </v>
          </cell>
          <cell r="E115">
            <v>5746.27</v>
          </cell>
          <cell r="F115">
            <v>0</v>
          </cell>
          <cell r="G115">
            <v>15103.18</v>
          </cell>
          <cell r="H115" t="str">
            <v xml:space="preserve"> </v>
          </cell>
        </row>
        <row r="116">
          <cell r="A116" t="str">
            <v>5300-038-000</v>
          </cell>
          <cell r="B116" t="str">
            <v>No deducibles</v>
          </cell>
          <cell r="C116">
            <v>40046.36</v>
          </cell>
          <cell r="D116" t="str">
            <v xml:space="preserve"> </v>
          </cell>
          <cell r="E116">
            <v>348.62</v>
          </cell>
          <cell r="F116">
            <v>0</v>
          </cell>
          <cell r="G116">
            <v>40394.980000000003</v>
          </cell>
          <cell r="H116" t="str">
            <v xml:space="preserve"> </v>
          </cell>
        </row>
        <row r="117">
          <cell r="A117" t="str">
            <v>5300-039-000</v>
          </cell>
          <cell r="B117" t="str">
            <v>Comisiones bancarias</v>
          </cell>
          <cell r="C117">
            <v>320</v>
          </cell>
          <cell r="D117" t="str">
            <v xml:space="preserve"> </v>
          </cell>
          <cell r="E117">
            <v>160</v>
          </cell>
          <cell r="F117">
            <v>0</v>
          </cell>
          <cell r="G117">
            <v>480</v>
          </cell>
          <cell r="H117" t="str">
            <v xml:space="preserve"> </v>
          </cell>
        </row>
        <row r="118">
          <cell r="A118" t="str">
            <v>5300-040-000</v>
          </cell>
          <cell r="B118" t="str">
            <v>Actualizacion de contribuciones</v>
          </cell>
          <cell r="C118">
            <v>119.96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119.96</v>
          </cell>
          <cell r="H118" t="str">
            <v xml:space="preserve"> </v>
          </cell>
        </row>
        <row r="119">
          <cell r="A119" t="str">
            <v>5300-041-000</v>
          </cell>
          <cell r="B119" t="str">
            <v>Recargos</v>
          </cell>
          <cell r="C119">
            <v>304.3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304.3</v>
          </cell>
          <cell r="H119" t="str">
            <v xml:space="preserve"> </v>
          </cell>
        </row>
        <row r="120">
          <cell r="A120" t="str">
            <v>5400-000-000</v>
          </cell>
          <cell r="B120" t="str">
            <v>GASTOS DE OPERACION</v>
          </cell>
          <cell r="C120">
            <v>6503.12</v>
          </cell>
          <cell r="D120" t="str">
            <v xml:space="preserve"> </v>
          </cell>
          <cell r="E120">
            <v>2601.56</v>
          </cell>
          <cell r="F120">
            <v>0</v>
          </cell>
          <cell r="G120">
            <v>9104.68</v>
          </cell>
          <cell r="H120" t="str">
            <v xml:space="preserve"> </v>
          </cell>
        </row>
        <row r="121">
          <cell r="A121" t="str">
            <v>5400-001-000</v>
          </cell>
          <cell r="B121" t="str">
            <v>Depreciacion acumulada</v>
          </cell>
          <cell r="C121">
            <v>5203.12</v>
          </cell>
          <cell r="D121" t="str">
            <v xml:space="preserve"> </v>
          </cell>
          <cell r="E121">
            <v>2601.56</v>
          </cell>
          <cell r="F121">
            <v>0</v>
          </cell>
          <cell r="G121">
            <v>7804.68</v>
          </cell>
          <cell r="H121" t="str">
            <v xml:space="preserve"> </v>
          </cell>
        </row>
        <row r="122">
          <cell r="A122" t="str">
            <v>5400-001-004</v>
          </cell>
          <cell r="B122" t="str">
            <v>Machinery &amp; Equipment accumulated depreciation</v>
          </cell>
          <cell r="C122">
            <v>1568.06</v>
          </cell>
          <cell r="D122" t="str">
            <v xml:space="preserve"> </v>
          </cell>
          <cell r="E122">
            <v>784.03</v>
          </cell>
          <cell r="F122">
            <v>0</v>
          </cell>
          <cell r="G122">
            <v>2352.09</v>
          </cell>
          <cell r="H122" t="str">
            <v xml:space="preserve"> </v>
          </cell>
        </row>
        <row r="123">
          <cell r="A123" t="str">
            <v>5400-001-005</v>
          </cell>
          <cell r="B123" t="str">
            <v>Computer Equipment accumulated depreciation</v>
          </cell>
          <cell r="C123">
            <v>3635.06</v>
          </cell>
          <cell r="D123" t="str">
            <v xml:space="preserve"> </v>
          </cell>
          <cell r="E123">
            <v>1817.53</v>
          </cell>
          <cell r="F123">
            <v>0</v>
          </cell>
          <cell r="G123">
            <v>5452.59</v>
          </cell>
          <cell r="H123" t="str">
            <v xml:space="preserve"> </v>
          </cell>
        </row>
        <row r="124">
          <cell r="A124" t="str">
            <v>5400-038-000</v>
          </cell>
          <cell r="B124" t="str">
            <v>No Deducibles</v>
          </cell>
          <cell r="C124">
            <v>3.54</v>
          </cell>
          <cell r="D124" t="str">
            <v xml:space="preserve"> </v>
          </cell>
          <cell r="E124">
            <v>0</v>
          </cell>
          <cell r="F124">
            <v>0</v>
          </cell>
          <cell r="G124">
            <v>3.54</v>
          </cell>
          <cell r="H124" t="str">
            <v xml:space="preserve"> </v>
          </cell>
        </row>
        <row r="125">
          <cell r="A125" t="str">
            <v>5400-046-000</v>
          </cell>
          <cell r="B125" t="str">
            <v>Multas</v>
          </cell>
          <cell r="C125">
            <v>1296.46</v>
          </cell>
          <cell r="D125" t="str">
            <v xml:space="preserve"> </v>
          </cell>
          <cell r="E125">
            <v>0</v>
          </cell>
          <cell r="F125">
            <v>0</v>
          </cell>
          <cell r="G125">
            <v>1296.46</v>
          </cell>
          <cell r="H125" t="str">
            <v xml:space="preserve"> </v>
          </cell>
        </row>
        <row r="126">
          <cell r="A126" t="str">
            <v>0000-600-000</v>
          </cell>
          <cell r="B126" t="str">
            <v>CIF</v>
          </cell>
          <cell r="C126">
            <v>-462.12</v>
          </cell>
          <cell r="D126" t="str">
            <v xml:space="preserve"> </v>
          </cell>
          <cell r="E126">
            <v>1831.1</v>
          </cell>
          <cell r="F126">
            <v>286.97000000000003</v>
          </cell>
          <cell r="G126">
            <v>1082.01</v>
          </cell>
          <cell r="H126" t="str">
            <v xml:space="preserve"> </v>
          </cell>
        </row>
        <row r="127">
          <cell r="A127" t="str">
            <v>6000-002-000</v>
          </cell>
          <cell r="B127" t="str">
            <v>Pérdida en Cambios</v>
          </cell>
          <cell r="C127">
            <v>0</v>
          </cell>
          <cell r="D127" t="str">
            <v xml:space="preserve"> </v>
          </cell>
          <cell r="E127">
            <v>1831.1</v>
          </cell>
          <cell r="F127">
            <v>0</v>
          </cell>
          <cell r="G127">
            <v>1831.1</v>
          </cell>
          <cell r="H127" t="str">
            <v xml:space="preserve"> </v>
          </cell>
        </row>
        <row r="128">
          <cell r="A128" t="str">
            <v>6000-003-000</v>
          </cell>
          <cell r="B128" t="str">
            <v>Intereses Bancarios</v>
          </cell>
          <cell r="C128">
            <v>-462.11</v>
          </cell>
          <cell r="D128" t="str">
            <v xml:space="preserve"> </v>
          </cell>
          <cell r="E128">
            <v>0</v>
          </cell>
          <cell r="F128">
            <v>287.01</v>
          </cell>
          <cell r="G128">
            <v>-749.12</v>
          </cell>
          <cell r="H128" t="str">
            <v xml:space="preserve"> </v>
          </cell>
        </row>
        <row r="129">
          <cell r="A129" t="str">
            <v>6000-005-000</v>
          </cell>
          <cell r="B129" t="str">
            <v>Minor Dif</v>
          </cell>
          <cell r="C129">
            <v>-0.01</v>
          </cell>
          <cell r="D129" t="str">
            <v xml:space="preserve"> </v>
          </cell>
          <cell r="E129">
            <v>0</v>
          </cell>
          <cell r="F129">
            <v>-0.04</v>
          </cell>
          <cell r="G129">
            <v>0.03</v>
          </cell>
          <cell r="H129" t="str">
            <v xml:space="preserve"> </v>
          </cell>
        </row>
        <row r="130">
          <cell r="A130" t="str">
            <v xml:space="preserve"> </v>
          </cell>
        </row>
        <row r="131">
          <cell r="B131" t="str">
            <v>Total cuentas no impresas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B132" t="str">
            <v xml:space="preserve"> </v>
          </cell>
          <cell r="D132">
            <v>0</v>
          </cell>
          <cell r="H132">
            <v>0</v>
          </cell>
        </row>
        <row r="133">
          <cell r="A133" t="str">
            <v xml:space="preserve"> </v>
          </cell>
        </row>
        <row r="135">
          <cell r="B135" t="str">
            <v xml:space="preserve">Sumas Iguales: </v>
          </cell>
          <cell r="C135">
            <v>2071839.75</v>
          </cell>
          <cell r="E135">
            <v>2456308.58</v>
          </cell>
          <cell r="F135">
            <v>2456308.58</v>
          </cell>
          <cell r="G135">
            <v>2611337.96</v>
          </cell>
        </row>
        <row r="136">
          <cell r="D136">
            <v>2071839.75</v>
          </cell>
          <cell r="H136">
            <v>2611337.96</v>
          </cell>
        </row>
      </sheetData>
      <sheetData sheetId="47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30/Abr/2015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881893.25</v>
          </cell>
          <cell r="D8" t="str">
            <v xml:space="preserve"> </v>
          </cell>
          <cell r="E8">
            <v>2289675.27</v>
          </cell>
          <cell r="F8">
            <v>2141897.4</v>
          </cell>
          <cell r="G8">
            <v>1029671.12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741509.4</v>
          </cell>
          <cell r="D9" t="str">
            <v xml:space="preserve"> </v>
          </cell>
          <cell r="E9">
            <v>2284202</v>
          </cell>
          <cell r="F9">
            <v>2139001.25</v>
          </cell>
          <cell r="G9">
            <v>886710.15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456848.6</v>
          </cell>
          <cell r="D10" t="str">
            <v xml:space="preserve"> </v>
          </cell>
          <cell r="E10">
            <v>1523258.47</v>
          </cell>
          <cell r="F10">
            <v>1284195.18</v>
          </cell>
          <cell r="G10">
            <v>695911.89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13773.14</v>
          </cell>
          <cell r="D11" t="str">
            <v xml:space="preserve"> </v>
          </cell>
          <cell r="E11">
            <v>15000</v>
          </cell>
          <cell r="F11">
            <v>5552.11</v>
          </cell>
          <cell r="G11">
            <v>23221.03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242481.93</v>
          </cell>
          <cell r="D12" t="str">
            <v xml:space="preserve"> </v>
          </cell>
          <cell r="E12">
            <v>907777.58</v>
          </cell>
          <cell r="F12">
            <v>1078639.51</v>
          </cell>
          <cell r="G12">
            <v>71620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200593.53</v>
          </cell>
          <cell r="D13" t="str">
            <v xml:space="preserve"> </v>
          </cell>
          <cell r="E13">
            <v>600480.89</v>
          </cell>
          <cell r="F13">
            <v>200003.56</v>
          </cell>
          <cell r="G13">
            <v>601070.86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707774.02</v>
          </cell>
          <cell r="F14">
            <v>707774.02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707774.02</v>
          </cell>
          <cell r="F15">
            <v>707774.02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707774.02</v>
          </cell>
          <cell r="F16">
            <v>707774.02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197442.64</v>
          </cell>
          <cell r="D17" t="str">
            <v xml:space="preserve"> </v>
          </cell>
          <cell r="E17">
            <v>19659.5</v>
          </cell>
          <cell r="F17">
            <v>141304.75</v>
          </cell>
          <cell r="G17">
            <v>75797.39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9349.75</v>
          </cell>
          <cell r="F18">
            <v>9349.75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2880</v>
          </cell>
          <cell r="D19" t="str">
            <v xml:space="preserve"> </v>
          </cell>
          <cell r="E19">
            <v>960</v>
          </cell>
          <cell r="F19">
            <v>2880</v>
          </cell>
          <cell r="G19">
            <v>960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194562.64</v>
          </cell>
          <cell r="D20" t="str">
            <v xml:space="preserve"> </v>
          </cell>
          <cell r="E20">
            <v>9349.75</v>
          </cell>
          <cell r="F20">
            <v>129075</v>
          </cell>
          <cell r="G20">
            <v>74837.39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3000</v>
          </cell>
          <cell r="D21" t="str">
            <v xml:space="preserve"> </v>
          </cell>
          <cell r="E21">
            <v>0</v>
          </cell>
          <cell r="F21">
            <v>0</v>
          </cell>
          <cell r="G21">
            <v>3000</v>
          </cell>
          <cell r="H21" t="str">
            <v xml:space="preserve"> </v>
          </cell>
        </row>
        <row r="22">
          <cell r="A22" t="str">
            <v>1106-019-000</v>
          </cell>
          <cell r="B22" t="str">
            <v>R</v>
          </cell>
          <cell r="C22">
            <v>3000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3000</v>
          </cell>
          <cell r="H22" t="str">
            <v xml:space="preserve"> </v>
          </cell>
        </row>
        <row r="23">
          <cell r="A23" t="str">
            <v>1106-019-001</v>
          </cell>
          <cell r="B23" t="str">
            <v>Raymundo</v>
          </cell>
          <cell r="C23">
            <v>3000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3000</v>
          </cell>
          <cell r="H23" t="str">
            <v xml:space="preserve"> </v>
          </cell>
        </row>
        <row r="24">
          <cell r="A24" t="str">
            <v>1108-000-000</v>
          </cell>
          <cell r="B24" t="str">
            <v>Pagos Anticipados</v>
          </cell>
          <cell r="C24">
            <v>324.83</v>
          </cell>
          <cell r="D24" t="str">
            <v xml:space="preserve"> </v>
          </cell>
          <cell r="E24">
            <v>33510.01</v>
          </cell>
          <cell r="F24">
            <v>0</v>
          </cell>
          <cell r="G24">
            <v>33834.839999999997</v>
          </cell>
          <cell r="H24" t="str">
            <v xml:space="preserve"> </v>
          </cell>
        </row>
        <row r="25">
          <cell r="A25" t="str">
            <v>1108-001-000</v>
          </cell>
          <cell r="B25" t="str">
            <v>Pagos Provisionales ISR</v>
          </cell>
          <cell r="C25">
            <v>0</v>
          </cell>
          <cell r="D25" t="str">
            <v xml:space="preserve"> </v>
          </cell>
          <cell r="E25">
            <v>33215</v>
          </cell>
          <cell r="F25">
            <v>0</v>
          </cell>
          <cell r="G25">
            <v>33215</v>
          </cell>
          <cell r="H25" t="str">
            <v xml:space="preserve"> </v>
          </cell>
        </row>
        <row r="26">
          <cell r="A26" t="str">
            <v>1108-004-000</v>
          </cell>
          <cell r="B26" t="str">
            <v>Retención de ISR Bancaria</v>
          </cell>
          <cell r="C26">
            <v>252.61</v>
          </cell>
          <cell r="D26" t="str">
            <v xml:space="preserve"> </v>
          </cell>
          <cell r="E26">
            <v>295.01</v>
          </cell>
          <cell r="F26">
            <v>0</v>
          </cell>
          <cell r="G26">
            <v>547.62</v>
          </cell>
          <cell r="H26" t="str">
            <v xml:space="preserve"> </v>
          </cell>
        </row>
        <row r="27">
          <cell r="A27" t="str">
            <v>1108-005-000</v>
          </cell>
          <cell r="B27" t="str">
            <v>Subsidio al Empleo</v>
          </cell>
          <cell r="C27">
            <v>0.22</v>
          </cell>
          <cell r="D27" t="str">
            <v xml:space="preserve"> </v>
          </cell>
          <cell r="E27">
            <v>0</v>
          </cell>
          <cell r="F27">
            <v>0</v>
          </cell>
          <cell r="G27">
            <v>0.22</v>
          </cell>
          <cell r="H27" t="str">
            <v xml:space="preserve"> </v>
          </cell>
        </row>
        <row r="28">
          <cell r="A28" t="str">
            <v>1108-006-000</v>
          </cell>
          <cell r="B28" t="str">
            <v>Saldo a Favor de ISR</v>
          </cell>
          <cell r="C28">
            <v>72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72</v>
          </cell>
          <cell r="H28" t="str">
            <v xml:space="preserve"> </v>
          </cell>
        </row>
        <row r="29">
          <cell r="A29" t="str">
            <v>1109-000-000</v>
          </cell>
          <cell r="B29" t="str">
            <v>Depositos en Garantia</v>
          </cell>
          <cell r="C29">
            <v>24000</v>
          </cell>
          <cell r="D29" t="str">
            <v xml:space="preserve"> </v>
          </cell>
          <cell r="E29">
            <v>0</v>
          </cell>
          <cell r="F29">
            <v>0</v>
          </cell>
          <cell r="G29">
            <v>24000</v>
          </cell>
          <cell r="H29" t="str">
            <v xml:space="preserve"> </v>
          </cell>
        </row>
        <row r="30">
          <cell r="A30" t="str">
            <v>1109-001-000</v>
          </cell>
          <cell r="B30" t="str">
            <v>Depositos en Garantia</v>
          </cell>
          <cell r="C30">
            <v>24000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24000</v>
          </cell>
          <cell r="H30" t="str">
            <v xml:space="preserve"> </v>
          </cell>
        </row>
        <row r="31">
          <cell r="A31" t="str">
            <v>1110-000-000</v>
          </cell>
          <cell r="B31" t="str">
            <v>Seguros Pagados por anticipado</v>
          </cell>
          <cell r="C31">
            <v>59893.33</v>
          </cell>
          <cell r="D31" t="str">
            <v xml:space="preserve"> </v>
          </cell>
          <cell r="E31">
            <v>0</v>
          </cell>
          <cell r="F31">
            <v>5727.3</v>
          </cell>
          <cell r="G31">
            <v>54166.03</v>
          </cell>
          <cell r="H31" t="str">
            <v xml:space="preserve"> </v>
          </cell>
        </row>
        <row r="32">
          <cell r="A32" t="str">
            <v>1110-001-000</v>
          </cell>
          <cell r="B32" t="str">
            <v>Seguro Gastos Medicos</v>
          </cell>
          <cell r="C32">
            <v>54172.79</v>
          </cell>
          <cell r="D32" t="str">
            <v xml:space="preserve"> </v>
          </cell>
          <cell r="E32">
            <v>0</v>
          </cell>
          <cell r="F32">
            <v>5091.6899999999996</v>
          </cell>
          <cell r="G32">
            <v>49081.1</v>
          </cell>
          <cell r="H32" t="str">
            <v xml:space="preserve"> </v>
          </cell>
        </row>
        <row r="33">
          <cell r="A33" t="str">
            <v>1110-002-000</v>
          </cell>
          <cell r="B33" t="str">
            <v>Seguro Local</v>
          </cell>
          <cell r="C33">
            <v>5720.54</v>
          </cell>
          <cell r="D33" t="str">
            <v xml:space="preserve"> </v>
          </cell>
          <cell r="E33">
            <v>0</v>
          </cell>
          <cell r="F33">
            <v>635.61</v>
          </cell>
          <cell r="G33">
            <v>5084.93</v>
          </cell>
          <cell r="H33" t="str">
            <v xml:space="preserve"> </v>
          </cell>
        </row>
        <row r="34">
          <cell r="A34" t="str">
            <v>1200-000-000</v>
          </cell>
          <cell r="B34" t="str">
            <v>ACTIVOS FIJOS</v>
          </cell>
          <cell r="C34">
            <v>140383.85</v>
          </cell>
          <cell r="D34" t="str">
            <v xml:space="preserve"> </v>
          </cell>
          <cell r="E34">
            <v>5473.27</v>
          </cell>
          <cell r="F34">
            <v>2896.15</v>
          </cell>
          <cell r="G34">
            <v>142960.97</v>
          </cell>
          <cell r="H34" t="str">
            <v xml:space="preserve"> </v>
          </cell>
        </row>
        <row r="35">
          <cell r="A35" t="str">
            <v>1208-000-000</v>
          </cell>
          <cell r="B35" t="str">
            <v>Mobiliario y Eq de oficina</v>
          </cell>
          <cell r="C35">
            <v>94083.3</v>
          </cell>
          <cell r="D35" t="str">
            <v xml:space="preserve"> </v>
          </cell>
          <cell r="E35">
            <v>5473.27</v>
          </cell>
          <cell r="F35">
            <v>0</v>
          </cell>
          <cell r="G35">
            <v>99556.57</v>
          </cell>
          <cell r="H35" t="str">
            <v xml:space="preserve"> </v>
          </cell>
        </row>
        <row r="36">
          <cell r="A36" t="str">
            <v>1208-001-000</v>
          </cell>
          <cell r="B36" t="str">
            <v>Mesa ejecutiva</v>
          </cell>
          <cell r="C36">
            <v>26207.61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26207.61</v>
          </cell>
          <cell r="H36" t="str">
            <v xml:space="preserve"> </v>
          </cell>
        </row>
        <row r="37">
          <cell r="A37" t="str">
            <v>1208-002-000</v>
          </cell>
          <cell r="B37" t="str">
            <v>Silla ejecutiva</v>
          </cell>
          <cell r="C37">
            <v>23407.759999999998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23407.759999999998</v>
          </cell>
          <cell r="H37" t="str">
            <v xml:space="preserve"> </v>
          </cell>
        </row>
        <row r="38">
          <cell r="A38" t="str">
            <v>1208-003-000</v>
          </cell>
          <cell r="B38" t="str">
            <v>Gabinete</v>
          </cell>
          <cell r="C38">
            <v>7500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7500</v>
          </cell>
          <cell r="H38" t="str">
            <v xml:space="preserve"> </v>
          </cell>
        </row>
        <row r="39">
          <cell r="A39" t="str">
            <v>1208-004-000</v>
          </cell>
          <cell r="B39" t="str">
            <v>Mesa de juntas</v>
          </cell>
          <cell r="C39">
            <v>8522.1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8522.1</v>
          </cell>
          <cell r="H39" t="str">
            <v xml:space="preserve"> </v>
          </cell>
        </row>
        <row r="40">
          <cell r="A40" t="str">
            <v>1208-005-000</v>
          </cell>
          <cell r="B40" t="str">
            <v>Calentador</v>
          </cell>
          <cell r="C40">
            <v>1415.23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1415.23</v>
          </cell>
          <cell r="H40" t="str">
            <v xml:space="preserve"> </v>
          </cell>
        </row>
        <row r="41">
          <cell r="A41" t="str">
            <v>1208-006-000</v>
          </cell>
          <cell r="B41" t="str">
            <v>Lámpara mesa</v>
          </cell>
          <cell r="C41">
            <v>11723.45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11723.45</v>
          </cell>
          <cell r="H41" t="str">
            <v xml:space="preserve"> </v>
          </cell>
        </row>
        <row r="42">
          <cell r="A42" t="str">
            <v>1208-007-000</v>
          </cell>
          <cell r="B42" t="str">
            <v>Sillón antenas piel vinil chocolate</v>
          </cell>
          <cell r="C42">
            <v>2113.79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2113.79</v>
          </cell>
          <cell r="H42" t="str">
            <v xml:space="preserve"> </v>
          </cell>
        </row>
        <row r="43">
          <cell r="A43" t="str">
            <v>1208-008-000</v>
          </cell>
          <cell r="B43" t="str">
            <v>Lámpara mesa</v>
          </cell>
          <cell r="C43">
            <v>12500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12500</v>
          </cell>
          <cell r="H43" t="str">
            <v xml:space="preserve"> </v>
          </cell>
        </row>
        <row r="44">
          <cell r="A44" t="str">
            <v>1208-009-000</v>
          </cell>
          <cell r="B44" t="str">
            <v>Comedor</v>
          </cell>
          <cell r="C44">
            <v>693.36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693.36</v>
          </cell>
          <cell r="H44" t="str">
            <v xml:space="preserve"> </v>
          </cell>
        </row>
        <row r="45">
          <cell r="A45" t="str">
            <v>1208-010-000</v>
          </cell>
          <cell r="B45" t="str">
            <v>Mesa de juntas ceniz</v>
          </cell>
          <cell r="C45">
            <v>0</v>
          </cell>
          <cell r="D45" t="str">
            <v xml:space="preserve"> </v>
          </cell>
          <cell r="E45">
            <v>1421.55</v>
          </cell>
          <cell r="F45">
            <v>0</v>
          </cell>
          <cell r="G45">
            <v>1421.55</v>
          </cell>
          <cell r="H45" t="str">
            <v xml:space="preserve"> </v>
          </cell>
        </row>
        <row r="46">
          <cell r="A46" t="str">
            <v>1208-011-000</v>
          </cell>
          <cell r="B46" t="str">
            <v>Escritorio Estudiante Vid Choc</v>
          </cell>
          <cell r="C46">
            <v>0</v>
          </cell>
          <cell r="D46" t="str">
            <v xml:space="preserve"> </v>
          </cell>
          <cell r="E46">
            <v>4051.72</v>
          </cell>
          <cell r="F46">
            <v>0</v>
          </cell>
          <cell r="G46">
            <v>4051.72</v>
          </cell>
          <cell r="H46" t="str">
            <v xml:space="preserve"> </v>
          </cell>
        </row>
        <row r="47">
          <cell r="A47" t="str">
            <v>1209-000-000</v>
          </cell>
          <cell r="B47" t="str">
            <v>Depreciacion acumulada Mob y Eq de oficina</v>
          </cell>
          <cell r="C47" t="str">
            <v xml:space="preserve"> </v>
          </cell>
          <cell r="D47">
            <v>10646.64</v>
          </cell>
          <cell r="E47">
            <v>0</v>
          </cell>
          <cell r="F47">
            <v>784.03</v>
          </cell>
          <cell r="G47" t="str">
            <v xml:space="preserve"> </v>
          </cell>
          <cell r="H47">
            <v>11430.67</v>
          </cell>
        </row>
        <row r="48">
          <cell r="A48" t="str">
            <v>1210-000-000</v>
          </cell>
          <cell r="B48" t="str">
            <v>Equipo de Computo</v>
          </cell>
          <cell r="C48">
            <v>84484.87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84484.87</v>
          </cell>
          <cell r="H48" t="str">
            <v xml:space="preserve"> </v>
          </cell>
        </row>
        <row r="49">
          <cell r="A49" t="str">
            <v>1210-001-000</v>
          </cell>
          <cell r="B49" t="str">
            <v>Computer Elite 8300</v>
          </cell>
          <cell r="C49">
            <v>49350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49350</v>
          </cell>
          <cell r="H49" t="str">
            <v xml:space="preserve"> </v>
          </cell>
        </row>
        <row r="50">
          <cell r="A50" t="str">
            <v>1210-002-000</v>
          </cell>
          <cell r="B50" t="str">
            <v>Multi Brother</v>
          </cell>
          <cell r="C50">
            <v>3188.79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3188.79</v>
          </cell>
          <cell r="H50" t="str">
            <v xml:space="preserve"> </v>
          </cell>
        </row>
        <row r="51">
          <cell r="A51" t="str">
            <v>1210-003-000</v>
          </cell>
          <cell r="B51" t="str">
            <v>Sony Video Projector</v>
          </cell>
          <cell r="C51">
            <v>9007.7999999999993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9007.7999999999993</v>
          </cell>
          <cell r="H51" t="str">
            <v xml:space="preserve"> </v>
          </cell>
        </row>
        <row r="52">
          <cell r="A52" t="str">
            <v>1210-004-000</v>
          </cell>
          <cell r="B52" t="str">
            <v>Epson Multifunctional  XP-211</v>
          </cell>
          <cell r="C52">
            <v>991.38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991.38</v>
          </cell>
          <cell r="H52" t="str">
            <v xml:space="preserve"> </v>
          </cell>
        </row>
        <row r="53">
          <cell r="A53" t="str">
            <v>1210-005-000</v>
          </cell>
          <cell r="B53" t="str">
            <v>Combo Inalam desktop 5000 usb</v>
          </cell>
          <cell r="C53">
            <v>922.41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922.41</v>
          </cell>
          <cell r="H53" t="str">
            <v xml:space="preserve"> </v>
          </cell>
        </row>
        <row r="54">
          <cell r="A54" t="str">
            <v>1210-012-000</v>
          </cell>
          <cell r="B54" t="str">
            <v>Laptop V5 Touch</v>
          </cell>
          <cell r="C54">
            <v>9240.8700000000008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9240.8700000000008</v>
          </cell>
          <cell r="H54" t="str">
            <v xml:space="preserve"> </v>
          </cell>
        </row>
        <row r="55">
          <cell r="A55" t="str">
            <v>1210-013-000</v>
          </cell>
          <cell r="B55" t="str">
            <v>Laptop Acer VN7-571 UMACKKLL 3</v>
          </cell>
          <cell r="C55">
            <v>11783.62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11783.62</v>
          </cell>
          <cell r="H55" t="str">
            <v xml:space="preserve"> </v>
          </cell>
        </row>
        <row r="56">
          <cell r="A56" t="str">
            <v>1211-000-000</v>
          </cell>
          <cell r="B56" t="str">
            <v>Depreciacion acumulada Eq. de Computo</v>
          </cell>
          <cell r="C56" t="str">
            <v xml:space="preserve"> </v>
          </cell>
          <cell r="D56">
            <v>27537.68</v>
          </cell>
          <cell r="E56">
            <v>0</v>
          </cell>
          <cell r="F56">
            <v>2112.12</v>
          </cell>
          <cell r="G56" t="str">
            <v xml:space="preserve"> </v>
          </cell>
          <cell r="H56">
            <v>29649.8</v>
          </cell>
        </row>
        <row r="57">
          <cell r="A57" t="str">
            <v>0000-200-000</v>
          </cell>
          <cell r="B57" t="str">
            <v>PASIVOS</v>
          </cell>
          <cell r="C57" t="str">
            <v xml:space="preserve"> </v>
          </cell>
          <cell r="D57">
            <v>957329.26</v>
          </cell>
          <cell r="E57">
            <v>477341.76</v>
          </cell>
          <cell r="F57">
            <v>545457.81000000006</v>
          </cell>
          <cell r="G57" t="str">
            <v xml:space="preserve"> </v>
          </cell>
          <cell r="H57">
            <v>1025445.31</v>
          </cell>
        </row>
        <row r="58">
          <cell r="A58" t="str">
            <v>2100-000-000</v>
          </cell>
          <cell r="B58" t="str">
            <v>PASIVO CIRCULANTE</v>
          </cell>
          <cell r="C58" t="str">
            <v xml:space="preserve"> </v>
          </cell>
          <cell r="D58">
            <v>957329.26</v>
          </cell>
          <cell r="E58">
            <v>477341.76</v>
          </cell>
          <cell r="F58">
            <v>545457.81000000006</v>
          </cell>
          <cell r="G58" t="str">
            <v xml:space="preserve"> </v>
          </cell>
          <cell r="H58">
            <v>1025445.31</v>
          </cell>
        </row>
        <row r="59">
          <cell r="A59" t="str">
            <v>2103-000-000</v>
          </cell>
          <cell r="B59" t="str">
            <v>Proveedores</v>
          </cell>
          <cell r="C59" t="str">
            <v xml:space="preserve"> </v>
          </cell>
          <cell r="D59">
            <v>20880</v>
          </cell>
          <cell r="E59">
            <v>20880</v>
          </cell>
          <cell r="F59">
            <v>6960</v>
          </cell>
          <cell r="G59" t="str">
            <v xml:space="preserve"> </v>
          </cell>
          <cell r="H59">
            <v>6960</v>
          </cell>
        </row>
        <row r="60">
          <cell r="A60" t="str">
            <v>2103-007-000</v>
          </cell>
          <cell r="B60" t="str">
            <v>G</v>
          </cell>
          <cell r="C60" t="str">
            <v xml:space="preserve"> </v>
          </cell>
          <cell r="D60">
            <v>20880</v>
          </cell>
          <cell r="E60">
            <v>20880</v>
          </cell>
          <cell r="F60">
            <v>6960</v>
          </cell>
          <cell r="G60" t="str">
            <v xml:space="preserve"> </v>
          </cell>
          <cell r="H60">
            <v>6960</v>
          </cell>
        </row>
        <row r="61">
          <cell r="A61" t="str">
            <v>2103-007-001</v>
          </cell>
          <cell r="B61" t="str">
            <v>Galaz Yamazaki Ruiz Urquiza SC</v>
          </cell>
          <cell r="C61" t="str">
            <v xml:space="preserve"> </v>
          </cell>
          <cell r="D61">
            <v>20880</v>
          </cell>
          <cell r="E61">
            <v>20880</v>
          </cell>
          <cell r="F61">
            <v>6960</v>
          </cell>
          <cell r="G61" t="str">
            <v xml:space="preserve"> </v>
          </cell>
          <cell r="H61">
            <v>6960</v>
          </cell>
        </row>
        <row r="62">
          <cell r="A62" t="str">
            <v>2106-000-000</v>
          </cell>
          <cell r="B62" t="str">
            <v>Acreedores Diversos</v>
          </cell>
          <cell r="C62" t="str">
            <v xml:space="preserve"> </v>
          </cell>
          <cell r="D62">
            <v>792004.3</v>
          </cell>
          <cell r="E62">
            <v>321731.8</v>
          </cell>
          <cell r="F62">
            <v>321731.8</v>
          </cell>
          <cell r="G62" t="str">
            <v xml:space="preserve"> </v>
          </cell>
          <cell r="H62">
            <v>792004.3</v>
          </cell>
        </row>
        <row r="63">
          <cell r="A63" t="str">
            <v>2106-001-000</v>
          </cell>
          <cell r="B63" t="str">
            <v>A</v>
          </cell>
          <cell r="C63" t="str">
            <v xml:space="preserve"> </v>
          </cell>
          <cell r="D63">
            <v>761024.3</v>
          </cell>
          <cell r="E63">
            <v>0</v>
          </cell>
          <cell r="F63">
            <v>0</v>
          </cell>
          <cell r="G63" t="str">
            <v xml:space="preserve"> </v>
          </cell>
          <cell r="H63">
            <v>761024.3</v>
          </cell>
        </row>
        <row r="64">
          <cell r="A64" t="str">
            <v>2106-001-001</v>
          </cell>
          <cell r="B64" t="str">
            <v>1A Auto Inc.</v>
          </cell>
          <cell r="C64" t="str">
            <v xml:space="preserve"> </v>
          </cell>
          <cell r="D64">
            <v>761024.3</v>
          </cell>
          <cell r="E64">
            <v>0</v>
          </cell>
          <cell r="F64">
            <v>0</v>
          </cell>
          <cell r="G64" t="str">
            <v xml:space="preserve"> </v>
          </cell>
          <cell r="H64">
            <v>761024.3</v>
          </cell>
        </row>
        <row r="65">
          <cell r="A65" t="str">
            <v>2106-017-000</v>
          </cell>
          <cell r="B65" t="str">
            <v>P</v>
          </cell>
          <cell r="C65" t="str">
            <v xml:space="preserve"> </v>
          </cell>
          <cell r="D65">
            <v>30980</v>
          </cell>
          <cell r="E65">
            <v>0</v>
          </cell>
          <cell r="F65">
            <v>0</v>
          </cell>
          <cell r="G65" t="str">
            <v xml:space="preserve"> </v>
          </cell>
          <cell r="H65">
            <v>30980</v>
          </cell>
        </row>
        <row r="66">
          <cell r="A66" t="str">
            <v>2106-017-002</v>
          </cell>
          <cell r="B66" t="str">
            <v>PTU</v>
          </cell>
          <cell r="C66" t="str">
            <v xml:space="preserve"> </v>
          </cell>
          <cell r="D66">
            <v>30980</v>
          </cell>
          <cell r="E66">
            <v>0</v>
          </cell>
          <cell r="F66">
            <v>0</v>
          </cell>
          <cell r="G66" t="str">
            <v xml:space="preserve"> </v>
          </cell>
          <cell r="H66">
            <v>30980</v>
          </cell>
        </row>
        <row r="67">
          <cell r="A67" t="str">
            <v>2106-023-000</v>
          </cell>
          <cell r="B67" t="str">
            <v>V</v>
          </cell>
          <cell r="C67" t="str">
            <v xml:space="preserve"> </v>
          </cell>
          <cell r="D67">
            <v>0</v>
          </cell>
          <cell r="E67">
            <v>19600</v>
          </cell>
          <cell r="F67">
            <v>19600</v>
          </cell>
          <cell r="G67" t="str">
            <v xml:space="preserve"> </v>
          </cell>
          <cell r="H67">
            <v>0</v>
          </cell>
        </row>
        <row r="68">
          <cell r="A68" t="str">
            <v>2106-023-001</v>
          </cell>
          <cell r="B68" t="str">
            <v>Vales de despensa</v>
          </cell>
          <cell r="C68" t="str">
            <v xml:space="preserve"> </v>
          </cell>
          <cell r="D68">
            <v>0</v>
          </cell>
          <cell r="E68">
            <v>12600</v>
          </cell>
          <cell r="F68">
            <v>12600</v>
          </cell>
          <cell r="G68" t="str">
            <v xml:space="preserve"> </v>
          </cell>
          <cell r="H68">
            <v>0</v>
          </cell>
        </row>
        <row r="69">
          <cell r="A69" t="str">
            <v>2106-023-002</v>
          </cell>
          <cell r="B69" t="str">
            <v>Vales de gasolina</v>
          </cell>
          <cell r="C69" t="str">
            <v xml:space="preserve"> </v>
          </cell>
          <cell r="D69">
            <v>0</v>
          </cell>
          <cell r="E69">
            <v>7000</v>
          </cell>
          <cell r="F69">
            <v>7000</v>
          </cell>
          <cell r="G69" t="str">
            <v xml:space="preserve"> </v>
          </cell>
          <cell r="H69">
            <v>0</v>
          </cell>
        </row>
        <row r="70">
          <cell r="A70" t="str">
            <v>2106-100-000</v>
          </cell>
          <cell r="B70" t="str">
            <v>Sueldos por pagar</v>
          </cell>
          <cell r="C70" t="str">
            <v xml:space="preserve"> </v>
          </cell>
          <cell r="D70">
            <v>0</v>
          </cell>
          <cell r="E70">
            <v>302131.8</v>
          </cell>
          <cell r="F70">
            <v>302131.8</v>
          </cell>
          <cell r="G70" t="str">
            <v xml:space="preserve"> </v>
          </cell>
          <cell r="H70">
            <v>0</v>
          </cell>
        </row>
        <row r="71">
          <cell r="A71" t="str">
            <v>2108-000-000</v>
          </cell>
          <cell r="B71" t="str">
            <v>Impuestos por pagar</v>
          </cell>
          <cell r="C71" t="str">
            <v xml:space="preserve"> </v>
          </cell>
          <cell r="D71">
            <v>144444.96</v>
          </cell>
          <cell r="E71">
            <v>134729.96</v>
          </cell>
          <cell r="F71">
            <v>216766.01</v>
          </cell>
          <cell r="G71" t="str">
            <v xml:space="preserve"> </v>
          </cell>
          <cell r="H71">
            <v>226481.01</v>
          </cell>
        </row>
        <row r="72">
          <cell r="A72" t="str">
            <v>2108-001-000</v>
          </cell>
          <cell r="B72" t="str">
            <v>ISPT</v>
          </cell>
          <cell r="C72" t="str">
            <v xml:space="preserve"> </v>
          </cell>
          <cell r="D72">
            <v>95861.09</v>
          </cell>
          <cell r="E72">
            <v>95860</v>
          </cell>
          <cell r="F72">
            <v>97041.21</v>
          </cell>
          <cell r="G72" t="str">
            <v xml:space="preserve"> </v>
          </cell>
          <cell r="H72">
            <v>97042.3</v>
          </cell>
        </row>
        <row r="73">
          <cell r="A73" t="str">
            <v>2108-002-000</v>
          </cell>
          <cell r="B73" t="str">
            <v>ISN</v>
          </cell>
          <cell r="C73" t="str">
            <v xml:space="preserve"> </v>
          </cell>
          <cell r="D73">
            <v>9307</v>
          </cell>
          <cell r="E73">
            <v>9307</v>
          </cell>
          <cell r="F73">
            <v>9884</v>
          </cell>
          <cell r="G73" t="str">
            <v xml:space="preserve"> </v>
          </cell>
          <cell r="H73">
            <v>9884</v>
          </cell>
        </row>
        <row r="74">
          <cell r="A74" t="str">
            <v>2108-003-000</v>
          </cell>
          <cell r="B74" t="str">
            <v>IMSS</v>
          </cell>
          <cell r="C74" t="str">
            <v xml:space="preserve"> </v>
          </cell>
          <cell r="D74">
            <v>29562.959999999999</v>
          </cell>
          <cell r="E74">
            <v>29562.959999999999</v>
          </cell>
          <cell r="F74">
            <v>28609.35</v>
          </cell>
          <cell r="G74" t="str">
            <v xml:space="preserve"> </v>
          </cell>
          <cell r="H74">
            <v>28609.35</v>
          </cell>
        </row>
        <row r="75">
          <cell r="A75" t="str">
            <v>2108-004-000</v>
          </cell>
          <cell r="B75" t="str">
            <v>INFONAVIT</v>
          </cell>
          <cell r="C75" t="str">
            <v xml:space="preserve"> </v>
          </cell>
          <cell r="D75">
            <v>0</v>
          </cell>
          <cell r="E75">
            <v>0</v>
          </cell>
          <cell r="F75">
            <v>31866.880000000001</v>
          </cell>
          <cell r="G75" t="str">
            <v xml:space="preserve"> </v>
          </cell>
          <cell r="H75">
            <v>31866.880000000001</v>
          </cell>
        </row>
        <row r="76">
          <cell r="A76" t="str">
            <v>2108-005-000</v>
          </cell>
          <cell r="B76" t="str">
            <v>SAR</v>
          </cell>
          <cell r="C76" t="str">
            <v xml:space="preserve"> </v>
          </cell>
          <cell r="D76">
            <v>0</v>
          </cell>
          <cell r="E76">
            <v>0</v>
          </cell>
          <cell r="F76">
            <v>39992.910000000003</v>
          </cell>
          <cell r="G76" t="str">
            <v xml:space="preserve"> </v>
          </cell>
          <cell r="H76">
            <v>39992.910000000003</v>
          </cell>
        </row>
        <row r="77">
          <cell r="A77" t="str">
            <v>2108-008-000</v>
          </cell>
          <cell r="B77" t="str">
            <v>ISPT Assimilated</v>
          </cell>
          <cell r="C77" t="str">
            <v xml:space="preserve"> </v>
          </cell>
          <cell r="D77">
            <v>-0.14000000000000001</v>
          </cell>
          <cell r="E77">
            <v>0</v>
          </cell>
          <cell r="F77">
            <v>0</v>
          </cell>
          <cell r="G77" t="str">
            <v xml:space="preserve"> </v>
          </cell>
          <cell r="H77">
            <v>-0.14000000000000001</v>
          </cell>
        </row>
        <row r="78">
          <cell r="A78" t="str">
            <v>2108-020-000</v>
          </cell>
          <cell r="B78" t="str">
            <v>Infonavit creditos</v>
          </cell>
          <cell r="C78" t="str">
            <v xml:space="preserve"> </v>
          </cell>
          <cell r="D78">
            <v>9714.0499999999993</v>
          </cell>
          <cell r="E78">
            <v>0</v>
          </cell>
          <cell r="F78">
            <v>9371.66</v>
          </cell>
          <cell r="G78" t="str">
            <v xml:space="preserve"> </v>
          </cell>
          <cell r="H78">
            <v>19085.71</v>
          </cell>
        </row>
        <row r="79">
          <cell r="A79" t="str">
            <v>0000-300-000</v>
          </cell>
          <cell r="B79" t="str">
            <v>CAPITAL</v>
          </cell>
          <cell r="C79" t="str">
            <v xml:space="preserve"> </v>
          </cell>
          <cell r="D79">
            <v>-221330.79</v>
          </cell>
          <cell r="E79">
            <v>0</v>
          </cell>
          <cell r="F79">
            <v>0</v>
          </cell>
          <cell r="G79" t="str">
            <v xml:space="preserve"> </v>
          </cell>
          <cell r="H79">
            <v>-221330.79</v>
          </cell>
        </row>
        <row r="80">
          <cell r="A80" t="str">
            <v>3100-000-000</v>
          </cell>
          <cell r="B80" t="str">
            <v>Aportaciones de Capital</v>
          </cell>
          <cell r="C80" t="str">
            <v xml:space="preserve"> </v>
          </cell>
          <cell r="D80">
            <v>3000</v>
          </cell>
          <cell r="E80">
            <v>0</v>
          </cell>
          <cell r="F80">
            <v>0</v>
          </cell>
          <cell r="G80" t="str">
            <v xml:space="preserve"> </v>
          </cell>
          <cell r="H80">
            <v>3000</v>
          </cell>
        </row>
        <row r="81">
          <cell r="A81" t="str">
            <v>3300-000-000</v>
          </cell>
          <cell r="B81" t="str">
            <v>Remanente de Ej anteriores</v>
          </cell>
          <cell r="C81" t="str">
            <v xml:space="preserve"> </v>
          </cell>
          <cell r="D81">
            <v>-224330.79</v>
          </cell>
          <cell r="E81">
            <v>0</v>
          </cell>
          <cell r="F81">
            <v>0</v>
          </cell>
          <cell r="G81" t="str">
            <v xml:space="preserve"> </v>
          </cell>
          <cell r="H81">
            <v>-224330.79</v>
          </cell>
        </row>
        <row r="82">
          <cell r="A82" t="str">
            <v>3300-001-000</v>
          </cell>
          <cell r="B82" t="str">
            <v>Resultado del Ejercicio 2013</v>
          </cell>
          <cell r="C82" t="str">
            <v xml:space="preserve"> </v>
          </cell>
          <cell r="D82">
            <v>-411059.15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-411059.15</v>
          </cell>
        </row>
        <row r="83">
          <cell r="A83" t="str">
            <v>3300-002-000</v>
          </cell>
          <cell r="B83" t="str">
            <v>Resultado del Ejercicio 2014</v>
          </cell>
          <cell r="C83" t="str">
            <v xml:space="preserve"> </v>
          </cell>
          <cell r="D83">
            <v>186728.36</v>
          </cell>
          <cell r="E83">
            <v>0</v>
          </cell>
          <cell r="F83">
            <v>0</v>
          </cell>
          <cell r="G83" t="str">
            <v xml:space="preserve"> </v>
          </cell>
          <cell r="H83">
            <v>186728.36</v>
          </cell>
        </row>
        <row r="84">
          <cell r="A84" t="str">
            <v>0000-400-000</v>
          </cell>
          <cell r="B84" t="str">
            <v>INGRESOS</v>
          </cell>
          <cell r="C84" t="str">
            <v xml:space="preserve"> </v>
          </cell>
          <cell r="D84">
            <v>1837155.17</v>
          </cell>
          <cell r="E84">
            <v>0</v>
          </cell>
          <cell r="F84">
            <v>707774.02</v>
          </cell>
          <cell r="G84" t="str">
            <v xml:space="preserve"> </v>
          </cell>
          <cell r="H84">
            <v>2544929.19</v>
          </cell>
        </row>
        <row r="85">
          <cell r="A85" t="str">
            <v>4100-002-000</v>
          </cell>
          <cell r="B85" t="str">
            <v>0% Ventas</v>
          </cell>
          <cell r="C85" t="str">
            <v xml:space="preserve"> </v>
          </cell>
          <cell r="D85">
            <v>1837101.62</v>
          </cell>
          <cell r="E85">
            <v>0</v>
          </cell>
          <cell r="F85">
            <v>707774.02</v>
          </cell>
          <cell r="G85" t="str">
            <v xml:space="preserve"> </v>
          </cell>
          <cell r="H85">
            <v>2544875.64</v>
          </cell>
        </row>
        <row r="86">
          <cell r="A86" t="str">
            <v>4100-006-000</v>
          </cell>
          <cell r="B86" t="str">
            <v>Desc sobre Compras</v>
          </cell>
          <cell r="C86" t="str">
            <v xml:space="preserve"> </v>
          </cell>
          <cell r="D86">
            <v>53.55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53.55</v>
          </cell>
        </row>
        <row r="87">
          <cell r="A87" t="str">
            <v>0000-500-000</v>
          </cell>
          <cell r="B87" t="str">
            <v>GASTOS</v>
          </cell>
          <cell r="C87">
            <v>1690178.38</v>
          </cell>
          <cell r="D87" t="str">
            <v xml:space="preserve"> </v>
          </cell>
          <cell r="E87">
            <v>628497.14</v>
          </cell>
          <cell r="F87">
            <v>0</v>
          </cell>
          <cell r="G87">
            <v>2318675.52</v>
          </cell>
          <cell r="H87" t="str">
            <v xml:space="preserve"> </v>
          </cell>
        </row>
        <row r="88">
          <cell r="A88" t="str">
            <v>5200-000-000</v>
          </cell>
          <cell r="B88" t="str">
            <v>GASTOS DE NOMINA</v>
          </cell>
          <cell r="C88">
            <v>1407882.4</v>
          </cell>
          <cell r="D88" t="str">
            <v xml:space="preserve"> </v>
          </cell>
          <cell r="E88">
            <v>539477.84</v>
          </cell>
          <cell r="F88">
            <v>0</v>
          </cell>
          <cell r="G88">
            <v>1947360.24</v>
          </cell>
          <cell r="H88" t="str">
            <v xml:space="preserve"> </v>
          </cell>
        </row>
        <row r="89">
          <cell r="A89" t="str">
            <v>5200-001-000</v>
          </cell>
          <cell r="B89" t="str">
            <v>Sueldos</v>
          </cell>
          <cell r="C89">
            <v>1148997.82</v>
          </cell>
          <cell r="D89" t="str">
            <v xml:space="preserve"> </v>
          </cell>
          <cell r="E89">
            <v>379017.68</v>
          </cell>
          <cell r="F89">
            <v>0</v>
          </cell>
          <cell r="G89">
            <v>1528015.5</v>
          </cell>
          <cell r="H89" t="str">
            <v xml:space="preserve"> </v>
          </cell>
        </row>
        <row r="90">
          <cell r="A90" t="str">
            <v>5200-004-000</v>
          </cell>
          <cell r="B90" t="str">
            <v>Vales de despensa</v>
          </cell>
          <cell r="C90">
            <v>37800</v>
          </cell>
          <cell r="D90" t="str">
            <v xml:space="preserve"> </v>
          </cell>
          <cell r="E90">
            <v>12600</v>
          </cell>
          <cell r="F90">
            <v>0</v>
          </cell>
          <cell r="G90">
            <v>50400</v>
          </cell>
          <cell r="H90" t="str">
            <v xml:space="preserve"> </v>
          </cell>
        </row>
        <row r="91">
          <cell r="A91" t="str">
            <v>5200-007-000</v>
          </cell>
          <cell r="B91" t="str">
            <v>IMSS</v>
          </cell>
          <cell r="C91">
            <v>65525.19</v>
          </cell>
          <cell r="D91" t="str">
            <v xml:space="preserve"> </v>
          </cell>
          <cell r="E91">
            <v>20087.89</v>
          </cell>
          <cell r="F91">
            <v>0</v>
          </cell>
          <cell r="G91">
            <v>85613.08</v>
          </cell>
          <cell r="H91" t="str">
            <v xml:space="preserve"> </v>
          </cell>
        </row>
        <row r="92">
          <cell r="A92" t="str">
            <v>5200-008-000</v>
          </cell>
          <cell r="B92" t="str">
            <v>SAR</v>
          </cell>
          <cell r="C92">
            <v>38681.660000000003</v>
          </cell>
          <cell r="D92" t="str">
            <v xml:space="preserve"> </v>
          </cell>
          <cell r="E92">
            <v>39992.910000000003</v>
          </cell>
          <cell r="F92">
            <v>0</v>
          </cell>
          <cell r="G92">
            <v>78674.570000000007</v>
          </cell>
          <cell r="H92" t="str">
            <v xml:space="preserve"> </v>
          </cell>
        </row>
        <row r="93">
          <cell r="A93" t="str">
            <v>5200-009-000</v>
          </cell>
          <cell r="B93" t="str">
            <v>INFONAVIT</v>
          </cell>
          <cell r="C93">
            <v>30822.07</v>
          </cell>
          <cell r="D93" t="str">
            <v xml:space="preserve"> </v>
          </cell>
          <cell r="E93">
            <v>31866.880000000001</v>
          </cell>
          <cell r="F93">
            <v>0</v>
          </cell>
          <cell r="G93">
            <v>62688.95</v>
          </cell>
          <cell r="H93" t="str">
            <v xml:space="preserve"> </v>
          </cell>
        </row>
        <row r="94">
          <cell r="A94" t="str">
            <v>5200-010-000</v>
          </cell>
          <cell r="B94" t="str">
            <v>ISN</v>
          </cell>
          <cell r="C94">
            <v>28038</v>
          </cell>
          <cell r="D94" t="str">
            <v xml:space="preserve"> </v>
          </cell>
          <cell r="E94">
            <v>9884</v>
          </cell>
          <cell r="F94">
            <v>0</v>
          </cell>
          <cell r="G94">
            <v>37922</v>
          </cell>
          <cell r="H94" t="str">
            <v xml:space="preserve"> </v>
          </cell>
        </row>
        <row r="95">
          <cell r="A95" t="str">
            <v>5200-012-000</v>
          </cell>
          <cell r="B95" t="str">
            <v>Vacaciones</v>
          </cell>
          <cell r="C95">
            <v>29143.45</v>
          </cell>
          <cell r="D95" t="str">
            <v xml:space="preserve"> </v>
          </cell>
          <cell r="E95">
            <v>17168.939999999999</v>
          </cell>
          <cell r="F95">
            <v>0</v>
          </cell>
          <cell r="G95">
            <v>46312.39</v>
          </cell>
          <cell r="H95" t="str">
            <v xml:space="preserve"> </v>
          </cell>
        </row>
        <row r="96">
          <cell r="A96" t="str">
            <v>5200-013-000</v>
          </cell>
          <cell r="B96" t="str">
            <v>Prima Vacacional</v>
          </cell>
          <cell r="C96">
            <v>4934.21</v>
          </cell>
          <cell r="D96" t="str">
            <v xml:space="preserve"> </v>
          </cell>
          <cell r="E96">
            <v>0</v>
          </cell>
          <cell r="F96">
            <v>0</v>
          </cell>
          <cell r="G96">
            <v>4934.21</v>
          </cell>
          <cell r="H96" t="str">
            <v xml:space="preserve"> </v>
          </cell>
        </row>
        <row r="97">
          <cell r="A97" t="str">
            <v>5200-014-000</v>
          </cell>
          <cell r="B97" t="str">
            <v>Aguinaldo</v>
          </cell>
          <cell r="C97">
            <v>0</v>
          </cell>
          <cell r="D97" t="str">
            <v xml:space="preserve"> </v>
          </cell>
          <cell r="E97">
            <v>20879.54</v>
          </cell>
          <cell r="F97">
            <v>0</v>
          </cell>
          <cell r="G97">
            <v>20879.54</v>
          </cell>
          <cell r="H97" t="str">
            <v xml:space="preserve"> </v>
          </cell>
        </row>
        <row r="98">
          <cell r="A98" t="str">
            <v>5200-021-000</v>
          </cell>
          <cell r="B98" t="str">
            <v>Comisiones Vales</v>
          </cell>
          <cell r="C98">
            <v>2940</v>
          </cell>
          <cell r="D98" t="str">
            <v xml:space="preserve"> </v>
          </cell>
          <cell r="E98">
            <v>980</v>
          </cell>
          <cell r="F98">
            <v>0</v>
          </cell>
          <cell r="G98">
            <v>3920</v>
          </cell>
          <cell r="H98" t="str">
            <v xml:space="preserve"> </v>
          </cell>
        </row>
        <row r="99">
          <cell r="A99" t="str">
            <v>5200-027-000</v>
          </cell>
          <cell r="B99" t="str">
            <v>Vales de gasolina</v>
          </cell>
          <cell r="C99">
            <v>21000</v>
          </cell>
          <cell r="D99" t="str">
            <v xml:space="preserve"> </v>
          </cell>
          <cell r="E99">
            <v>7000</v>
          </cell>
          <cell r="F99">
            <v>0</v>
          </cell>
          <cell r="G99">
            <v>28000</v>
          </cell>
          <cell r="H99" t="str">
            <v xml:space="preserve"> </v>
          </cell>
        </row>
        <row r="100">
          <cell r="A100" t="str">
            <v>5300-000-000</v>
          </cell>
          <cell r="B100" t="str">
            <v>GASTOS DE ADMINISTRACION</v>
          </cell>
          <cell r="C100">
            <v>273191.3</v>
          </cell>
          <cell r="D100" t="str">
            <v xml:space="preserve"> </v>
          </cell>
          <cell r="E100">
            <v>86123.15</v>
          </cell>
          <cell r="F100">
            <v>0</v>
          </cell>
          <cell r="G100">
            <v>359314.45</v>
          </cell>
          <cell r="H100" t="str">
            <v xml:space="preserve"> </v>
          </cell>
        </row>
        <row r="101">
          <cell r="A101" t="str">
            <v>5300-002-000</v>
          </cell>
          <cell r="B101" t="str">
            <v>Gastos de viaje</v>
          </cell>
          <cell r="C101">
            <v>70663.240000000005</v>
          </cell>
          <cell r="D101" t="str">
            <v xml:space="preserve"> </v>
          </cell>
          <cell r="E101">
            <v>25025.46</v>
          </cell>
          <cell r="F101">
            <v>0</v>
          </cell>
          <cell r="G101">
            <v>95688.7</v>
          </cell>
          <cell r="H101" t="str">
            <v xml:space="preserve"> </v>
          </cell>
        </row>
        <row r="102">
          <cell r="A102" t="str">
            <v>5300-003-000</v>
          </cell>
          <cell r="B102" t="str">
            <v>Eventos especiales</v>
          </cell>
          <cell r="C102">
            <v>16209.06</v>
          </cell>
          <cell r="D102" t="str">
            <v xml:space="preserve"> </v>
          </cell>
          <cell r="E102">
            <v>0</v>
          </cell>
          <cell r="F102">
            <v>0</v>
          </cell>
          <cell r="G102">
            <v>16209.06</v>
          </cell>
          <cell r="H102" t="str">
            <v xml:space="preserve"> </v>
          </cell>
        </row>
        <row r="103">
          <cell r="A103" t="str">
            <v>5300-004-000</v>
          </cell>
          <cell r="B103" t="str">
            <v>Consumo en Restaurantes</v>
          </cell>
          <cell r="C103">
            <v>53.48</v>
          </cell>
          <cell r="D103" t="str">
            <v xml:space="preserve"> </v>
          </cell>
          <cell r="E103">
            <v>65.95</v>
          </cell>
          <cell r="F103">
            <v>0</v>
          </cell>
          <cell r="G103">
            <v>119.43</v>
          </cell>
          <cell r="H103" t="str">
            <v xml:space="preserve"> </v>
          </cell>
        </row>
        <row r="104">
          <cell r="A104" t="str">
            <v>5300-006-000</v>
          </cell>
          <cell r="B104" t="str">
            <v>Comunicacion</v>
          </cell>
          <cell r="C104">
            <v>12109.09</v>
          </cell>
          <cell r="D104" t="str">
            <v xml:space="preserve"> </v>
          </cell>
          <cell r="E104">
            <v>3862.8</v>
          </cell>
          <cell r="F104">
            <v>0</v>
          </cell>
          <cell r="G104">
            <v>15971.89</v>
          </cell>
          <cell r="H104" t="str">
            <v xml:space="preserve"> </v>
          </cell>
        </row>
        <row r="105">
          <cell r="A105" t="str">
            <v>5300-007-000</v>
          </cell>
          <cell r="B105" t="str">
            <v>Honorarios</v>
          </cell>
          <cell r="C105">
            <v>18000</v>
          </cell>
          <cell r="D105" t="str">
            <v xml:space="preserve"> </v>
          </cell>
          <cell r="E105">
            <v>18000</v>
          </cell>
          <cell r="F105">
            <v>0</v>
          </cell>
          <cell r="G105">
            <v>36000</v>
          </cell>
          <cell r="H105" t="str">
            <v xml:space="preserve"> </v>
          </cell>
        </row>
        <row r="106">
          <cell r="A106" t="str">
            <v>5300-009-000</v>
          </cell>
          <cell r="B106" t="str">
            <v>Arrendamiento</v>
          </cell>
          <cell r="C106">
            <v>72000</v>
          </cell>
          <cell r="D106" t="str">
            <v xml:space="preserve"> </v>
          </cell>
          <cell r="E106">
            <v>24000</v>
          </cell>
          <cell r="F106">
            <v>0</v>
          </cell>
          <cell r="G106">
            <v>96000</v>
          </cell>
          <cell r="H106" t="str">
            <v xml:space="preserve"> </v>
          </cell>
        </row>
        <row r="107">
          <cell r="A107" t="str">
            <v>5300-013-000</v>
          </cell>
          <cell r="B107" t="str">
            <v>Seguros</v>
          </cell>
          <cell r="C107">
            <v>8834.2800000000007</v>
          </cell>
          <cell r="D107" t="str">
            <v xml:space="preserve"> </v>
          </cell>
          <cell r="E107">
            <v>5727.3</v>
          </cell>
          <cell r="F107">
            <v>0</v>
          </cell>
          <cell r="G107">
            <v>14561.58</v>
          </cell>
          <cell r="H107" t="str">
            <v xml:space="preserve"> </v>
          </cell>
        </row>
        <row r="108">
          <cell r="A108" t="str">
            <v>5300-017-000</v>
          </cell>
          <cell r="B108" t="str">
            <v>Luz</v>
          </cell>
          <cell r="C108">
            <v>3067.11</v>
          </cell>
          <cell r="D108" t="str">
            <v xml:space="preserve"> </v>
          </cell>
          <cell r="E108">
            <v>2418.73</v>
          </cell>
          <cell r="F108">
            <v>0</v>
          </cell>
          <cell r="G108">
            <v>5485.84</v>
          </cell>
          <cell r="H108" t="str">
            <v xml:space="preserve"> </v>
          </cell>
        </row>
        <row r="109">
          <cell r="A109" t="str">
            <v>5300-018-000</v>
          </cell>
          <cell r="B109" t="str">
            <v>Gas Natural</v>
          </cell>
          <cell r="C109">
            <v>5996.26</v>
          </cell>
          <cell r="D109" t="str">
            <v xml:space="preserve"> </v>
          </cell>
          <cell r="E109">
            <v>0</v>
          </cell>
          <cell r="F109">
            <v>0</v>
          </cell>
          <cell r="G109">
            <v>5996.26</v>
          </cell>
          <cell r="H109" t="str">
            <v xml:space="preserve"> </v>
          </cell>
        </row>
        <row r="110">
          <cell r="A110" t="str">
            <v>5300-019-000</v>
          </cell>
          <cell r="B110" t="str">
            <v>Agua</v>
          </cell>
          <cell r="C110">
            <v>606.12</v>
          </cell>
          <cell r="D110" t="str">
            <v xml:space="preserve"> </v>
          </cell>
          <cell r="E110">
            <v>202.04</v>
          </cell>
          <cell r="F110">
            <v>0</v>
          </cell>
          <cell r="G110">
            <v>808.16</v>
          </cell>
          <cell r="H110" t="str">
            <v xml:space="preserve"> </v>
          </cell>
        </row>
        <row r="111">
          <cell r="A111" t="str">
            <v>5300-022-000</v>
          </cell>
          <cell r="B111" t="str">
            <v>Papeleria</v>
          </cell>
          <cell r="C111">
            <v>111.21</v>
          </cell>
          <cell r="D111" t="str">
            <v xml:space="preserve"> </v>
          </cell>
          <cell r="E111">
            <v>0</v>
          </cell>
          <cell r="F111">
            <v>0</v>
          </cell>
          <cell r="G111">
            <v>111.21</v>
          </cell>
          <cell r="H111" t="str">
            <v xml:space="preserve"> </v>
          </cell>
        </row>
        <row r="112">
          <cell r="A112" t="str">
            <v>5300-027-000</v>
          </cell>
          <cell r="B112" t="str">
            <v>Seguridad e Higiene</v>
          </cell>
          <cell r="C112">
            <v>7200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7200</v>
          </cell>
          <cell r="H112" t="str">
            <v xml:space="preserve"> </v>
          </cell>
        </row>
        <row r="113">
          <cell r="A113" t="str">
            <v>5300-028-000</v>
          </cell>
          <cell r="B113" t="str">
            <v>Recolección de Basura</v>
          </cell>
          <cell r="C113">
            <v>403.2</v>
          </cell>
          <cell r="D113" t="str">
            <v xml:space="preserve"> </v>
          </cell>
          <cell r="E113">
            <v>134.4</v>
          </cell>
          <cell r="F113">
            <v>0</v>
          </cell>
          <cell r="G113">
            <v>537.6</v>
          </cell>
          <cell r="H113" t="str">
            <v xml:space="preserve"> </v>
          </cell>
        </row>
        <row r="114">
          <cell r="A114" t="str">
            <v>5300-029-000</v>
          </cell>
          <cell r="B114" t="str">
            <v>Sistemas de Alarma</v>
          </cell>
          <cell r="C114">
            <v>1350</v>
          </cell>
          <cell r="D114" t="str">
            <v xml:space="preserve"> </v>
          </cell>
          <cell r="E114">
            <v>0</v>
          </cell>
          <cell r="F114">
            <v>0</v>
          </cell>
          <cell r="G114">
            <v>1350</v>
          </cell>
          <cell r="H114" t="str">
            <v xml:space="preserve"> </v>
          </cell>
        </row>
        <row r="115">
          <cell r="A115" t="str">
            <v>5300-031-000</v>
          </cell>
          <cell r="B115" t="str">
            <v>Cuotas y Suscripciones</v>
          </cell>
          <cell r="C115">
            <v>180</v>
          </cell>
          <cell r="D115" t="str">
            <v xml:space="preserve"> </v>
          </cell>
          <cell r="E115">
            <v>0</v>
          </cell>
          <cell r="F115">
            <v>0</v>
          </cell>
          <cell r="G115">
            <v>180</v>
          </cell>
          <cell r="H115" t="str">
            <v xml:space="preserve"> </v>
          </cell>
        </row>
        <row r="116">
          <cell r="A116" t="str">
            <v>5300-032-000</v>
          </cell>
          <cell r="B116" t="str">
            <v>Otros impuestos y derechos</v>
          </cell>
          <cell r="C116">
            <v>5.83</v>
          </cell>
          <cell r="D116" t="str">
            <v xml:space="preserve"> </v>
          </cell>
          <cell r="E116">
            <v>0</v>
          </cell>
          <cell r="F116">
            <v>0</v>
          </cell>
          <cell r="G116">
            <v>5.83</v>
          </cell>
          <cell r="H116" t="str">
            <v xml:space="preserve"> </v>
          </cell>
        </row>
        <row r="117">
          <cell r="A117" t="str">
            <v>5300-035-000</v>
          </cell>
          <cell r="B117" t="str">
            <v>Mantenimiento Local</v>
          </cell>
          <cell r="C117">
            <v>15103.18</v>
          </cell>
          <cell r="D117" t="str">
            <v xml:space="preserve"> </v>
          </cell>
          <cell r="E117">
            <v>2700</v>
          </cell>
          <cell r="F117">
            <v>0</v>
          </cell>
          <cell r="G117">
            <v>17803.18</v>
          </cell>
          <cell r="H117" t="str">
            <v xml:space="preserve"> </v>
          </cell>
        </row>
        <row r="118">
          <cell r="A118" t="str">
            <v>5300-036-000</v>
          </cell>
          <cell r="B118" t="str">
            <v>Mantenimiento equipo de computo</v>
          </cell>
          <cell r="C118">
            <v>0</v>
          </cell>
          <cell r="D118" t="str">
            <v xml:space="preserve"> </v>
          </cell>
          <cell r="E118">
            <v>525.87</v>
          </cell>
          <cell r="F118">
            <v>0</v>
          </cell>
          <cell r="G118">
            <v>525.87</v>
          </cell>
          <cell r="H118" t="str">
            <v xml:space="preserve"> </v>
          </cell>
        </row>
        <row r="119">
          <cell r="A119" t="str">
            <v>5300-038-000</v>
          </cell>
          <cell r="B119" t="str">
            <v>No deducibles</v>
          </cell>
          <cell r="C119">
            <v>40394.980000000003</v>
          </cell>
          <cell r="D119" t="str">
            <v xml:space="preserve"> </v>
          </cell>
          <cell r="E119">
            <v>3100.6</v>
          </cell>
          <cell r="F119">
            <v>0</v>
          </cell>
          <cell r="G119">
            <v>43495.58</v>
          </cell>
          <cell r="H119" t="str">
            <v xml:space="preserve"> </v>
          </cell>
        </row>
        <row r="120">
          <cell r="A120" t="str">
            <v>5300-039-000</v>
          </cell>
          <cell r="B120" t="str">
            <v>Comisiones bancarias</v>
          </cell>
          <cell r="C120">
            <v>480</v>
          </cell>
          <cell r="D120" t="str">
            <v xml:space="preserve"> </v>
          </cell>
          <cell r="E120">
            <v>260</v>
          </cell>
          <cell r="F120">
            <v>0</v>
          </cell>
          <cell r="G120">
            <v>740</v>
          </cell>
          <cell r="H120" t="str">
            <v xml:space="preserve"> </v>
          </cell>
        </row>
        <row r="121">
          <cell r="A121" t="str">
            <v>5300-040-000</v>
          </cell>
          <cell r="B121" t="str">
            <v>Actualizacion de contribuciones</v>
          </cell>
          <cell r="C121">
            <v>119.96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119.96</v>
          </cell>
          <cell r="H121" t="str">
            <v xml:space="preserve"> </v>
          </cell>
        </row>
        <row r="122">
          <cell r="A122" t="str">
            <v>5300-041-000</v>
          </cell>
          <cell r="B122" t="str">
            <v>Recargos</v>
          </cell>
          <cell r="C122">
            <v>304.3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304.3</v>
          </cell>
          <cell r="H122" t="str">
            <v xml:space="preserve"> </v>
          </cell>
        </row>
        <row r="123">
          <cell r="A123" t="str">
            <v>5300-042-000</v>
          </cell>
          <cell r="B123" t="str">
            <v>Diversos</v>
          </cell>
          <cell r="C123">
            <v>0</v>
          </cell>
          <cell r="D123" t="str">
            <v xml:space="preserve"> </v>
          </cell>
          <cell r="E123">
            <v>100</v>
          </cell>
          <cell r="F123">
            <v>0</v>
          </cell>
          <cell r="G123">
            <v>100</v>
          </cell>
          <cell r="H123" t="str">
            <v xml:space="preserve"> </v>
          </cell>
        </row>
        <row r="124">
          <cell r="A124" t="str">
            <v>5400-000-000</v>
          </cell>
          <cell r="B124" t="str">
            <v>GASTOS DE OPERACION</v>
          </cell>
          <cell r="C124">
            <v>9104.68</v>
          </cell>
          <cell r="D124" t="str">
            <v xml:space="preserve"> </v>
          </cell>
          <cell r="E124">
            <v>2896.15</v>
          </cell>
          <cell r="F124">
            <v>0</v>
          </cell>
          <cell r="G124">
            <v>12000.83</v>
          </cell>
          <cell r="H124" t="str">
            <v xml:space="preserve"> </v>
          </cell>
        </row>
        <row r="125">
          <cell r="A125" t="str">
            <v>5400-001-000</v>
          </cell>
          <cell r="B125" t="str">
            <v>Depreciacion acumulada</v>
          </cell>
          <cell r="C125">
            <v>7804.68</v>
          </cell>
          <cell r="D125" t="str">
            <v xml:space="preserve"> </v>
          </cell>
          <cell r="E125">
            <v>2896.15</v>
          </cell>
          <cell r="F125">
            <v>0</v>
          </cell>
          <cell r="G125">
            <v>10700.83</v>
          </cell>
          <cell r="H125" t="str">
            <v xml:space="preserve"> </v>
          </cell>
        </row>
        <row r="126">
          <cell r="A126" t="str">
            <v>5400-001-004</v>
          </cell>
          <cell r="B126" t="str">
            <v>Machinery &amp; Equipment accumulated depreciation</v>
          </cell>
          <cell r="C126">
            <v>2352.09</v>
          </cell>
          <cell r="D126" t="str">
            <v xml:space="preserve"> </v>
          </cell>
          <cell r="E126">
            <v>784.03</v>
          </cell>
          <cell r="F126">
            <v>0</v>
          </cell>
          <cell r="G126">
            <v>3136.12</v>
          </cell>
          <cell r="H126" t="str">
            <v xml:space="preserve"> </v>
          </cell>
        </row>
        <row r="127">
          <cell r="A127" t="str">
            <v>5400-001-005</v>
          </cell>
          <cell r="B127" t="str">
            <v>Computer Equipment accumulated depreciation</v>
          </cell>
          <cell r="C127">
            <v>5452.59</v>
          </cell>
          <cell r="D127" t="str">
            <v xml:space="preserve"> </v>
          </cell>
          <cell r="E127">
            <v>2112.12</v>
          </cell>
          <cell r="F127">
            <v>0</v>
          </cell>
          <cell r="G127">
            <v>7564.71</v>
          </cell>
          <cell r="H127" t="str">
            <v xml:space="preserve"> </v>
          </cell>
        </row>
        <row r="128">
          <cell r="A128" t="str">
            <v>5400-038-000</v>
          </cell>
          <cell r="B128" t="str">
            <v>No Deducibles</v>
          </cell>
          <cell r="C128">
            <v>3.54</v>
          </cell>
          <cell r="D128" t="str">
            <v xml:space="preserve"> </v>
          </cell>
          <cell r="E128">
            <v>0</v>
          </cell>
          <cell r="F128">
            <v>0</v>
          </cell>
          <cell r="G128">
            <v>3.54</v>
          </cell>
          <cell r="H128" t="str">
            <v xml:space="preserve"> </v>
          </cell>
        </row>
        <row r="129">
          <cell r="A129" t="str">
            <v>5400-046-000</v>
          </cell>
          <cell r="B129" t="str">
            <v>Multas</v>
          </cell>
          <cell r="C129">
            <v>1296.46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1296.46</v>
          </cell>
          <cell r="H129" t="str">
            <v xml:space="preserve"> </v>
          </cell>
        </row>
        <row r="130">
          <cell r="A130" t="str">
            <v>0000-600-000</v>
          </cell>
          <cell r="B130" t="str">
            <v>CIF</v>
          </cell>
          <cell r="C130">
            <v>1082.01</v>
          </cell>
          <cell r="D130" t="str">
            <v xml:space="preserve"> </v>
          </cell>
          <cell r="E130">
            <v>392.66</v>
          </cell>
          <cell r="F130">
            <v>777.6</v>
          </cell>
          <cell r="G130">
            <v>697.07</v>
          </cell>
          <cell r="H130" t="str">
            <v xml:space="preserve"> </v>
          </cell>
        </row>
        <row r="131">
          <cell r="A131" t="str">
            <v>6000-002-000</v>
          </cell>
          <cell r="B131" t="str">
            <v>Pérdida en Cambios</v>
          </cell>
          <cell r="C131">
            <v>1831.1</v>
          </cell>
          <cell r="D131" t="str">
            <v xml:space="preserve"> </v>
          </cell>
          <cell r="E131">
            <v>392.66</v>
          </cell>
          <cell r="F131">
            <v>0</v>
          </cell>
          <cell r="G131">
            <v>2223.7600000000002</v>
          </cell>
          <cell r="H131" t="str">
            <v xml:space="preserve"> </v>
          </cell>
        </row>
        <row r="132">
          <cell r="A132" t="str">
            <v>6000-003-000</v>
          </cell>
          <cell r="B132" t="str">
            <v>Intereses Bancarios</v>
          </cell>
          <cell r="C132">
            <v>-749.12</v>
          </cell>
          <cell r="D132" t="str">
            <v xml:space="preserve"> </v>
          </cell>
          <cell r="E132">
            <v>0</v>
          </cell>
          <cell r="F132">
            <v>777.57</v>
          </cell>
          <cell r="G132">
            <v>-1526.69</v>
          </cell>
          <cell r="H132" t="str">
            <v xml:space="preserve"> </v>
          </cell>
        </row>
        <row r="133">
          <cell r="A133" t="str">
            <v>6000-005-000</v>
          </cell>
          <cell r="B133" t="str">
            <v>Minor Dif</v>
          </cell>
          <cell r="C133">
            <v>0.03</v>
          </cell>
          <cell r="D133" t="str">
            <v xml:space="preserve"> </v>
          </cell>
          <cell r="E133">
            <v>0</v>
          </cell>
          <cell r="F133">
            <v>0.03</v>
          </cell>
          <cell r="G133">
            <v>0</v>
          </cell>
          <cell r="H133" t="str">
            <v xml:space="preserve"> </v>
          </cell>
        </row>
        <row r="134">
          <cell r="A134" t="str">
            <v xml:space="preserve"> </v>
          </cell>
        </row>
        <row r="135">
          <cell r="B135" t="str">
            <v>Total cuentas no impresas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 xml:space="preserve"> </v>
          </cell>
          <cell r="D136">
            <v>0</v>
          </cell>
          <cell r="H136">
            <v>0</v>
          </cell>
        </row>
        <row r="137">
          <cell r="A137" t="str">
            <v xml:space="preserve"> </v>
          </cell>
        </row>
        <row r="139">
          <cell r="B139" t="str">
            <v xml:space="preserve">Sumas Iguales: </v>
          </cell>
          <cell r="C139">
            <v>2611337.96</v>
          </cell>
          <cell r="E139">
            <v>3395906.83</v>
          </cell>
          <cell r="F139">
            <v>3395906.83</v>
          </cell>
          <cell r="G139">
            <v>3390124.18</v>
          </cell>
        </row>
        <row r="140">
          <cell r="D140">
            <v>2611337.96</v>
          </cell>
          <cell r="H140">
            <v>3390124.18</v>
          </cell>
        </row>
      </sheetData>
      <sheetData sheetId="48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31/May/2015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1029671.12</v>
          </cell>
          <cell r="D8" t="str">
            <v xml:space="preserve"> </v>
          </cell>
          <cell r="E8">
            <v>1150558.9099999999</v>
          </cell>
          <cell r="F8">
            <v>1271797.97</v>
          </cell>
          <cell r="G8">
            <v>908432.06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886710.15</v>
          </cell>
          <cell r="D9" t="str">
            <v xml:space="preserve"> </v>
          </cell>
          <cell r="E9">
            <v>1139886.5</v>
          </cell>
          <cell r="F9">
            <v>1268856.21</v>
          </cell>
          <cell r="G9">
            <v>757740.44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695911.89</v>
          </cell>
          <cell r="D10" t="str">
            <v xml:space="preserve"> </v>
          </cell>
          <cell r="E10">
            <v>599369.87</v>
          </cell>
          <cell r="F10">
            <v>688693.29</v>
          </cell>
          <cell r="G10">
            <v>606588.47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23221.03</v>
          </cell>
          <cell r="D11" t="str">
            <v xml:space="preserve"> </v>
          </cell>
          <cell r="E11">
            <v>2437.8000000000002</v>
          </cell>
          <cell r="F11">
            <v>23918.75</v>
          </cell>
          <cell r="G11">
            <v>1740.08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71620</v>
          </cell>
          <cell r="D12" t="str">
            <v xml:space="preserve"> </v>
          </cell>
          <cell r="E12">
            <v>596410.99</v>
          </cell>
          <cell r="F12">
            <v>564770.05000000005</v>
          </cell>
          <cell r="G12">
            <v>103260.94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601070.86</v>
          </cell>
          <cell r="D13" t="str">
            <v xml:space="preserve"> </v>
          </cell>
          <cell r="E13">
            <v>521.08000000000004</v>
          </cell>
          <cell r="F13">
            <v>100004.49</v>
          </cell>
          <cell r="G13">
            <v>501587.45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496406.5</v>
          </cell>
          <cell r="F14">
            <v>496406.5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496406.5</v>
          </cell>
          <cell r="F15">
            <v>496406.5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496406.5</v>
          </cell>
          <cell r="F16">
            <v>496406.5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75797.39</v>
          </cell>
          <cell r="D17" t="str">
            <v xml:space="preserve"> </v>
          </cell>
          <cell r="E17">
            <v>23640.240000000002</v>
          </cell>
          <cell r="F17">
            <v>78029.119999999995</v>
          </cell>
          <cell r="G17">
            <v>21408.51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11340.12</v>
          </cell>
          <cell r="F18">
            <v>11340.12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960</v>
          </cell>
          <cell r="D19" t="str">
            <v xml:space="preserve"> </v>
          </cell>
          <cell r="E19">
            <v>960</v>
          </cell>
          <cell r="F19">
            <v>960</v>
          </cell>
          <cell r="G19">
            <v>960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74837.39</v>
          </cell>
          <cell r="D20" t="str">
            <v xml:space="preserve"> </v>
          </cell>
          <cell r="E20">
            <v>11340.12</v>
          </cell>
          <cell r="F20">
            <v>65729</v>
          </cell>
          <cell r="G20">
            <v>20448.509999999998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3000</v>
          </cell>
          <cell r="D21" t="str">
            <v xml:space="preserve"> </v>
          </cell>
          <cell r="E21">
            <v>0</v>
          </cell>
          <cell r="F21">
            <v>0</v>
          </cell>
          <cell r="G21">
            <v>3000</v>
          </cell>
          <cell r="H21" t="str">
            <v xml:space="preserve"> </v>
          </cell>
        </row>
        <row r="22">
          <cell r="A22" t="str">
            <v>1106-019-000</v>
          </cell>
          <cell r="B22" t="str">
            <v>R</v>
          </cell>
          <cell r="C22">
            <v>3000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3000</v>
          </cell>
          <cell r="H22" t="str">
            <v xml:space="preserve"> </v>
          </cell>
        </row>
        <row r="23">
          <cell r="A23" t="str">
            <v>1106-019-001</v>
          </cell>
          <cell r="B23" t="str">
            <v>Raymundo</v>
          </cell>
          <cell r="C23">
            <v>3000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3000</v>
          </cell>
          <cell r="H23" t="str">
            <v xml:space="preserve"> </v>
          </cell>
        </row>
        <row r="24">
          <cell r="A24" t="str">
            <v>1107-000-000</v>
          </cell>
          <cell r="B24" t="str">
            <v>Anticipo a Proveedores</v>
          </cell>
          <cell r="C24">
            <v>0</v>
          </cell>
          <cell r="D24" t="str">
            <v xml:space="preserve"> </v>
          </cell>
          <cell r="E24">
            <v>7595</v>
          </cell>
          <cell r="F24">
            <v>0</v>
          </cell>
          <cell r="G24">
            <v>7595</v>
          </cell>
          <cell r="H24" t="str">
            <v xml:space="preserve"> </v>
          </cell>
        </row>
        <row r="25">
          <cell r="A25" t="str">
            <v>1107-012-000</v>
          </cell>
          <cell r="B25" t="str">
            <v>L</v>
          </cell>
          <cell r="C25">
            <v>0</v>
          </cell>
          <cell r="D25" t="str">
            <v xml:space="preserve"> </v>
          </cell>
          <cell r="E25">
            <v>5500</v>
          </cell>
          <cell r="F25">
            <v>0</v>
          </cell>
          <cell r="G25">
            <v>5500</v>
          </cell>
          <cell r="H25" t="str">
            <v xml:space="preserve"> </v>
          </cell>
        </row>
        <row r="26">
          <cell r="A26" t="str">
            <v>1107-014-000</v>
          </cell>
          <cell r="B26" t="str">
            <v>N</v>
          </cell>
          <cell r="C26">
            <v>0</v>
          </cell>
          <cell r="D26" t="str">
            <v xml:space="preserve"> </v>
          </cell>
          <cell r="E26">
            <v>2095</v>
          </cell>
          <cell r="F26">
            <v>0</v>
          </cell>
          <cell r="G26">
            <v>2095</v>
          </cell>
          <cell r="H26" t="str">
            <v xml:space="preserve"> </v>
          </cell>
        </row>
        <row r="27">
          <cell r="A27" t="str">
            <v>1107-014-001</v>
          </cell>
          <cell r="B27" t="str">
            <v>Navarro Lozano y Compañia, S.C.</v>
          </cell>
          <cell r="C27">
            <v>0</v>
          </cell>
          <cell r="D27" t="str">
            <v xml:space="preserve"> </v>
          </cell>
          <cell r="E27">
            <v>2095</v>
          </cell>
          <cell r="F27">
            <v>0</v>
          </cell>
          <cell r="G27">
            <v>2095</v>
          </cell>
          <cell r="H27" t="str">
            <v xml:space="preserve"> </v>
          </cell>
        </row>
        <row r="28">
          <cell r="A28" t="str">
            <v>1108-000-000</v>
          </cell>
          <cell r="B28" t="str">
            <v>Pagos Anticipados</v>
          </cell>
          <cell r="C28">
            <v>33834.839999999997</v>
          </cell>
          <cell r="D28" t="str">
            <v xml:space="preserve"> </v>
          </cell>
          <cell r="E28">
            <v>12874.89</v>
          </cell>
          <cell r="F28">
            <v>0</v>
          </cell>
          <cell r="G28">
            <v>46709.73</v>
          </cell>
          <cell r="H28" t="str">
            <v xml:space="preserve"> </v>
          </cell>
        </row>
        <row r="29">
          <cell r="A29" t="str">
            <v>1108-001-000</v>
          </cell>
          <cell r="B29" t="str">
            <v>Pagos Provisionales ISR</v>
          </cell>
          <cell r="C29">
            <v>33215</v>
          </cell>
          <cell r="D29" t="str">
            <v xml:space="preserve"> </v>
          </cell>
          <cell r="E29">
            <v>12607</v>
          </cell>
          <cell r="F29">
            <v>0</v>
          </cell>
          <cell r="G29">
            <v>45822</v>
          </cell>
          <cell r="H29" t="str">
            <v xml:space="preserve"> </v>
          </cell>
        </row>
        <row r="30">
          <cell r="A30" t="str">
            <v>1108-004-000</v>
          </cell>
          <cell r="B30" t="str">
            <v>Retención de ISR Bancaria</v>
          </cell>
          <cell r="C30">
            <v>547.62</v>
          </cell>
          <cell r="D30" t="str">
            <v xml:space="preserve"> </v>
          </cell>
          <cell r="E30">
            <v>267.89</v>
          </cell>
          <cell r="F30">
            <v>0</v>
          </cell>
          <cell r="G30">
            <v>815.51</v>
          </cell>
          <cell r="H30" t="str">
            <v xml:space="preserve"> </v>
          </cell>
        </row>
        <row r="31">
          <cell r="A31" t="str">
            <v>1108-005-000</v>
          </cell>
          <cell r="B31" t="str">
            <v>Subsidio al Empleo</v>
          </cell>
          <cell r="C31">
            <v>0.22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0.22</v>
          </cell>
          <cell r="H31" t="str">
            <v xml:space="preserve"> </v>
          </cell>
        </row>
        <row r="32">
          <cell r="A32" t="str">
            <v>1108-006-000</v>
          </cell>
          <cell r="B32" t="str">
            <v>Saldo a Favor de ISR</v>
          </cell>
          <cell r="C32">
            <v>72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72</v>
          </cell>
          <cell r="H32" t="str">
            <v xml:space="preserve"> </v>
          </cell>
        </row>
        <row r="33">
          <cell r="A33" t="str">
            <v>1109-000-000</v>
          </cell>
          <cell r="B33" t="str">
            <v>Depositos en Garantia</v>
          </cell>
          <cell r="C33">
            <v>24000</v>
          </cell>
          <cell r="D33" t="str">
            <v xml:space="preserve"> </v>
          </cell>
          <cell r="E33">
            <v>0</v>
          </cell>
          <cell r="F33">
            <v>0</v>
          </cell>
          <cell r="G33">
            <v>24000</v>
          </cell>
          <cell r="H33" t="str">
            <v xml:space="preserve"> </v>
          </cell>
        </row>
        <row r="34">
          <cell r="A34" t="str">
            <v>1109-001-000</v>
          </cell>
          <cell r="B34" t="str">
            <v>Depositos en Garantia</v>
          </cell>
          <cell r="C34">
            <v>24000</v>
          </cell>
          <cell r="D34" t="str">
            <v xml:space="preserve"> </v>
          </cell>
          <cell r="E34">
            <v>0</v>
          </cell>
          <cell r="F34">
            <v>0</v>
          </cell>
          <cell r="G34">
            <v>24000</v>
          </cell>
          <cell r="H34" t="str">
            <v xml:space="preserve"> </v>
          </cell>
        </row>
        <row r="35">
          <cell r="A35" t="str">
            <v>1110-000-000</v>
          </cell>
          <cell r="B35" t="str">
            <v>Seguros Pagados por anticipado</v>
          </cell>
          <cell r="C35">
            <v>54166.03</v>
          </cell>
          <cell r="D35" t="str">
            <v xml:space="preserve"> </v>
          </cell>
          <cell r="E35">
            <v>0</v>
          </cell>
          <cell r="F35">
            <v>5727.3</v>
          </cell>
          <cell r="G35">
            <v>48438.73</v>
          </cell>
          <cell r="H35" t="str">
            <v xml:space="preserve"> </v>
          </cell>
        </row>
        <row r="36">
          <cell r="A36" t="str">
            <v>1110-001-000</v>
          </cell>
          <cell r="B36" t="str">
            <v>Seguro Gastos Medicos</v>
          </cell>
          <cell r="C36">
            <v>49081.1</v>
          </cell>
          <cell r="D36" t="str">
            <v xml:space="preserve"> </v>
          </cell>
          <cell r="E36">
            <v>0</v>
          </cell>
          <cell r="F36">
            <v>5091.6899999999996</v>
          </cell>
          <cell r="G36">
            <v>43989.41</v>
          </cell>
          <cell r="H36" t="str">
            <v xml:space="preserve"> </v>
          </cell>
        </row>
        <row r="37">
          <cell r="A37" t="str">
            <v>1110-002-000</v>
          </cell>
          <cell r="B37" t="str">
            <v>Seguro Local</v>
          </cell>
          <cell r="C37">
            <v>5084.93</v>
          </cell>
          <cell r="D37" t="str">
            <v xml:space="preserve"> </v>
          </cell>
          <cell r="E37">
            <v>0</v>
          </cell>
          <cell r="F37">
            <v>635.61</v>
          </cell>
          <cell r="G37">
            <v>4449.32</v>
          </cell>
          <cell r="H37" t="str">
            <v xml:space="preserve"> </v>
          </cell>
        </row>
        <row r="38">
          <cell r="A38" t="str">
            <v>1200-000-000</v>
          </cell>
          <cell r="B38" t="str">
            <v>ACTIVOS FIJOS</v>
          </cell>
          <cell r="C38">
            <v>142960.97</v>
          </cell>
          <cell r="D38" t="str">
            <v xml:space="preserve"> </v>
          </cell>
          <cell r="E38">
            <v>10672.41</v>
          </cell>
          <cell r="F38">
            <v>2941.76</v>
          </cell>
          <cell r="G38">
            <v>150691.62</v>
          </cell>
          <cell r="H38" t="str">
            <v xml:space="preserve"> </v>
          </cell>
        </row>
        <row r="39">
          <cell r="A39" t="str">
            <v>1208-000-000</v>
          </cell>
          <cell r="B39" t="str">
            <v>Mobiliario y Eq de oficina</v>
          </cell>
          <cell r="C39">
            <v>99556.57</v>
          </cell>
          <cell r="D39" t="str">
            <v xml:space="preserve"> </v>
          </cell>
          <cell r="E39">
            <v>4051.72</v>
          </cell>
          <cell r="F39">
            <v>0</v>
          </cell>
          <cell r="G39">
            <v>103608.29</v>
          </cell>
          <cell r="H39" t="str">
            <v xml:space="preserve"> </v>
          </cell>
        </row>
        <row r="40">
          <cell r="A40" t="str">
            <v>1208-001-000</v>
          </cell>
          <cell r="B40" t="str">
            <v>Mesa ejecutiva</v>
          </cell>
          <cell r="C40">
            <v>26207.61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26207.61</v>
          </cell>
          <cell r="H40" t="str">
            <v xml:space="preserve"> </v>
          </cell>
        </row>
        <row r="41">
          <cell r="A41" t="str">
            <v>1208-002-000</v>
          </cell>
          <cell r="B41" t="str">
            <v>Silla ejecutiva</v>
          </cell>
          <cell r="C41">
            <v>23407.759999999998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23407.759999999998</v>
          </cell>
          <cell r="H41" t="str">
            <v xml:space="preserve"> </v>
          </cell>
        </row>
        <row r="42">
          <cell r="A42" t="str">
            <v>1208-003-000</v>
          </cell>
          <cell r="B42" t="str">
            <v>Gabinete</v>
          </cell>
          <cell r="C42">
            <v>7500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7500</v>
          </cell>
          <cell r="H42" t="str">
            <v xml:space="preserve"> </v>
          </cell>
        </row>
        <row r="43">
          <cell r="A43" t="str">
            <v>1208-004-000</v>
          </cell>
          <cell r="B43" t="str">
            <v>Mesa de juntas</v>
          </cell>
          <cell r="C43">
            <v>8522.1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8522.1</v>
          </cell>
          <cell r="H43" t="str">
            <v xml:space="preserve"> </v>
          </cell>
        </row>
        <row r="44">
          <cell r="A44" t="str">
            <v>1208-005-000</v>
          </cell>
          <cell r="B44" t="str">
            <v>Calentador</v>
          </cell>
          <cell r="C44">
            <v>1415.23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1415.23</v>
          </cell>
          <cell r="H44" t="str">
            <v xml:space="preserve"> </v>
          </cell>
        </row>
        <row r="45">
          <cell r="A45" t="str">
            <v>1208-006-000</v>
          </cell>
          <cell r="B45" t="str">
            <v>Lámpara mesa</v>
          </cell>
          <cell r="C45">
            <v>11723.45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11723.45</v>
          </cell>
          <cell r="H45" t="str">
            <v xml:space="preserve"> </v>
          </cell>
        </row>
        <row r="46">
          <cell r="A46" t="str">
            <v>1208-007-000</v>
          </cell>
          <cell r="B46" t="str">
            <v>Sillón antenas piel vinil chocolate</v>
          </cell>
          <cell r="C46">
            <v>2113.79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2113.79</v>
          </cell>
          <cell r="H46" t="str">
            <v xml:space="preserve"> </v>
          </cell>
        </row>
        <row r="47">
          <cell r="A47" t="str">
            <v>1208-008-000</v>
          </cell>
          <cell r="B47" t="str">
            <v>Lámpara mesa</v>
          </cell>
          <cell r="C47">
            <v>12500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12500</v>
          </cell>
          <cell r="H47" t="str">
            <v xml:space="preserve"> </v>
          </cell>
        </row>
        <row r="48">
          <cell r="A48" t="str">
            <v>1208-009-000</v>
          </cell>
          <cell r="B48" t="str">
            <v>Comedor</v>
          </cell>
          <cell r="C48">
            <v>693.36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693.36</v>
          </cell>
          <cell r="H48" t="str">
            <v xml:space="preserve"> </v>
          </cell>
        </row>
        <row r="49">
          <cell r="A49" t="str">
            <v>1208-010-000</v>
          </cell>
          <cell r="B49" t="str">
            <v>Mesa de juntas ceniz</v>
          </cell>
          <cell r="C49">
            <v>1421.55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1421.55</v>
          </cell>
          <cell r="H49" t="str">
            <v xml:space="preserve"> </v>
          </cell>
        </row>
        <row r="50">
          <cell r="A50" t="str">
            <v>1208-011-000</v>
          </cell>
          <cell r="B50" t="str">
            <v>Escritorio Estudiante Vid Choc</v>
          </cell>
          <cell r="C50">
            <v>4051.72</v>
          </cell>
          <cell r="D50" t="str">
            <v xml:space="preserve"> </v>
          </cell>
          <cell r="E50">
            <v>4051.72</v>
          </cell>
          <cell r="F50">
            <v>0</v>
          </cell>
          <cell r="G50">
            <v>8103.44</v>
          </cell>
          <cell r="H50" t="str">
            <v xml:space="preserve"> </v>
          </cell>
        </row>
        <row r="51">
          <cell r="A51" t="str">
            <v>1209-000-000</v>
          </cell>
          <cell r="B51" t="str">
            <v>Depreciacion acumulada Mob y Eq de oficina</v>
          </cell>
          <cell r="C51" t="str">
            <v xml:space="preserve"> </v>
          </cell>
          <cell r="D51">
            <v>11430.67</v>
          </cell>
          <cell r="E51">
            <v>0</v>
          </cell>
          <cell r="F51">
            <v>829.64</v>
          </cell>
          <cell r="G51" t="str">
            <v xml:space="preserve"> </v>
          </cell>
          <cell r="H51">
            <v>12260.31</v>
          </cell>
        </row>
        <row r="52">
          <cell r="A52" t="str">
            <v>1210-000-000</v>
          </cell>
          <cell r="B52" t="str">
            <v>Equipo de Computo</v>
          </cell>
          <cell r="C52">
            <v>84484.87</v>
          </cell>
          <cell r="D52" t="str">
            <v xml:space="preserve"> </v>
          </cell>
          <cell r="E52">
            <v>6620.69</v>
          </cell>
          <cell r="F52">
            <v>0</v>
          </cell>
          <cell r="G52">
            <v>91105.56</v>
          </cell>
          <cell r="H52" t="str">
            <v xml:space="preserve"> </v>
          </cell>
        </row>
        <row r="53">
          <cell r="A53" t="str">
            <v>1210-001-000</v>
          </cell>
          <cell r="B53" t="str">
            <v>Computer Elite 8300</v>
          </cell>
          <cell r="C53">
            <v>49350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49350</v>
          </cell>
          <cell r="H53" t="str">
            <v xml:space="preserve"> </v>
          </cell>
        </row>
        <row r="54">
          <cell r="A54" t="str">
            <v>1210-002-000</v>
          </cell>
          <cell r="B54" t="str">
            <v>Multi Brother</v>
          </cell>
          <cell r="C54">
            <v>3188.79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3188.79</v>
          </cell>
          <cell r="H54" t="str">
            <v xml:space="preserve"> </v>
          </cell>
        </row>
        <row r="55">
          <cell r="A55" t="str">
            <v>1210-003-000</v>
          </cell>
          <cell r="B55" t="str">
            <v>Sony Video Projector</v>
          </cell>
          <cell r="C55">
            <v>9007.7999999999993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9007.7999999999993</v>
          </cell>
          <cell r="H55" t="str">
            <v xml:space="preserve"> </v>
          </cell>
        </row>
        <row r="56">
          <cell r="A56" t="str">
            <v>1210-004-000</v>
          </cell>
          <cell r="B56" t="str">
            <v>Epson Multifunctional  XP-211</v>
          </cell>
          <cell r="C56">
            <v>991.38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991.38</v>
          </cell>
          <cell r="H56" t="str">
            <v xml:space="preserve"> </v>
          </cell>
        </row>
        <row r="57">
          <cell r="A57" t="str">
            <v>1210-005-000</v>
          </cell>
          <cell r="B57" t="str">
            <v>Combo Inalam desktop 5000 usb</v>
          </cell>
          <cell r="C57">
            <v>922.41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922.41</v>
          </cell>
          <cell r="H57" t="str">
            <v xml:space="preserve"> </v>
          </cell>
        </row>
        <row r="58">
          <cell r="A58" t="str">
            <v>1210-012-000</v>
          </cell>
          <cell r="B58" t="str">
            <v>Laptop V5 Touch</v>
          </cell>
          <cell r="C58">
            <v>9240.8700000000008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9240.8700000000008</v>
          </cell>
          <cell r="H58" t="str">
            <v xml:space="preserve"> </v>
          </cell>
        </row>
        <row r="59">
          <cell r="A59" t="str">
            <v>1210-013-000</v>
          </cell>
          <cell r="B59" t="str">
            <v>Laptop Acer VN7-571 UMACKKLL 3</v>
          </cell>
          <cell r="C59">
            <v>11783.62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11783.62</v>
          </cell>
          <cell r="H59" t="str">
            <v xml:space="preserve"> </v>
          </cell>
        </row>
        <row r="60">
          <cell r="A60" t="str">
            <v>1210-014-000</v>
          </cell>
          <cell r="B60" t="str">
            <v>Computadora de escritorio sin monitor</v>
          </cell>
          <cell r="C60">
            <v>0</v>
          </cell>
          <cell r="D60" t="str">
            <v xml:space="preserve"> </v>
          </cell>
          <cell r="E60">
            <v>6620.69</v>
          </cell>
          <cell r="F60">
            <v>0</v>
          </cell>
          <cell r="G60">
            <v>6620.69</v>
          </cell>
          <cell r="H60" t="str">
            <v xml:space="preserve"> </v>
          </cell>
        </row>
        <row r="61">
          <cell r="A61" t="str">
            <v>1211-000-000</v>
          </cell>
          <cell r="B61" t="str">
            <v>Depreciacion acumulada Eq. de Computo</v>
          </cell>
          <cell r="C61" t="str">
            <v xml:space="preserve"> </v>
          </cell>
          <cell r="D61">
            <v>29649.8</v>
          </cell>
          <cell r="E61">
            <v>0</v>
          </cell>
          <cell r="F61">
            <v>2112.12</v>
          </cell>
          <cell r="G61" t="str">
            <v xml:space="preserve"> </v>
          </cell>
          <cell r="H61">
            <v>31761.919999999998</v>
          </cell>
        </row>
        <row r="62">
          <cell r="A62" t="str">
            <v>0000-200-000</v>
          </cell>
          <cell r="B62" t="str">
            <v>PASIVOS</v>
          </cell>
          <cell r="C62" t="str">
            <v xml:space="preserve"> </v>
          </cell>
          <cell r="D62">
            <v>1025445.31</v>
          </cell>
          <cell r="E62">
            <v>547195.02</v>
          </cell>
          <cell r="F62">
            <v>422805.09</v>
          </cell>
          <cell r="G62" t="str">
            <v xml:space="preserve"> </v>
          </cell>
          <cell r="H62">
            <v>901055.38</v>
          </cell>
        </row>
        <row r="63">
          <cell r="A63" t="str">
            <v>2100-000-000</v>
          </cell>
          <cell r="B63" t="str">
            <v>PASIVO CIRCULANTE</v>
          </cell>
          <cell r="C63" t="str">
            <v xml:space="preserve"> </v>
          </cell>
          <cell r="D63">
            <v>1025445.31</v>
          </cell>
          <cell r="E63">
            <v>547195.02</v>
          </cell>
          <cell r="F63">
            <v>422805.09</v>
          </cell>
          <cell r="G63" t="str">
            <v xml:space="preserve"> </v>
          </cell>
          <cell r="H63">
            <v>901055.38</v>
          </cell>
        </row>
        <row r="64">
          <cell r="A64" t="str">
            <v>2103-000-000</v>
          </cell>
          <cell r="B64" t="str">
            <v>Proveedores</v>
          </cell>
          <cell r="C64" t="str">
            <v xml:space="preserve"> </v>
          </cell>
          <cell r="D64">
            <v>6960</v>
          </cell>
          <cell r="E64">
            <v>6960</v>
          </cell>
          <cell r="F64">
            <v>6960</v>
          </cell>
          <cell r="G64" t="str">
            <v xml:space="preserve"> </v>
          </cell>
          <cell r="H64">
            <v>6960</v>
          </cell>
        </row>
        <row r="65">
          <cell r="A65" t="str">
            <v>2103-007-000</v>
          </cell>
          <cell r="B65" t="str">
            <v>G</v>
          </cell>
          <cell r="C65" t="str">
            <v xml:space="preserve"> </v>
          </cell>
          <cell r="D65">
            <v>6960</v>
          </cell>
          <cell r="E65">
            <v>6960</v>
          </cell>
          <cell r="F65">
            <v>6960</v>
          </cell>
          <cell r="G65" t="str">
            <v xml:space="preserve"> </v>
          </cell>
          <cell r="H65">
            <v>6960</v>
          </cell>
        </row>
        <row r="66">
          <cell r="A66" t="str">
            <v>2103-007-001</v>
          </cell>
          <cell r="B66" t="str">
            <v>Galaz Yamazaki Ruiz Urquiza SC</v>
          </cell>
          <cell r="C66" t="str">
            <v xml:space="preserve"> </v>
          </cell>
          <cell r="D66">
            <v>6960</v>
          </cell>
          <cell r="E66">
            <v>6960</v>
          </cell>
          <cell r="F66">
            <v>6960</v>
          </cell>
          <cell r="G66" t="str">
            <v xml:space="preserve"> </v>
          </cell>
          <cell r="H66">
            <v>6960</v>
          </cell>
        </row>
        <row r="67">
          <cell r="A67" t="str">
            <v>2106-000-000</v>
          </cell>
          <cell r="B67" t="str">
            <v>Acreedores Diversos</v>
          </cell>
          <cell r="C67" t="str">
            <v xml:space="preserve"> </v>
          </cell>
          <cell r="D67">
            <v>792004.3</v>
          </cell>
          <cell r="E67">
            <v>313755.17</v>
          </cell>
          <cell r="F67">
            <v>282775.2</v>
          </cell>
          <cell r="G67" t="str">
            <v xml:space="preserve"> </v>
          </cell>
          <cell r="H67">
            <v>761024.33</v>
          </cell>
        </row>
        <row r="68">
          <cell r="A68" t="str">
            <v>2106-001-000</v>
          </cell>
          <cell r="B68" t="str">
            <v>A</v>
          </cell>
          <cell r="C68" t="str">
            <v xml:space="preserve"> </v>
          </cell>
          <cell r="D68">
            <v>761024.3</v>
          </cell>
          <cell r="E68">
            <v>0</v>
          </cell>
          <cell r="F68">
            <v>0</v>
          </cell>
          <cell r="G68" t="str">
            <v xml:space="preserve"> </v>
          </cell>
          <cell r="H68">
            <v>761024.3</v>
          </cell>
        </row>
        <row r="69">
          <cell r="A69" t="str">
            <v>2106-001-001</v>
          </cell>
          <cell r="B69" t="str">
            <v>1A Auto Inc.</v>
          </cell>
          <cell r="C69" t="str">
            <v xml:space="preserve"> </v>
          </cell>
          <cell r="D69">
            <v>761024.3</v>
          </cell>
          <cell r="E69">
            <v>0</v>
          </cell>
          <cell r="F69">
            <v>0</v>
          </cell>
          <cell r="G69" t="str">
            <v xml:space="preserve"> </v>
          </cell>
          <cell r="H69">
            <v>761024.3</v>
          </cell>
        </row>
        <row r="70">
          <cell r="A70" t="str">
            <v>2106-017-000</v>
          </cell>
          <cell r="B70" t="str">
            <v>P</v>
          </cell>
          <cell r="C70" t="str">
            <v xml:space="preserve"> </v>
          </cell>
          <cell r="D70">
            <v>30980</v>
          </cell>
          <cell r="E70">
            <v>30979.97</v>
          </cell>
          <cell r="F70">
            <v>0</v>
          </cell>
          <cell r="G70" t="str">
            <v xml:space="preserve"> </v>
          </cell>
          <cell r="H70">
            <v>0.03</v>
          </cell>
        </row>
        <row r="71">
          <cell r="A71" t="str">
            <v>2106-017-002</v>
          </cell>
          <cell r="B71" t="str">
            <v>PTU</v>
          </cell>
          <cell r="C71" t="str">
            <v xml:space="preserve"> </v>
          </cell>
          <cell r="D71">
            <v>30980</v>
          </cell>
          <cell r="E71">
            <v>30979.97</v>
          </cell>
          <cell r="F71">
            <v>0</v>
          </cell>
          <cell r="G71" t="str">
            <v xml:space="preserve"> </v>
          </cell>
          <cell r="H71">
            <v>0.03</v>
          </cell>
        </row>
        <row r="72">
          <cell r="A72" t="str">
            <v>2106-023-000</v>
          </cell>
          <cell r="B72" t="str">
            <v>V</v>
          </cell>
          <cell r="C72" t="str">
            <v xml:space="preserve"> </v>
          </cell>
          <cell r="D72">
            <v>0</v>
          </cell>
          <cell r="E72">
            <v>18150</v>
          </cell>
          <cell r="F72">
            <v>18150</v>
          </cell>
          <cell r="G72" t="str">
            <v xml:space="preserve"> </v>
          </cell>
          <cell r="H72">
            <v>0</v>
          </cell>
        </row>
        <row r="73">
          <cell r="A73" t="str">
            <v>2106-023-001</v>
          </cell>
          <cell r="B73" t="str">
            <v>Vales de despensa</v>
          </cell>
          <cell r="C73" t="str">
            <v xml:space="preserve"> </v>
          </cell>
          <cell r="D73">
            <v>0</v>
          </cell>
          <cell r="E73">
            <v>10800</v>
          </cell>
          <cell r="F73">
            <v>10800</v>
          </cell>
          <cell r="G73" t="str">
            <v xml:space="preserve"> </v>
          </cell>
          <cell r="H73">
            <v>0</v>
          </cell>
        </row>
        <row r="74">
          <cell r="A74" t="str">
            <v>2106-023-002</v>
          </cell>
          <cell r="B74" t="str">
            <v>Vales de gasolina</v>
          </cell>
          <cell r="C74" t="str">
            <v xml:space="preserve"> </v>
          </cell>
          <cell r="D74">
            <v>0</v>
          </cell>
          <cell r="E74">
            <v>7350</v>
          </cell>
          <cell r="F74">
            <v>7350</v>
          </cell>
          <cell r="G74" t="str">
            <v xml:space="preserve"> </v>
          </cell>
          <cell r="H74">
            <v>0</v>
          </cell>
        </row>
        <row r="75">
          <cell r="A75" t="str">
            <v>2106-100-000</v>
          </cell>
          <cell r="B75" t="str">
            <v>Sueldos por pagar</v>
          </cell>
          <cell r="C75" t="str">
            <v xml:space="preserve"> </v>
          </cell>
          <cell r="D75">
            <v>0</v>
          </cell>
          <cell r="E75">
            <v>264625.2</v>
          </cell>
          <cell r="F75">
            <v>264625.2</v>
          </cell>
          <cell r="G75" t="str">
            <v xml:space="preserve"> </v>
          </cell>
          <cell r="H75">
            <v>0</v>
          </cell>
        </row>
        <row r="76">
          <cell r="A76" t="str">
            <v>2108-000-000</v>
          </cell>
          <cell r="B76" t="str">
            <v>Impuestos por pagar</v>
          </cell>
          <cell r="C76" t="str">
            <v xml:space="preserve"> </v>
          </cell>
          <cell r="D76">
            <v>226481.01</v>
          </cell>
          <cell r="E76">
            <v>226479.85</v>
          </cell>
          <cell r="F76">
            <v>133069.89000000001</v>
          </cell>
          <cell r="G76" t="str">
            <v xml:space="preserve"> </v>
          </cell>
          <cell r="H76">
            <v>133071.04999999999</v>
          </cell>
        </row>
        <row r="77">
          <cell r="A77" t="str">
            <v>2108-001-000</v>
          </cell>
          <cell r="B77" t="str">
            <v>ISPT</v>
          </cell>
          <cell r="C77" t="str">
            <v xml:space="preserve"> </v>
          </cell>
          <cell r="D77">
            <v>97042.3</v>
          </cell>
          <cell r="E77">
            <v>97041</v>
          </cell>
          <cell r="F77">
            <v>90339.25</v>
          </cell>
          <cell r="G77" t="str">
            <v xml:space="preserve"> </v>
          </cell>
          <cell r="H77">
            <v>90340.55</v>
          </cell>
        </row>
        <row r="78">
          <cell r="A78" t="str">
            <v>2108-002-000</v>
          </cell>
          <cell r="B78" t="str">
            <v>ISN</v>
          </cell>
          <cell r="C78" t="str">
            <v xml:space="preserve"> </v>
          </cell>
          <cell r="D78">
            <v>9884</v>
          </cell>
          <cell r="E78">
            <v>9884</v>
          </cell>
          <cell r="F78">
            <v>8441</v>
          </cell>
          <cell r="G78" t="str">
            <v xml:space="preserve"> </v>
          </cell>
          <cell r="H78">
            <v>8441</v>
          </cell>
        </row>
        <row r="79">
          <cell r="A79" t="str">
            <v>2108-003-000</v>
          </cell>
          <cell r="B79" t="str">
            <v>IMSS</v>
          </cell>
          <cell r="C79" t="str">
            <v xml:space="preserve"> </v>
          </cell>
          <cell r="D79">
            <v>28609.35</v>
          </cell>
          <cell r="E79">
            <v>28609.35</v>
          </cell>
          <cell r="F79">
            <v>34289.64</v>
          </cell>
          <cell r="G79" t="str">
            <v xml:space="preserve"> </v>
          </cell>
          <cell r="H79">
            <v>34289.64</v>
          </cell>
        </row>
        <row r="80">
          <cell r="A80" t="str">
            <v>2108-004-000</v>
          </cell>
          <cell r="B80" t="str">
            <v>INFONAVIT</v>
          </cell>
          <cell r="C80" t="str">
            <v xml:space="preserve"> </v>
          </cell>
          <cell r="D80">
            <v>31866.880000000001</v>
          </cell>
          <cell r="E80">
            <v>31866.880000000001</v>
          </cell>
          <cell r="F80">
            <v>0</v>
          </cell>
          <cell r="G80" t="str">
            <v xml:space="preserve"> </v>
          </cell>
          <cell r="H80">
            <v>0</v>
          </cell>
        </row>
        <row r="81">
          <cell r="A81" t="str">
            <v>2108-005-000</v>
          </cell>
          <cell r="B81" t="str">
            <v>SAR</v>
          </cell>
          <cell r="C81" t="str">
            <v xml:space="preserve"> </v>
          </cell>
          <cell r="D81">
            <v>39992.910000000003</v>
          </cell>
          <cell r="E81">
            <v>39992.92</v>
          </cell>
          <cell r="F81">
            <v>0</v>
          </cell>
          <cell r="G81" t="str">
            <v xml:space="preserve"> </v>
          </cell>
          <cell r="H81">
            <v>-0.01</v>
          </cell>
        </row>
        <row r="82">
          <cell r="A82" t="str">
            <v>2108-008-000</v>
          </cell>
          <cell r="B82" t="str">
            <v>ISPT Assimilated</v>
          </cell>
          <cell r="C82" t="str">
            <v xml:space="preserve"> </v>
          </cell>
          <cell r="D82">
            <v>-0.14000000000000001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-0.14000000000000001</v>
          </cell>
        </row>
        <row r="83">
          <cell r="A83" t="str">
            <v>2108-020-000</v>
          </cell>
          <cell r="B83" t="str">
            <v>Infonavit creditos</v>
          </cell>
          <cell r="C83" t="str">
            <v xml:space="preserve"> </v>
          </cell>
          <cell r="D83">
            <v>19085.71</v>
          </cell>
          <cell r="E83">
            <v>19085.7</v>
          </cell>
          <cell r="F83">
            <v>0</v>
          </cell>
          <cell r="G83" t="str">
            <v xml:space="preserve"> </v>
          </cell>
          <cell r="H83">
            <v>0.01</v>
          </cell>
        </row>
        <row r="84">
          <cell r="A84" t="str">
            <v>0000-300-000</v>
          </cell>
          <cell r="B84" t="str">
            <v>CAPITAL</v>
          </cell>
          <cell r="C84" t="str">
            <v xml:space="preserve"> </v>
          </cell>
          <cell r="D84">
            <v>-221330.79</v>
          </cell>
          <cell r="E84">
            <v>0</v>
          </cell>
          <cell r="F84">
            <v>0</v>
          </cell>
          <cell r="G84" t="str">
            <v xml:space="preserve"> </v>
          </cell>
          <cell r="H84">
            <v>-221330.79</v>
          </cell>
        </row>
        <row r="85">
          <cell r="A85" t="str">
            <v>3100-000-000</v>
          </cell>
          <cell r="B85" t="str">
            <v>Aportaciones de Capital</v>
          </cell>
          <cell r="C85" t="str">
            <v xml:space="preserve"> </v>
          </cell>
          <cell r="D85">
            <v>3000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3000</v>
          </cell>
        </row>
        <row r="86">
          <cell r="A86" t="str">
            <v>3300-000-000</v>
          </cell>
          <cell r="B86" t="str">
            <v>Remanente de Ej anteriores</v>
          </cell>
          <cell r="C86" t="str">
            <v xml:space="preserve"> </v>
          </cell>
          <cell r="D86">
            <v>-224330.79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-224330.79</v>
          </cell>
        </row>
        <row r="87">
          <cell r="A87" t="str">
            <v>3300-001-000</v>
          </cell>
          <cell r="B87" t="str">
            <v>Resultado del Ejercicio 2013</v>
          </cell>
          <cell r="C87" t="str">
            <v xml:space="preserve"> </v>
          </cell>
          <cell r="D87">
            <v>-411059.15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-411059.15</v>
          </cell>
        </row>
        <row r="88">
          <cell r="A88" t="str">
            <v>3300-002-000</v>
          </cell>
          <cell r="B88" t="str">
            <v>Resultado del Ejercicio 2014</v>
          </cell>
          <cell r="C88" t="str">
            <v xml:space="preserve"> </v>
          </cell>
          <cell r="D88">
            <v>186728.36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186728.36</v>
          </cell>
        </row>
        <row r="89">
          <cell r="A89" t="str">
            <v>0000-400-000</v>
          </cell>
          <cell r="B89" t="str">
            <v>INGRESOS</v>
          </cell>
          <cell r="C89" t="str">
            <v xml:space="preserve"> </v>
          </cell>
          <cell r="D89">
            <v>2544929.19</v>
          </cell>
          <cell r="E89">
            <v>0</v>
          </cell>
          <cell r="F89">
            <v>498844.3</v>
          </cell>
          <cell r="G89" t="str">
            <v xml:space="preserve"> </v>
          </cell>
          <cell r="H89">
            <v>3043773.49</v>
          </cell>
        </row>
        <row r="90">
          <cell r="A90" t="str">
            <v>4100-002-000</v>
          </cell>
          <cell r="B90" t="str">
            <v>0% Ventas</v>
          </cell>
          <cell r="C90" t="str">
            <v xml:space="preserve"> </v>
          </cell>
          <cell r="D90">
            <v>2544875.64</v>
          </cell>
          <cell r="E90">
            <v>0</v>
          </cell>
          <cell r="F90">
            <v>496406.5</v>
          </cell>
          <cell r="G90" t="str">
            <v xml:space="preserve"> </v>
          </cell>
          <cell r="H90">
            <v>3041282.14</v>
          </cell>
        </row>
        <row r="91">
          <cell r="A91" t="str">
            <v>4100-005-000</v>
          </cell>
          <cell r="B91" t="str">
            <v>Otros Ingresos</v>
          </cell>
          <cell r="C91" t="str">
            <v xml:space="preserve"> </v>
          </cell>
          <cell r="D91">
            <v>0</v>
          </cell>
          <cell r="E91">
            <v>0</v>
          </cell>
          <cell r="F91">
            <v>2437.8000000000002</v>
          </cell>
          <cell r="G91" t="str">
            <v xml:space="preserve"> </v>
          </cell>
          <cell r="H91">
            <v>2437.8000000000002</v>
          </cell>
        </row>
        <row r="92">
          <cell r="A92" t="str">
            <v>4100-005-002</v>
          </cell>
          <cell r="B92" t="str">
            <v>Reembolso de gastos medicos</v>
          </cell>
          <cell r="C92" t="str">
            <v xml:space="preserve"> </v>
          </cell>
          <cell r="D92">
            <v>0</v>
          </cell>
          <cell r="E92">
            <v>0</v>
          </cell>
          <cell r="F92">
            <v>2437.8000000000002</v>
          </cell>
          <cell r="G92" t="str">
            <v xml:space="preserve"> </v>
          </cell>
          <cell r="H92">
            <v>2437.8000000000002</v>
          </cell>
        </row>
        <row r="93">
          <cell r="A93" t="str">
            <v>4100-006-000</v>
          </cell>
          <cell r="B93" t="str">
            <v>Desc sobre Compras</v>
          </cell>
          <cell r="C93" t="str">
            <v xml:space="preserve"> </v>
          </cell>
          <cell r="D93">
            <v>53.55</v>
          </cell>
          <cell r="E93">
            <v>0</v>
          </cell>
          <cell r="F93">
            <v>0</v>
          </cell>
          <cell r="G93" t="str">
            <v xml:space="preserve"> </v>
          </cell>
          <cell r="H93">
            <v>53.55</v>
          </cell>
        </row>
        <row r="94">
          <cell r="A94" t="str">
            <v>0000-500-000</v>
          </cell>
          <cell r="B94" t="str">
            <v>GASTOS</v>
          </cell>
          <cell r="C94">
            <v>2318675.52</v>
          </cell>
          <cell r="D94" t="str">
            <v xml:space="preserve"> </v>
          </cell>
          <cell r="E94">
            <v>496482.51</v>
          </cell>
          <cell r="F94">
            <v>0</v>
          </cell>
          <cell r="G94">
            <v>2815158.03</v>
          </cell>
          <cell r="H94" t="str">
            <v xml:space="preserve"> </v>
          </cell>
        </row>
        <row r="95">
          <cell r="A95" t="str">
            <v>5200-000-000</v>
          </cell>
          <cell r="B95" t="str">
            <v>GASTOS DE NOMINA</v>
          </cell>
          <cell r="C95">
            <v>1947360.24</v>
          </cell>
          <cell r="D95" t="str">
            <v xml:space="preserve"> </v>
          </cell>
          <cell r="E95">
            <v>409217.93</v>
          </cell>
          <cell r="F95">
            <v>0</v>
          </cell>
          <cell r="G95">
            <v>2356578.17</v>
          </cell>
          <cell r="H95" t="str">
            <v xml:space="preserve"> </v>
          </cell>
        </row>
        <row r="96">
          <cell r="A96" t="str">
            <v>5200-001-000</v>
          </cell>
          <cell r="B96" t="str">
            <v>Sueldos</v>
          </cell>
          <cell r="C96">
            <v>1528015.5</v>
          </cell>
          <cell r="D96" t="str">
            <v xml:space="preserve"> </v>
          </cell>
          <cell r="E96">
            <v>342396.8</v>
          </cell>
          <cell r="F96">
            <v>0</v>
          </cell>
          <cell r="G96">
            <v>1870412.3</v>
          </cell>
          <cell r="H96" t="str">
            <v xml:space="preserve"> </v>
          </cell>
        </row>
        <row r="97">
          <cell r="A97" t="str">
            <v>5200-004-000</v>
          </cell>
          <cell r="B97" t="str">
            <v>Vales de despensa</v>
          </cell>
          <cell r="C97">
            <v>50400</v>
          </cell>
          <cell r="D97" t="str">
            <v xml:space="preserve"> </v>
          </cell>
          <cell r="E97">
            <v>10800</v>
          </cell>
          <cell r="F97">
            <v>0</v>
          </cell>
          <cell r="G97">
            <v>61200</v>
          </cell>
          <cell r="H97" t="str">
            <v xml:space="preserve"> </v>
          </cell>
        </row>
        <row r="98">
          <cell r="A98" t="str">
            <v>5200-007-000</v>
          </cell>
          <cell r="B98" t="str">
            <v>IMSS</v>
          </cell>
          <cell r="C98">
            <v>85613.08</v>
          </cell>
          <cell r="D98" t="str">
            <v xml:space="preserve"> </v>
          </cell>
          <cell r="E98">
            <v>25555.119999999999</v>
          </cell>
          <cell r="F98">
            <v>0</v>
          </cell>
          <cell r="G98">
            <v>111168.2</v>
          </cell>
          <cell r="H98" t="str">
            <v xml:space="preserve"> </v>
          </cell>
        </row>
        <row r="99">
          <cell r="A99" t="str">
            <v>5200-008-000</v>
          </cell>
          <cell r="B99" t="str">
            <v>SAR</v>
          </cell>
          <cell r="C99">
            <v>78674.570000000007</v>
          </cell>
          <cell r="D99" t="str">
            <v xml:space="preserve"> </v>
          </cell>
          <cell r="E99">
            <v>0</v>
          </cell>
          <cell r="F99">
            <v>0</v>
          </cell>
          <cell r="G99">
            <v>78674.570000000007</v>
          </cell>
          <cell r="H99" t="str">
            <v xml:space="preserve"> </v>
          </cell>
        </row>
        <row r="100">
          <cell r="A100" t="str">
            <v>5200-009-000</v>
          </cell>
          <cell r="B100" t="str">
            <v>INFONAVIT</v>
          </cell>
          <cell r="C100">
            <v>62688.95</v>
          </cell>
          <cell r="D100" t="str">
            <v xml:space="preserve"> </v>
          </cell>
          <cell r="E100">
            <v>0</v>
          </cell>
          <cell r="F100">
            <v>0</v>
          </cell>
          <cell r="G100">
            <v>62688.95</v>
          </cell>
          <cell r="H100" t="str">
            <v xml:space="preserve"> </v>
          </cell>
        </row>
        <row r="101">
          <cell r="A101" t="str">
            <v>5200-010-000</v>
          </cell>
          <cell r="B101" t="str">
            <v>ISN</v>
          </cell>
          <cell r="C101">
            <v>37922</v>
          </cell>
          <cell r="D101" t="str">
            <v xml:space="preserve"> </v>
          </cell>
          <cell r="E101">
            <v>8441</v>
          </cell>
          <cell r="F101">
            <v>0</v>
          </cell>
          <cell r="G101">
            <v>46363</v>
          </cell>
          <cell r="H101" t="str">
            <v xml:space="preserve"> </v>
          </cell>
        </row>
        <row r="102">
          <cell r="A102" t="str">
            <v>5200-012-000</v>
          </cell>
          <cell r="B102" t="str">
            <v>Vacaciones</v>
          </cell>
          <cell r="C102">
            <v>46312.39</v>
          </cell>
          <cell r="D102" t="str">
            <v xml:space="preserve"> </v>
          </cell>
          <cell r="E102">
            <v>5175.7</v>
          </cell>
          <cell r="F102">
            <v>0</v>
          </cell>
          <cell r="G102">
            <v>51488.09</v>
          </cell>
          <cell r="H102" t="str">
            <v xml:space="preserve"> </v>
          </cell>
        </row>
        <row r="103">
          <cell r="A103" t="str">
            <v>5200-013-000</v>
          </cell>
          <cell r="B103" t="str">
            <v>Prima Vacacional</v>
          </cell>
          <cell r="C103">
            <v>4934.21</v>
          </cell>
          <cell r="D103" t="str">
            <v xml:space="preserve"> </v>
          </cell>
          <cell r="E103">
            <v>8591.81</v>
          </cell>
          <cell r="F103">
            <v>0</v>
          </cell>
          <cell r="G103">
            <v>13526.02</v>
          </cell>
          <cell r="H103" t="str">
            <v xml:space="preserve"> </v>
          </cell>
        </row>
        <row r="104">
          <cell r="A104" t="str">
            <v>5200-014-000</v>
          </cell>
          <cell r="B104" t="str">
            <v>Aguinaldo</v>
          </cell>
          <cell r="C104">
            <v>20879.54</v>
          </cell>
          <cell r="D104" t="str">
            <v xml:space="preserve"> </v>
          </cell>
          <cell r="E104">
            <v>0</v>
          </cell>
          <cell r="F104">
            <v>0</v>
          </cell>
          <cell r="G104">
            <v>20879.54</v>
          </cell>
          <cell r="H104" t="str">
            <v xml:space="preserve"> </v>
          </cell>
        </row>
        <row r="105">
          <cell r="A105" t="str">
            <v>5200-021-000</v>
          </cell>
          <cell r="B105" t="str">
            <v>Comisiones Vales</v>
          </cell>
          <cell r="C105">
            <v>3920</v>
          </cell>
          <cell r="D105" t="str">
            <v xml:space="preserve"> </v>
          </cell>
          <cell r="E105">
            <v>907.5</v>
          </cell>
          <cell r="F105">
            <v>0</v>
          </cell>
          <cell r="G105">
            <v>4827.5</v>
          </cell>
          <cell r="H105" t="str">
            <v xml:space="preserve"> </v>
          </cell>
        </row>
        <row r="106">
          <cell r="A106" t="str">
            <v>5200-027-000</v>
          </cell>
          <cell r="B106" t="str">
            <v>Vales de gasolina</v>
          </cell>
          <cell r="C106">
            <v>28000</v>
          </cell>
          <cell r="D106" t="str">
            <v xml:space="preserve"> </v>
          </cell>
          <cell r="E106">
            <v>7350</v>
          </cell>
          <cell r="F106">
            <v>0</v>
          </cell>
          <cell r="G106">
            <v>35350</v>
          </cell>
          <cell r="H106" t="str">
            <v xml:space="preserve"> </v>
          </cell>
        </row>
        <row r="107">
          <cell r="A107" t="str">
            <v>5300-000-000</v>
          </cell>
          <cell r="B107" t="str">
            <v>GASTOS DE ADMINISTRACION</v>
          </cell>
          <cell r="C107">
            <v>359314.45</v>
          </cell>
          <cell r="D107" t="str">
            <v xml:space="preserve"> </v>
          </cell>
          <cell r="E107">
            <v>53044.62</v>
          </cell>
          <cell r="F107">
            <v>0</v>
          </cell>
          <cell r="G107">
            <v>412359.07</v>
          </cell>
          <cell r="H107" t="str">
            <v xml:space="preserve"> </v>
          </cell>
        </row>
        <row r="108">
          <cell r="A108" t="str">
            <v>5300-002-000</v>
          </cell>
          <cell r="B108" t="str">
            <v>Gastos de viaje</v>
          </cell>
          <cell r="C108">
            <v>95688.7</v>
          </cell>
          <cell r="D108" t="str">
            <v xml:space="preserve"> </v>
          </cell>
          <cell r="E108">
            <v>0</v>
          </cell>
          <cell r="F108">
            <v>0</v>
          </cell>
          <cell r="G108">
            <v>95688.7</v>
          </cell>
          <cell r="H108" t="str">
            <v xml:space="preserve"> </v>
          </cell>
        </row>
        <row r="109">
          <cell r="A109" t="str">
            <v>5300-003-000</v>
          </cell>
          <cell r="B109" t="str">
            <v>Eventos especiales</v>
          </cell>
          <cell r="C109">
            <v>16209.06</v>
          </cell>
          <cell r="D109" t="str">
            <v xml:space="preserve"> </v>
          </cell>
          <cell r="E109">
            <v>0</v>
          </cell>
          <cell r="F109">
            <v>0</v>
          </cell>
          <cell r="G109">
            <v>16209.06</v>
          </cell>
          <cell r="H109" t="str">
            <v xml:space="preserve"> </v>
          </cell>
        </row>
        <row r="110">
          <cell r="A110" t="str">
            <v>5300-004-000</v>
          </cell>
          <cell r="B110" t="str">
            <v>Consumo en Restaurantes</v>
          </cell>
          <cell r="C110">
            <v>119.43</v>
          </cell>
          <cell r="D110" t="str">
            <v xml:space="preserve"> </v>
          </cell>
          <cell r="E110">
            <v>0</v>
          </cell>
          <cell r="F110">
            <v>0</v>
          </cell>
          <cell r="G110">
            <v>119.43</v>
          </cell>
          <cell r="H110" t="str">
            <v xml:space="preserve"> </v>
          </cell>
        </row>
        <row r="111">
          <cell r="A111" t="str">
            <v>5300-006-000</v>
          </cell>
          <cell r="B111" t="str">
            <v>Comunicacion</v>
          </cell>
          <cell r="C111">
            <v>15971.89</v>
          </cell>
          <cell r="D111" t="str">
            <v xml:space="preserve"> </v>
          </cell>
          <cell r="E111">
            <v>1292.24</v>
          </cell>
          <cell r="F111">
            <v>0</v>
          </cell>
          <cell r="G111">
            <v>17264.13</v>
          </cell>
          <cell r="H111" t="str">
            <v xml:space="preserve"> </v>
          </cell>
        </row>
        <row r="112">
          <cell r="A112" t="str">
            <v>5300-007-000</v>
          </cell>
          <cell r="B112" t="str">
            <v>Honorarios</v>
          </cell>
          <cell r="C112">
            <v>36000</v>
          </cell>
          <cell r="D112" t="str">
            <v xml:space="preserve"> </v>
          </cell>
          <cell r="E112">
            <v>12000</v>
          </cell>
          <cell r="F112">
            <v>0</v>
          </cell>
          <cell r="G112">
            <v>48000</v>
          </cell>
          <cell r="H112" t="str">
            <v xml:space="preserve"> </v>
          </cell>
        </row>
        <row r="113">
          <cell r="A113" t="str">
            <v>5300-009-000</v>
          </cell>
          <cell r="B113" t="str">
            <v>Arrendamiento</v>
          </cell>
          <cell r="C113">
            <v>96000</v>
          </cell>
          <cell r="D113" t="str">
            <v xml:space="preserve"> </v>
          </cell>
          <cell r="E113">
            <v>24000</v>
          </cell>
          <cell r="F113">
            <v>0</v>
          </cell>
          <cell r="G113">
            <v>120000</v>
          </cell>
          <cell r="H113" t="str">
            <v xml:space="preserve"> </v>
          </cell>
        </row>
        <row r="114">
          <cell r="A114" t="str">
            <v>5300-013-000</v>
          </cell>
          <cell r="B114" t="str">
            <v>Seguros</v>
          </cell>
          <cell r="C114">
            <v>14561.58</v>
          </cell>
          <cell r="D114" t="str">
            <v xml:space="preserve"> </v>
          </cell>
          <cell r="E114">
            <v>5727.3</v>
          </cell>
          <cell r="F114">
            <v>0</v>
          </cell>
          <cell r="G114">
            <v>20288.88</v>
          </cell>
          <cell r="H114" t="str">
            <v xml:space="preserve"> </v>
          </cell>
        </row>
        <row r="115">
          <cell r="A115" t="str">
            <v>5300-017-000</v>
          </cell>
          <cell r="B115" t="str">
            <v>Luz</v>
          </cell>
          <cell r="C115">
            <v>5485.84</v>
          </cell>
          <cell r="D115" t="str">
            <v xml:space="preserve"> </v>
          </cell>
          <cell r="E115">
            <v>0</v>
          </cell>
          <cell r="F115">
            <v>0</v>
          </cell>
          <cell r="G115">
            <v>5485.84</v>
          </cell>
          <cell r="H115" t="str">
            <v xml:space="preserve"> </v>
          </cell>
        </row>
        <row r="116">
          <cell r="A116" t="str">
            <v>5300-018-000</v>
          </cell>
          <cell r="B116" t="str">
            <v>Gas Natural</v>
          </cell>
          <cell r="C116">
            <v>5996.26</v>
          </cell>
          <cell r="D116" t="str">
            <v xml:space="preserve"> </v>
          </cell>
          <cell r="E116">
            <v>0</v>
          </cell>
          <cell r="F116">
            <v>0</v>
          </cell>
          <cell r="G116">
            <v>5996.26</v>
          </cell>
          <cell r="H116" t="str">
            <v xml:space="preserve"> </v>
          </cell>
        </row>
        <row r="117">
          <cell r="A117" t="str">
            <v>5300-019-000</v>
          </cell>
          <cell r="B117" t="str">
            <v>Agua</v>
          </cell>
          <cell r="C117">
            <v>808.16</v>
          </cell>
          <cell r="D117" t="str">
            <v xml:space="preserve"> </v>
          </cell>
          <cell r="E117">
            <v>202.04</v>
          </cell>
          <cell r="F117">
            <v>0</v>
          </cell>
          <cell r="G117">
            <v>1010.2</v>
          </cell>
          <cell r="H117" t="str">
            <v xml:space="preserve"> </v>
          </cell>
        </row>
        <row r="118">
          <cell r="A118" t="str">
            <v>5300-022-000</v>
          </cell>
          <cell r="B118" t="str">
            <v>Papeleria</v>
          </cell>
          <cell r="C118">
            <v>111.21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111.21</v>
          </cell>
          <cell r="H118" t="str">
            <v xml:space="preserve"> </v>
          </cell>
        </row>
        <row r="119">
          <cell r="A119" t="str">
            <v>5300-027-000</v>
          </cell>
          <cell r="B119" t="str">
            <v>Seguridad e Higiene</v>
          </cell>
          <cell r="C119">
            <v>7200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7200</v>
          </cell>
          <cell r="H119" t="str">
            <v xml:space="preserve"> </v>
          </cell>
        </row>
        <row r="120">
          <cell r="A120" t="str">
            <v>5300-028-000</v>
          </cell>
          <cell r="B120" t="str">
            <v>Recolección de Basura</v>
          </cell>
          <cell r="C120">
            <v>537.6</v>
          </cell>
          <cell r="D120" t="str">
            <v xml:space="preserve"> </v>
          </cell>
          <cell r="E120">
            <v>0</v>
          </cell>
          <cell r="F120">
            <v>0</v>
          </cell>
          <cell r="G120">
            <v>537.6</v>
          </cell>
          <cell r="H120" t="str">
            <v xml:space="preserve"> </v>
          </cell>
        </row>
        <row r="121">
          <cell r="A121" t="str">
            <v>5300-029-000</v>
          </cell>
          <cell r="B121" t="str">
            <v>Sistemas de Alarma</v>
          </cell>
          <cell r="C121">
            <v>1350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1350</v>
          </cell>
          <cell r="H121" t="str">
            <v xml:space="preserve"> </v>
          </cell>
        </row>
        <row r="122">
          <cell r="A122" t="str">
            <v>5300-031-000</v>
          </cell>
          <cell r="B122" t="str">
            <v>Cuotas y Suscripciones</v>
          </cell>
          <cell r="C122">
            <v>180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180</v>
          </cell>
          <cell r="H122" t="str">
            <v xml:space="preserve"> </v>
          </cell>
        </row>
        <row r="123">
          <cell r="A123" t="str">
            <v>5300-032-000</v>
          </cell>
          <cell r="B123" t="str">
            <v>Otros impuestos y derechos</v>
          </cell>
          <cell r="C123">
            <v>5.83</v>
          </cell>
          <cell r="D123" t="str">
            <v xml:space="preserve"> </v>
          </cell>
          <cell r="E123">
            <v>0</v>
          </cell>
          <cell r="F123">
            <v>0</v>
          </cell>
          <cell r="G123">
            <v>5.83</v>
          </cell>
          <cell r="H123" t="str">
            <v xml:space="preserve"> </v>
          </cell>
        </row>
        <row r="124">
          <cell r="A124" t="str">
            <v>5300-035-000</v>
          </cell>
          <cell r="B124" t="str">
            <v>Mantenimiento Local</v>
          </cell>
          <cell r="C124">
            <v>17803.18</v>
          </cell>
          <cell r="D124" t="str">
            <v xml:space="preserve"> </v>
          </cell>
          <cell r="E124">
            <v>2400</v>
          </cell>
          <cell r="F124">
            <v>0</v>
          </cell>
          <cell r="G124">
            <v>20203.18</v>
          </cell>
          <cell r="H124" t="str">
            <v xml:space="preserve"> </v>
          </cell>
        </row>
        <row r="125">
          <cell r="A125" t="str">
            <v>5300-036-000</v>
          </cell>
          <cell r="B125" t="str">
            <v>Mantenimiento equipo de computo</v>
          </cell>
          <cell r="C125">
            <v>525.87</v>
          </cell>
          <cell r="D125" t="str">
            <v xml:space="preserve"> </v>
          </cell>
          <cell r="E125">
            <v>171.55</v>
          </cell>
          <cell r="F125">
            <v>0</v>
          </cell>
          <cell r="G125">
            <v>697.42</v>
          </cell>
          <cell r="H125" t="str">
            <v xml:space="preserve"> </v>
          </cell>
        </row>
        <row r="126">
          <cell r="A126" t="str">
            <v>5300-038-000</v>
          </cell>
          <cell r="B126" t="str">
            <v>No deducibles</v>
          </cell>
          <cell r="C126">
            <v>43495.58</v>
          </cell>
          <cell r="D126" t="str">
            <v xml:space="preserve"> </v>
          </cell>
          <cell r="E126">
            <v>0</v>
          </cell>
          <cell r="F126">
            <v>0</v>
          </cell>
          <cell r="G126">
            <v>43495.58</v>
          </cell>
          <cell r="H126" t="str">
            <v xml:space="preserve"> </v>
          </cell>
        </row>
        <row r="127">
          <cell r="A127" t="str">
            <v>5300-039-000</v>
          </cell>
          <cell r="B127" t="str">
            <v>Comisiones bancarias</v>
          </cell>
          <cell r="C127">
            <v>740</v>
          </cell>
          <cell r="D127" t="str">
            <v xml:space="preserve"> </v>
          </cell>
          <cell r="E127">
            <v>470</v>
          </cell>
          <cell r="F127">
            <v>0</v>
          </cell>
          <cell r="G127">
            <v>1210</v>
          </cell>
          <cell r="H127" t="str">
            <v xml:space="preserve"> </v>
          </cell>
        </row>
        <row r="128">
          <cell r="A128" t="str">
            <v>5300-040-000</v>
          </cell>
          <cell r="B128" t="str">
            <v>Actualizacion de contribuciones</v>
          </cell>
          <cell r="C128">
            <v>119.96</v>
          </cell>
          <cell r="D128" t="str">
            <v xml:space="preserve"> </v>
          </cell>
          <cell r="E128">
            <v>0</v>
          </cell>
          <cell r="F128">
            <v>0</v>
          </cell>
          <cell r="G128">
            <v>119.96</v>
          </cell>
          <cell r="H128" t="str">
            <v xml:space="preserve"> </v>
          </cell>
        </row>
        <row r="129">
          <cell r="A129" t="str">
            <v>5300-041-000</v>
          </cell>
          <cell r="B129" t="str">
            <v>Recargos</v>
          </cell>
          <cell r="C129">
            <v>304.3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304.3</v>
          </cell>
          <cell r="H129" t="str">
            <v xml:space="preserve"> </v>
          </cell>
        </row>
        <row r="130">
          <cell r="A130" t="str">
            <v>5300-042-000</v>
          </cell>
          <cell r="B130" t="str">
            <v>Diversos</v>
          </cell>
          <cell r="C130">
            <v>100</v>
          </cell>
          <cell r="D130" t="str">
            <v xml:space="preserve"> </v>
          </cell>
          <cell r="E130">
            <v>1178.04</v>
          </cell>
          <cell r="F130">
            <v>0</v>
          </cell>
          <cell r="G130">
            <v>1278.04</v>
          </cell>
          <cell r="H130" t="str">
            <v xml:space="preserve"> </v>
          </cell>
        </row>
        <row r="131">
          <cell r="A131" t="str">
            <v>5300-046-000</v>
          </cell>
          <cell r="B131" t="str">
            <v>Honorarios legales</v>
          </cell>
          <cell r="C131">
            <v>0</v>
          </cell>
          <cell r="D131" t="str">
            <v xml:space="preserve"> </v>
          </cell>
          <cell r="E131">
            <v>5603.45</v>
          </cell>
          <cell r="F131">
            <v>0</v>
          </cell>
          <cell r="G131">
            <v>5603.45</v>
          </cell>
          <cell r="H131" t="str">
            <v xml:space="preserve"> </v>
          </cell>
        </row>
        <row r="132">
          <cell r="A132" t="str">
            <v>5400-000-000</v>
          </cell>
          <cell r="B132" t="str">
            <v>GASTOS DE OPERACION</v>
          </cell>
          <cell r="C132">
            <v>12000.83</v>
          </cell>
          <cell r="D132" t="str">
            <v xml:space="preserve"> </v>
          </cell>
          <cell r="E132">
            <v>34219.96</v>
          </cell>
          <cell r="F132">
            <v>0</v>
          </cell>
          <cell r="G132">
            <v>46220.79</v>
          </cell>
          <cell r="H132" t="str">
            <v xml:space="preserve"> </v>
          </cell>
        </row>
        <row r="133">
          <cell r="A133" t="str">
            <v>5400-001-000</v>
          </cell>
          <cell r="B133" t="str">
            <v>Depreciacion acumulada</v>
          </cell>
          <cell r="C133">
            <v>10700.83</v>
          </cell>
          <cell r="D133" t="str">
            <v xml:space="preserve"> </v>
          </cell>
          <cell r="E133">
            <v>2941.76</v>
          </cell>
          <cell r="F133">
            <v>0</v>
          </cell>
          <cell r="G133">
            <v>13642.59</v>
          </cell>
          <cell r="H133" t="str">
            <v xml:space="preserve"> </v>
          </cell>
        </row>
        <row r="134">
          <cell r="A134" t="str">
            <v>5400-001-004</v>
          </cell>
          <cell r="B134" t="str">
            <v>Machinery &amp; Equipment accumulated depreciation</v>
          </cell>
          <cell r="C134">
            <v>3136.12</v>
          </cell>
          <cell r="D134" t="str">
            <v xml:space="preserve"> </v>
          </cell>
          <cell r="E134">
            <v>829.64</v>
          </cell>
          <cell r="F134">
            <v>0</v>
          </cell>
          <cell r="G134">
            <v>3965.76</v>
          </cell>
          <cell r="H134" t="str">
            <v xml:space="preserve"> </v>
          </cell>
        </row>
        <row r="135">
          <cell r="A135" t="str">
            <v>5400-001-005</v>
          </cell>
          <cell r="B135" t="str">
            <v>Computer Equipment accumulated depreciation</v>
          </cell>
          <cell r="C135">
            <v>7564.71</v>
          </cell>
          <cell r="D135" t="str">
            <v xml:space="preserve"> </v>
          </cell>
          <cell r="E135">
            <v>2112.12</v>
          </cell>
          <cell r="F135">
            <v>0</v>
          </cell>
          <cell r="G135">
            <v>9676.83</v>
          </cell>
          <cell r="H135" t="str">
            <v xml:space="preserve"> </v>
          </cell>
        </row>
        <row r="136">
          <cell r="A136" t="str">
            <v>5400-004-000</v>
          </cell>
          <cell r="B136" t="str">
            <v>Consumo en Restaurantes</v>
          </cell>
          <cell r="C136">
            <v>0</v>
          </cell>
          <cell r="D136" t="str">
            <v xml:space="preserve"> </v>
          </cell>
          <cell r="E136">
            <v>52.61</v>
          </cell>
          <cell r="F136">
            <v>0</v>
          </cell>
          <cell r="G136">
            <v>52.61</v>
          </cell>
          <cell r="H136" t="str">
            <v xml:space="preserve"> </v>
          </cell>
        </row>
        <row r="137">
          <cell r="A137" t="str">
            <v>5400-006-000</v>
          </cell>
          <cell r="B137" t="str">
            <v>Comunicación</v>
          </cell>
          <cell r="C137">
            <v>0</v>
          </cell>
          <cell r="D137" t="str">
            <v xml:space="preserve"> </v>
          </cell>
          <cell r="E137">
            <v>6118.96</v>
          </cell>
          <cell r="F137">
            <v>0</v>
          </cell>
          <cell r="G137">
            <v>6118.96</v>
          </cell>
          <cell r="H137" t="str">
            <v xml:space="preserve"> </v>
          </cell>
        </row>
        <row r="138">
          <cell r="A138" t="str">
            <v>5400-007-000</v>
          </cell>
          <cell r="B138" t="str">
            <v>Honorarios</v>
          </cell>
          <cell r="C138">
            <v>0</v>
          </cell>
          <cell r="D138" t="str">
            <v xml:space="preserve"> </v>
          </cell>
          <cell r="E138">
            <v>22000</v>
          </cell>
          <cell r="F138">
            <v>0</v>
          </cell>
          <cell r="G138">
            <v>22000</v>
          </cell>
          <cell r="H138" t="str">
            <v xml:space="preserve"> </v>
          </cell>
        </row>
        <row r="139">
          <cell r="A139" t="str">
            <v>5400-022-000</v>
          </cell>
          <cell r="B139" t="str">
            <v>Papelería y Artículos de Oficina</v>
          </cell>
          <cell r="C139">
            <v>0</v>
          </cell>
          <cell r="D139" t="str">
            <v xml:space="preserve"> </v>
          </cell>
          <cell r="E139">
            <v>1095.26</v>
          </cell>
          <cell r="F139">
            <v>0</v>
          </cell>
          <cell r="G139">
            <v>1095.26</v>
          </cell>
          <cell r="H139" t="str">
            <v xml:space="preserve"> </v>
          </cell>
        </row>
        <row r="140">
          <cell r="A140" t="str">
            <v>5400-028-000</v>
          </cell>
          <cell r="B140" t="str">
            <v>Recolección de Basura</v>
          </cell>
          <cell r="C140">
            <v>0</v>
          </cell>
          <cell r="D140" t="str">
            <v xml:space="preserve"> </v>
          </cell>
          <cell r="E140">
            <v>134.4</v>
          </cell>
          <cell r="F140">
            <v>0</v>
          </cell>
          <cell r="G140">
            <v>134.4</v>
          </cell>
          <cell r="H140" t="str">
            <v xml:space="preserve"> </v>
          </cell>
        </row>
        <row r="141">
          <cell r="A141" t="str">
            <v>5400-038-000</v>
          </cell>
          <cell r="B141" t="str">
            <v>No Deducibles</v>
          </cell>
          <cell r="C141">
            <v>3.54</v>
          </cell>
          <cell r="D141" t="str">
            <v xml:space="preserve"> </v>
          </cell>
          <cell r="E141">
            <v>1876.97</v>
          </cell>
          <cell r="F141">
            <v>0</v>
          </cell>
          <cell r="G141">
            <v>1880.51</v>
          </cell>
          <cell r="H141" t="str">
            <v xml:space="preserve"> </v>
          </cell>
        </row>
        <row r="142">
          <cell r="A142" t="str">
            <v>5400-046-000</v>
          </cell>
          <cell r="B142" t="str">
            <v>Multas</v>
          </cell>
          <cell r="C142">
            <v>1296.46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1296.46</v>
          </cell>
          <cell r="H142" t="str">
            <v xml:space="preserve"> </v>
          </cell>
        </row>
        <row r="143">
          <cell r="A143" t="str">
            <v>0000-600-000</v>
          </cell>
          <cell r="B143" t="str">
            <v>CIF</v>
          </cell>
          <cell r="C143">
            <v>697.07</v>
          </cell>
          <cell r="D143" t="str">
            <v xml:space="preserve"> </v>
          </cell>
          <cell r="E143">
            <v>0.24</v>
          </cell>
          <cell r="F143">
            <v>789.32</v>
          </cell>
          <cell r="G143">
            <v>-92.01</v>
          </cell>
          <cell r="H143" t="str">
            <v xml:space="preserve"> </v>
          </cell>
        </row>
        <row r="144">
          <cell r="A144" t="str">
            <v>6000-002-000</v>
          </cell>
          <cell r="B144" t="str">
            <v>Pérdida en Cambios</v>
          </cell>
          <cell r="C144">
            <v>2223.7600000000002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2223.7600000000002</v>
          </cell>
          <cell r="H144" t="str">
            <v xml:space="preserve"> </v>
          </cell>
        </row>
        <row r="145">
          <cell r="A145" t="str">
            <v>6000-003-000</v>
          </cell>
          <cell r="B145" t="str">
            <v>Intereses Bancarios</v>
          </cell>
          <cell r="C145">
            <v>-1526.69</v>
          </cell>
          <cell r="D145" t="str">
            <v xml:space="preserve"> </v>
          </cell>
          <cell r="E145">
            <v>0</v>
          </cell>
          <cell r="F145">
            <v>788.97</v>
          </cell>
          <cell r="G145">
            <v>-2315.66</v>
          </cell>
          <cell r="H145" t="str">
            <v xml:space="preserve"> </v>
          </cell>
        </row>
        <row r="146">
          <cell r="A146" t="str">
            <v>6000-005-000</v>
          </cell>
          <cell r="B146" t="str">
            <v>Minor Dif</v>
          </cell>
          <cell r="C146">
            <v>0</v>
          </cell>
          <cell r="D146" t="str">
            <v xml:space="preserve"> </v>
          </cell>
          <cell r="E146">
            <v>0.24</v>
          </cell>
          <cell r="F146">
            <v>0.35</v>
          </cell>
          <cell r="G146">
            <v>-0.11</v>
          </cell>
          <cell r="H146" t="str">
            <v xml:space="preserve"> </v>
          </cell>
        </row>
        <row r="147">
          <cell r="A147" t="str">
            <v xml:space="preserve"> </v>
          </cell>
        </row>
        <row r="148">
          <cell r="B148" t="str">
            <v>Total cuentas no impresas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 xml:space="preserve"> </v>
          </cell>
          <cell r="D149">
            <v>0</v>
          </cell>
          <cell r="H149">
            <v>0</v>
          </cell>
        </row>
        <row r="150">
          <cell r="A150" t="str">
            <v xml:space="preserve"> </v>
          </cell>
        </row>
        <row r="152">
          <cell r="B152" t="str">
            <v xml:space="preserve">Sumas Iguales: </v>
          </cell>
          <cell r="C152">
            <v>3390124.18</v>
          </cell>
          <cell r="E152">
            <v>2194236.6800000002</v>
          </cell>
          <cell r="F152">
            <v>2194236.6800000002</v>
          </cell>
          <cell r="G152">
            <v>3767520.31</v>
          </cell>
        </row>
        <row r="153">
          <cell r="D153">
            <v>3390124.18</v>
          </cell>
          <cell r="H153">
            <v>3767520.31</v>
          </cell>
        </row>
      </sheetData>
      <sheetData sheetId="49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30/Jun/2015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908432.06</v>
          </cell>
          <cell r="D8" t="str">
            <v xml:space="preserve"> </v>
          </cell>
          <cell r="E8">
            <v>1307160.8</v>
          </cell>
          <cell r="F8">
            <v>1193597.92</v>
          </cell>
          <cell r="G8">
            <v>1021994.94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757740.44</v>
          </cell>
          <cell r="D9" t="str">
            <v xml:space="preserve"> </v>
          </cell>
          <cell r="E9">
            <v>1300287.52</v>
          </cell>
          <cell r="F9">
            <v>1190656.1599999999</v>
          </cell>
          <cell r="G9">
            <v>867371.8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606588.47</v>
          </cell>
          <cell r="D10" t="str">
            <v xml:space="preserve"> </v>
          </cell>
          <cell r="E10">
            <v>647344.56999999995</v>
          </cell>
          <cell r="F10">
            <v>529639.4</v>
          </cell>
          <cell r="G10">
            <v>724293.64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1740.08</v>
          </cell>
          <cell r="D11" t="str">
            <v xml:space="preserve"> </v>
          </cell>
          <cell r="E11">
            <v>24000</v>
          </cell>
          <cell r="F11">
            <v>22671.05</v>
          </cell>
          <cell r="G11">
            <v>3069.03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103260.94</v>
          </cell>
          <cell r="D12" t="str">
            <v xml:space="preserve"> </v>
          </cell>
          <cell r="E12">
            <v>622832.75</v>
          </cell>
          <cell r="F12">
            <v>506968.35</v>
          </cell>
          <cell r="G12">
            <v>219125.34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501587.45</v>
          </cell>
          <cell r="D13" t="str">
            <v xml:space="preserve"> </v>
          </cell>
          <cell r="E13">
            <v>511.82</v>
          </cell>
          <cell r="F13">
            <v>0</v>
          </cell>
          <cell r="G13">
            <v>502099.27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622832.75</v>
          </cell>
          <cell r="F14">
            <v>622832.75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622832.75</v>
          </cell>
          <cell r="F15">
            <v>622832.75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622832.75</v>
          </cell>
          <cell r="F16">
            <v>622832.75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21408.51</v>
          </cell>
          <cell r="D17" t="str">
            <v xml:space="preserve"> </v>
          </cell>
          <cell r="E17">
            <v>22193.42</v>
          </cell>
          <cell r="F17">
            <v>22006.71</v>
          </cell>
          <cell r="G17">
            <v>21595.22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10496.71</v>
          </cell>
          <cell r="F18">
            <v>10496.71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960</v>
          </cell>
          <cell r="D19" t="str">
            <v xml:space="preserve"> </v>
          </cell>
          <cell r="E19">
            <v>1200</v>
          </cell>
          <cell r="F19">
            <v>2160</v>
          </cell>
          <cell r="G19">
            <v>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20448.509999999998</v>
          </cell>
          <cell r="D20" t="str">
            <v xml:space="preserve"> </v>
          </cell>
          <cell r="E20">
            <v>10496.71</v>
          </cell>
          <cell r="F20">
            <v>9350</v>
          </cell>
          <cell r="G20">
            <v>21595.22</v>
          </cell>
          <cell r="H20" t="str">
            <v xml:space="preserve"> </v>
          </cell>
        </row>
        <row r="21">
          <cell r="A21" t="str">
            <v>1106-000-000</v>
          </cell>
          <cell r="B21" t="str">
            <v>Deudores Diversos</v>
          </cell>
          <cell r="C21">
            <v>3000</v>
          </cell>
          <cell r="D21" t="str">
            <v xml:space="preserve"> </v>
          </cell>
          <cell r="E21">
            <v>0</v>
          </cell>
          <cell r="F21">
            <v>3000</v>
          </cell>
          <cell r="G21">
            <v>0</v>
          </cell>
          <cell r="H21" t="str">
            <v xml:space="preserve"> </v>
          </cell>
        </row>
        <row r="22">
          <cell r="A22" t="str">
            <v>1106-019-000</v>
          </cell>
          <cell r="B22" t="str">
            <v>R</v>
          </cell>
          <cell r="C22">
            <v>3000</v>
          </cell>
          <cell r="D22" t="str">
            <v xml:space="preserve"> </v>
          </cell>
          <cell r="E22">
            <v>0</v>
          </cell>
          <cell r="F22">
            <v>3000</v>
          </cell>
          <cell r="G22">
            <v>0</v>
          </cell>
          <cell r="H22" t="str">
            <v xml:space="preserve"> </v>
          </cell>
        </row>
        <row r="23">
          <cell r="A23" t="str">
            <v>1106-019-001</v>
          </cell>
          <cell r="B23" t="str">
            <v>Raymundo</v>
          </cell>
          <cell r="C23">
            <v>3000</v>
          </cell>
          <cell r="D23" t="str">
            <v xml:space="preserve"> </v>
          </cell>
          <cell r="E23">
            <v>0</v>
          </cell>
          <cell r="F23">
            <v>3000</v>
          </cell>
          <cell r="G23">
            <v>0</v>
          </cell>
          <cell r="H23" t="str">
            <v xml:space="preserve"> </v>
          </cell>
        </row>
        <row r="24">
          <cell r="A24" t="str">
            <v>1107-000-000</v>
          </cell>
          <cell r="B24" t="str">
            <v>Anticipo a Proveedores</v>
          </cell>
          <cell r="C24">
            <v>7595</v>
          </cell>
          <cell r="D24" t="str">
            <v xml:space="preserve"> </v>
          </cell>
          <cell r="E24">
            <v>0</v>
          </cell>
          <cell r="F24">
            <v>7450</v>
          </cell>
          <cell r="G24">
            <v>145</v>
          </cell>
          <cell r="H24" t="str">
            <v xml:space="preserve"> </v>
          </cell>
        </row>
        <row r="25">
          <cell r="A25" t="str">
            <v>1107-012-000</v>
          </cell>
          <cell r="B25" t="str">
            <v>L</v>
          </cell>
          <cell r="C25">
            <v>5500</v>
          </cell>
          <cell r="D25" t="str">
            <v xml:space="preserve"> </v>
          </cell>
          <cell r="E25">
            <v>0</v>
          </cell>
          <cell r="F25">
            <v>5500</v>
          </cell>
          <cell r="G25">
            <v>0</v>
          </cell>
          <cell r="H25" t="str">
            <v xml:space="preserve"> </v>
          </cell>
        </row>
        <row r="26">
          <cell r="A26" t="str">
            <v>1107-014-000</v>
          </cell>
          <cell r="B26" t="str">
            <v>N</v>
          </cell>
          <cell r="C26">
            <v>2095</v>
          </cell>
          <cell r="D26" t="str">
            <v xml:space="preserve"> </v>
          </cell>
          <cell r="E26">
            <v>0</v>
          </cell>
          <cell r="F26">
            <v>1950</v>
          </cell>
          <cell r="G26">
            <v>145</v>
          </cell>
          <cell r="H26" t="str">
            <v xml:space="preserve"> </v>
          </cell>
        </row>
        <row r="27">
          <cell r="A27" t="str">
            <v>1107-014-001</v>
          </cell>
          <cell r="B27" t="str">
            <v>Navarro Lozano y Compañia, S.C.</v>
          </cell>
          <cell r="C27">
            <v>2095</v>
          </cell>
          <cell r="D27" t="str">
            <v xml:space="preserve"> </v>
          </cell>
          <cell r="E27">
            <v>0</v>
          </cell>
          <cell r="F27">
            <v>1950</v>
          </cell>
          <cell r="G27">
            <v>145</v>
          </cell>
          <cell r="H27" t="str">
            <v xml:space="preserve"> </v>
          </cell>
        </row>
        <row r="28">
          <cell r="A28" t="str">
            <v>1108-000-000</v>
          </cell>
          <cell r="B28" t="str">
            <v>Pagos Anticipados</v>
          </cell>
          <cell r="C28">
            <v>46709.73</v>
          </cell>
          <cell r="D28" t="str">
            <v xml:space="preserve"> </v>
          </cell>
          <cell r="E28">
            <v>7916.78</v>
          </cell>
          <cell r="F28">
            <v>0</v>
          </cell>
          <cell r="G28">
            <v>54626.51</v>
          </cell>
          <cell r="H28" t="str">
            <v xml:space="preserve"> </v>
          </cell>
        </row>
        <row r="29">
          <cell r="A29" t="str">
            <v>1108-001-000</v>
          </cell>
          <cell r="B29" t="str">
            <v>Pagos Provisionales ISR</v>
          </cell>
          <cell r="C29">
            <v>45822</v>
          </cell>
          <cell r="D29" t="str">
            <v xml:space="preserve"> </v>
          </cell>
          <cell r="E29">
            <v>7670</v>
          </cell>
          <cell r="F29">
            <v>0</v>
          </cell>
          <cell r="G29">
            <v>53492</v>
          </cell>
          <cell r="H29" t="str">
            <v xml:space="preserve"> </v>
          </cell>
        </row>
        <row r="30">
          <cell r="A30" t="str">
            <v>1108-004-000</v>
          </cell>
          <cell r="B30" t="str">
            <v>Retención de ISR Bancaria</v>
          </cell>
          <cell r="C30">
            <v>815.51</v>
          </cell>
          <cell r="D30" t="str">
            <v xml:space="preserve"> </v>
          </cell>
          <cell r="E30">
            <v>246.78</v>
          </cell>
          <cell r="F30">
            <v>0</v>
          </cell>
          <cell r="G30">
            <v>1062.29</v>
          </cell>
          <cell r="H30" t="str">
            <v xml:space="preserve"> </v>
          </cell>
        </row>
        <row r="31">
          <cell r="A31" t="str">
            <v>1108-005-000</v>
          </cell>
          <cell r="B31" t="str">
            <v>Subsidio al Empleo</v>
          </cell>
          <cell r="C31">
            <v>0.22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0.22</v>
          </cell>
          <cell r="H31" t="str">
            <v xml:space="preserve"> </v>
          </cell>
        </row>
        <row r="32">
          <cell r="A32" t="str">
            <v>1108-006-000</v>
          </cell>
          <cell r="B32" t="str">
            <v>Saldo a Favor de ISR</v>
          </cell>
          <cell r="C32">
            <v>72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72</v>
          </cell>
          <cell r="H32" t="str">
            <v xml:space="preserve"> </v>
          </cell>
        </row>
        <row r="33">
          <cell r="A33" t="str">
            <v>1109-000-000</v>
          </cell>
          <cell r="B33" t="str">
            <v>Depositos en Garantia</v>
          </cell>
          <cell r="C33">
            <v>24000</v>
          </cell>
          <cell r="D33" t="str">
            <v xml:space="preserve"> </v>
          </cell>
          <cell r="E33">
            <v>0</v>
          </cell>
          <cell r="F33">
            <v>0</v>
          </cell>
          <cell r="G33">
            <v>24000</v>
          </cell>
          <cell r="H33" t="str">
            <v xml:space="preserve"> </v>
          </cell>
        </row>
        <row r="34">
          <cell r="A34" t="str">
            <v>1109-001-000</v>
          </cell>
          <cell r="B34" t="str">
            <v>Depositos en Garantia</v>
          </cell>
          <cell r="C34">
            <v>24000</v>
          </cell>
          <cell r="D34" t="str">
            <v xml:space="preserve"> </v>
          </cell>
          <cell r="E34">
            <v>0</v>
          </cell>
          <cell r="F34">
            <v>0</v>
          </cell>
          <cell r="G34">
            <v>24000</v>
          </cell>
          <cell r="H34" t="str">
            <v xml:space="preserve"> </v>
          </cell>
        </row>
        <row r="35">
          <cell r="A35" t="str">
            <v>1110-000-000</v>
          </cell>
          <cell r="B35" t="str">
            <v>Seguros Pagados por anticipado</v>
          </cell>
          <cell r="C35">
            <v>48438.73</v>
          </cell>
          <cell r="D35" t="str">
            <v xml:space="preserve"> </v>
          </cell>
          <cell r="E35">
            <v>0</v>
          </cell>
          <cell r="F35">
            <v>5727.3</v>
          </cell>
          <cell r="G35">
            <v>42711.43</v>
          </cell>
          <cell r="H35" t="str">
            <v xml:space="preserve"> </v>
          </cell>
        </row>
        <row r="36">
          <cell r="A36" t="str">
            <v>1110-001-000</v>
          </cell>
          <cell r="B36" t="str">
            <v>Seguro Gastos Medicos</v>
          </cell>
          <cell r="C36">
            <v>43989.41</v>
          </cell>
          <cell r="D36" t="str">
            <v xml:space="preserve"> </v>
          </cell>
          <cell r="E36">
            <v>0</v>
          </cell>
          <cell r="F36">
            <v>5091.6899999999996</v>
          </cell>
          <cell r="G36">
            <v>38897.72</v>
          </cell>
          <cell r="H36" t="str">
            <v xml:space="preserve"> </v>
          </cell>
        </row>
        <row r="37">
          <cell r="A37" t="str">
            <v>1110-002-000</v>
          </cell>
          <cell r="B37" t="str">
            <v>Seguro Local</v>
          </cell>
          <cell r="C37">
            <v>4449.32</v>
          </cell>
          <cell r="D37" t="str">
            <v xml:space="preserve"> </v>
          </cell>
          <cell r="E37">
            <v>0</v>
          </cell>
          <cell r="F37">
            <v>635.61</v>
          </cell>
          <cell r="G37">
            <v>3813.71</v>
          </cell>
          <cell r="H37" t="str">
            <v xml:space="preserve"> </v>
          </cell>
        </row>
        <row r="38">
          <cell r="A38" t="str">
            <v>1200-000-000</v>
          </cell>
          <cell r="B38" t="str">
            <v>ACTIVOS FIJOS</v>
          </cell>
          <cell r="C38">
            <v>150691.62</v>
          </cell>
          <cell r="D38" t="str">
            <v xml:space="preserve"> </v>
          </cell>
          <cell r="E38">
            <v>6873.28</v>
          </cell>
          <cell r="F38">
            <v>2941.76</v>
          </cell>
          <cell r="G38">
            <v>154623.14000000001</v>
          </cell>
          <cell r="H38" t="str">
            <v xml:space="preserve"> </v>
          </cell>
        </row>
        <row r="39">
          <cell r="A39" t="str">
            <v>1208-000-000</v>
          </cell>
          <cell r="B39" t="str">
            <v>Mobiliario y Eq de oficina</v>
          </cell>
          <cell r="C39">
            <v>103608.29</v>
          </cell>
          <cell r="D39" t="str">
            <v xml:space="preserve"> </v>
          </cell>
          <cell r="E39">
            <v>6873.28</v>
          </cell>
          <cell r="F39">
            <v>0</v>
          </cell>
          <cell r="G39">
            <v>110481.57</v>
          </cell>
          <cell r="H39" t="str">
            <v xml:space="preserve"> </v>
          </cell>
        </row>
        <row r="40">
          <cell r="A40" t="str">
            <v>1208-001-000</v>
          </cell>
          <cell r="B40" t="str">
            <v>Mesa ejecutiva</v>
          </cell>
          <cell r="C40">
            <v>26207.61</v>
          </cell>
          <cell r="D40" t="str">
            <v xml:space="preserve"> </v>
          </cell>
          <cell r="E40">
            <v>3619.83</v>
          </cell>
          <cell r="F40">
            <v>0</v>
          </cell>
          <cell r="G40">
            <v>29827.439999999999</v>
          </cell>
          <cell r="H40" t="str">
            <v xml:space="preserve"> </v>
          </cell>
        </row>
        <row r="41">
          <cell r="A41" t="str">
            <v>1208-002-000</v>
          </cell>
          <cell r="B41" t="str">
            <v>Silla ejecutiva</v>
          </cell>
          <cell r="C41">
            <v>23407.759999999998</v>
          </cell>
          <cell r="D41" t="str">
            <v xml:space="preserve"> </v>
          </cell>
          <cell r="E41">
            <v>3253.45</v>
          </cell>
          <cell r="F41">
            <v>0</v>
          </cell>
          <cell r="G41">
            <v>26661.21</v>
          </cell>
          <cell r="H41" t="str">
            <v xml:space="preserve"> </v>
          </cell>
        </row>
        <row r="42">
          <cell r="A42" t="str">
            <v>1208-003-000</v>
          </cell>
          <cell r="B42" t="str">
            <v>Gabinete</v>
          </cell>
          <cell r="C42">
            <v>7500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7500</v>
          </cell>
          <cell r="H42" t="str">
            <v xml:space="preserve"> </v>
          </cell>
        </row>
        <row r="43">
          <cell r="A43" t="str">
            <v>1208-004-000</v>
          </cell>
          <cell r="B43" t="str">
            <v>Mesa de juntas</v>
          </cell>
          <cell r="C43">
            <v>8522.1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8522.1</v>
          </cell>
          <cell r="H43" t="str">
            <v xml:space="preserve"> </v>
          </cell>
        </row>
        <row r="44">
          <cell r="A44" t="str">
            <v>1208-005-000</v>
          </cell>
          <cell r="B44" t="str">
            <v>Calentador</v>
          </cell>
          <cell r="C44">
            <v>1415.23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1415.23</v>
          </cell>
          <cell r="H44" t="str">
            <v xml:space="preserve"> </v>
          </cell>
        </row>
        <row r="45">
          <cell r="A45" t="str">
            <v>1208-006-000</v>
          </cell>
          <cell r="B45" t="str">
            <v>Lámpara mesa</v>
          </cell>
          <cell r="C45">
            <v>11723.45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11723.45</v>
          </cell>
          <cell r="H45" t="str">
            <v xml:space="preserve"> </v>
          </cell>
        </row>
        <row r="46">
          <cell r="A46" t="str">
            <v>1208-007-000</v>
          </cell>
          <cell r="B46" t="str">
            <v>Sillón antenas piel vinil chocolate</v>
          </cell>
          <cell r="C46">
            <v>2113.79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2113.79</v>
          </cell>
          <cell r="H46" t="str">
            <v xml:space="preserve"> </v>
          </cell>
        </row>
        <row r="47">
          <cell r="A47" t="str">
            <v>1208-008-000</v>
          </cell>
          <cell r="B47" t="str">
            <v>Lámpara mesa</v>
          </cell>
          <cell r="C47">
            <v>12500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12500</v>
          </cell>
          <cell r="H47" t="str">
            <v xml:space="preserve"> </v>
          </cell>
        </row>
        <row r="48">
          <cell r="A48" t="str">
            <v>1208-009-000</v>
          </cell>
          <cell r="B48" t="str">
            <v>Comedor</v>
          </cell>
          <cell r="C48">
            <v>693.36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693.36</v>
          </cell>
          <cell r="H48" t="str">
            <v xml:space="preserve"> </v>
          </cell>
        </row>
        <row r="49">
          <cell r="A49" t="str">
            <v>1208-010-000</v>
          </cell>
          <cell r="B49" t="str">
            <v>Mesa de juntas ceniz</v>
          </cell>
          <cell r="C49">
            <v>1421.55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1421.55</v>
          </cell>
          <cell r="H49" t="str">
            <v xml:space="preserve"> </v>
          </cell>
        </row>
        <row r="50">
          <cell r="A50" t="str">
            <v>1208-011-000</v>
          </cell>
          <cell r="B50" t="str">
            <v>Escritorio Estudiante Vid Choc</v>
          </cell>
          <cell r="C50">
            <v>8103.44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8103.44</v>
          </cell>
          <cell r="H50" t="str">
            <v xml:space="preserve"> </v>
          </cell>
        </row>
        <row r="51">
          <cell r="A51" t="str">
            <v>1209-000-000</v>
          </cell>
          <cell r="B51" t="str">
            <v>Depreciacion acumulada Mob y Eq de oficina</v>
          </cell>
          <cell r="C51" t="str">
            <v xml:space="preserve"> </v>
          </cell>
          <cell r="D51">
            <v>12260.31</v>
          </cell>
          <cell r="E51">
            <v>0</v>
          </cell>
          <cell r="F51">
            <v>829.64</v>
          </cell>
          <cell r="G51" t="str">
            <v xml:space="preserve"> </v>
          </cell>
          <cell r="H51">
            <v>13089.95</v>
          </cell>
        </row>
        <row r="52">
          <cell r="A52" t="str">
            <v>1210-000-000</v>
          </cell>
          <cell r="B52" t="str">
            <v>Equipo de Computo</v>
          </cell>
          <cell r="C52">
            <v>91105.56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91105.56</v>
          </cell>
          <cell r="H52" t="str">
            <v xml:space="preserve"> </v>
          </cell>
        </row>
        <row r="53">
          <cell r="A53" t="str">
            <v>1210-001-000</v>
          </cell>
          <cell r="B53" t="str">
            <v>Computer Elite 8300</v>
          </cell>
          <cell r="C53">
            <v>49350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49350</v>
          </cell>
          <cell r="H53" t="str">
            <v xml:space="preserve"> </v>
          </cell>
        </row>
        <row r="54">
          <cell r="A54" t="str">
            <v>1210-002-000</v>
          </cell>
          <cell r="B54" t="str">
            <v>Multi Brother</v>
          </cell>
          <cell r="C54">
            <v>3188.79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3188.79</v>
          </cell>
          <cell r="H54" t="str">
            <v xml:space="preserve"> </v>
          </cell>
        </row>
        <row r="55">
          <cell r="A55" t="str">
            <v>1210-003-000</v>
          </cell>
          <cell r="B55" t="str">
            <v>Sony Video Projector</v>
          </cell>
          <cell r="C55">
            <v>9007.7999999999993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9007.7999999999993</v>
          </cell>
          <cell r="H55" t="str">
            <v xml:space="preserve"> </v>
          </cell>
        </row>
        <row r="56">
          <cell r="A56" t="str">
            <v>1210-004-000</v>
          </cell>
          <cell r="B56" t="str">
            <v>Epson Multifunctional  XP-211</v>
          </cell>
          <cell r="C56">
            <v>991.38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991.38</v>
          </cell>
          <cell r="H56" t="str">
            <v xml:space="preserve"> </v>
          </cell>
        </row>
        <row r="57">
          <cell r="A57" t="str">
            <v>1210-005-000</v>
          </cell>
          <cell r="B57" t="str">
            <v>Combo Inalam desktop 5000 usb</v>
          </cell>
          <cell r="C57">
            <v>922.41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922.41</v>
          </cell>
          <cell r="H57" t="str">
            <v xml:space="preserve"> </v>
          </cell>
        </row>
        <row r="58">
          <cell r="A58" t="str">
            <v>1210-012-000</v>
          </cell>
          <cell r="B58" t="str">
            <v>Laptop V5 Touch</v>
          </cell>
          <cell r="C58">
            <v>9240.8700000000008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9240.8700000000008</v>
          </cell>
          <cell r="H58" t="str">
            <v xml:space="preserve"> </v>
          </cell>
        </row>
        <row r="59">
          <cell r="A59" t="str">
            <v>1210-013-000</v>
          </cell>
          <cell r="B59" t="str">
            <v>Laptop Acer VN7-571 UMACKKLL 3</v>
          </cell>
          <cell r="C59">
            <v>11783.62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11783.62</v>
          </cell>
          <cell r="H59" t="str">
            <v xml:space="preserve"> </v>
          </cell>
        </row>
        <row r="60">
          <cell r="A60" t="str">
            <v>1210-014-000</v>
          </cell>
          <cell r="B60" t="str">
            <v>Computadora de escritorio sin monitor</v>
          </cell>
          <cell r="C60">
            <v>6620.69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6620.69</v>
          </cell>
          <cell r="H60" t="str">
            <v xml:space="preserve"> </v>
          </cell>
        </row>
        <row r="61">
          <cell r="A61" t="str">
            <v>1211-000-000</v>
          </cell>
          <cell r="B61" t="str">
            <v>Depreciacion acumulada Eq. de Computo</v>
          </cell>
          <cell r="C61" t="str">
            <v xml:space="preserve"> </v>
          </cell>
          <cell r="D61">
            <v>31761.919999999998</v>
          </cell>
          <cell r="E61">
            <v>0</v>
          </cell>
          <cell r="F61">
            <v>2112.12</v>
          </cell>
          <cell r="G61" t="str">
            <v xml:space="preserve"> </v>
          </cell>
          <cell r="H61">
            <v>33874.04</v>
          </cell>
        </row>
        <row r="62">
          <cell r="A62" t="str">
            <v>0000-200-000</v>
          </cell>
          <cell r="B62" t="str">
            <v>PASIVOS</v>
          </cell>
          <cell r="C62" t="str">
            <v xml:space="preserve"> </v>
          </cell>
          <cell r="D62">
            <v>901055.38</v>
          </cell>
          <cell r="E62">
            <v>418296.52</v>
          </cell>
          <cell r="F62">
            <v>470309.9</v>
          </cell>
          <cell r="G62" t="str">
            <v xml:space="preserve"> </v>
          </cell>
          <cell r="H62">
            <v>953068.76</v>
          </cell>
        </row>
        <row r="63">
          <cell r="A63" t="str">
            <v>2100-000-000</v>
          </cell>
          <cell r="B63" t="str">
            <v>PASIVO CIRCULANTE</v>
          </cell>
          <cell r="C63" t="str">
            <v xml:space="preserve"> </v>
          </cell>
          <cell r="D63">
            <v>901055.38</v>
          </cell>
          <cell r="E63">
            <v>418296.52</v>
          </cell>
          <cell r="F63">
            <v>470309.9</v>
          </cell>
          <cell r="G63" t="str">
            <v xml:space="preserve"> </v>
          </cell>
          <cell r="H63">
            <v>953068.76</v>
          </cell>
        </row>
        <row r="64">
          <cell r="A64" t="str">
            <v>2103-000-000</v>
          </cell>
          <cell r="B64" t="str">
            <v>Proveedores</v>
          </cell>
          <cell r="C64" t="str">
            <v xml:space="preserve"> </v>
          </cell>
          <cell r="D64">
            <v>6960</v>
          </cell>
          <cell r="E64">
            <v>15660</v>
          </cell>
          <cell r="F64">
            <v>8700</v>
          </cell>
          <cell r="G64" t="str">
            <v xml:space="preserve"> </v>
          </cell>
          <cell r="H64">
            <v>0</v>
          </cell>
        </row>
        <row r="65">
          <cell r="A65" t="str">
            <v>2103-007-000</v>
          </cell>
          <cell r="B65" t="str">
            <v>G</v>
          </cell>
          <cell r="C65" t="str">
            <v xml:space="preserve"> </v>
          </cell>
          <cell r="D65">
            <v>6960</v>
          </cell>
          <cell r="E65">
            <v>15660</v>
          </cell>
          <cell r="F65">
            <v>8700</v>
          </cell>
          <cell r="G65" t="str">
            <v xml:space="preserve"> </v>
          </cell>
          <cell r="H65">
            <v>0</v>
          </cell>
        </row>
        <row r="66">
          <cell r="A66" t="str">
            <v>2103-007-001</v>
          </cell>
          <cell r="B66" t="str">
            <v>Galaz Yamazaki Ruiz Urquiza SC</v>
          </cell>
          <cell r="C66" t="str">
            <v xml:space="preserve"> </v>
          </cell>
          <cell r="D66">
            <v>6960</v>
          </cell>
          <cell r="E66">
            <v>15660</v>
          </cell>
          <cell r="F66">
            <v>8700</v>
          </cell>
          <cell r="G66" t="str">
            <v xml:space="preserve"> </v>
          </cell>
          <cell r="H66">
            <v>0</v>
          </cell>
        </row>
        <row r="67">
          <cell r="A67" t="str">
            <v>2106-000-000</v>
          </cell>
          <cell r="B67" t="str">
            <v>Acreedores Diversos</v>
          </cell>
          <cell r="C67" t="str">
            <v xml:space="preserve"> </v>
          </cell>
          <cell r="D67">
            <v>761024.33</v>
          </cell>
          <cell r="E67">
            <v>274465.40000000002</v>
          </cell>
          <cell r="F67">
            <v>274465.40000000002</v>
          </cell>
          <cell r="G67" t="str">
            <v xml:space="preserve"> </v>
          </cell>
          <cell r="H67">
            <v>761024.33</v>
          </cell>
        </row>
        <row r="68">
          <cell r="A68" t="str">
            <v>2106-001-000</v>
          </cell>
          <cell r="B68" t="str">
            <v>A</v>
          </cell>
          <cell r="C68" t="str">
            <v xml:space="preserve"> </v>
          </cell>
          <cell r="D68">
            <v>761024.3</v>
          </cell>
          <cell r="E68">
            <v>0</v>
          </cell>
          <cell r="F68">
            <v>0</v>
          </cell>
          <cell r="G68" t="str">
            <v xml:space="preserve"> </v>
          </cell>
          <cell r="H68">
            <v>761024.3</v>
          </cell>
        </row>
        <row r="69">
          <cell r="A69" t="str">
            <v>2106-001-001</v>
          </cell>
          <cell r="B69" t="str">
            <v>1A Auto Inc.</v>
          </cell>
          <cell r="C69" t="str">
            <v xml:space="preserve"> </v>
          </cell>
          <cell r="D69">
            <v>761024.3</v>
          </cell>
          <cell r="E69">
            <v>0</v>
          </cell>
          <cell r="F69">
            <v>0</v>
          </cell>
          <cell r="G69" t="str">
            <v xml:space="preserve"> </v>
          </cell>
          <cell r="H69">
            <v>761024.3</v>
          </cell>
        </row>
        <row r="70">
          <cell r="A70" t="str">
            <v>2106-017-000</v>
          </cell>
          <cell r="B70" t="str">
            <v>P</v>
          </cell>
          <cell r="C70" t="str">
            <v xml:space="preserve"> </v>
          </cell>
          <cell r="D70">
            <v>0.03</v>
          </cell>
          <cell r="E70">
            <v>0</v>
          </cell>
          <cell r="F70">
            <v>0</v>
          </cell>
          <cell r="G70" t="str">
            <v xml:space="preserve"> </v>
          </cell>
          <cell r="H70">
            <v>0.03</v>
          </cell>
        </row>
        <row r="71">
          <cell r="A71" t="str">
            <v>2106-017-002</v>
          </cell>
          <cell r="B71" t="str">
            <v>PTU</v>
          </cell>
          <cell r="C71" t="str">
            <v xml:space="preserve"> </v>
          </cell>
          <cell r="D71">
            <v>0.03</v>
          </cell>
          <cell r="E71">
            <v>0</v>
          </cell>
          <cell r="F71">
            <v>0</v>
          </cell>
          <cell r="G71" t="str">
            <v xml:space="preserve"> </v>
          </cell>
          <cell r="H71">
            <v>0.03</v>
          </cell>
        </row>
        <row r="72">
          <cell r="A72" t="str">
            <v>2106-023-000</v>
          </cell>
          <cell r="B72" t="str">
            <v>V</v>
          </cell>
          <cell r="C72" t="str">
            <v xml:space="preserve"> </v>
          </cell>
          <cell r="D72">
            <v>0</v>
          </cell>
          <cell r="E72">
            <v>18150</v>
          </cell>
          <cell r="F72">
            <v>18150</v>
          </cell>
          <cell r="G72" t="str">
            <v xml:space="preserve"> </v>
          </cell>
          <cell r="H72">
            <v>0</v>
          </cell>
        </row>
        <row r="73">
          <cell r="A73" t="str">
            <v>2106-023-001</v>
          </cell>
          <cell r="B73" t="str">
            <v>Vales de despensa</v>
          </cell>
          <cell r="C73" t="str">
            <v xml:space="preserve"> </v>
          </cell>
          <cell r="D73">
            <v>0</v>
          </cell>
          <cell r="E73">
            <v>10800</v>
          </cell>
          <cell r="F73">
            <v>10800</v>
          </cell>
          <cell r="G73" t="str">
            <v xml:space="preserve"> </v>
          </cell>
          <cell r="H73">
            <v>0</v>
          </cell>
        </row>
        <row r="74">
          <cell r="A74" t="str">
            <v>2106-023-002</v>
          </cell>
          <cell r="B74" t="str">
            <v>Vales de gasolina</v>
          </cell>
          <cell r="C74" t="str">
            <v xml:space="preserve"> </v>
          </cell>
          <cell r="D74">
            <v>0</v>
          </cell>
          <cell r="E74">
            <v>7350</v>
          </cell>
          <cell r="F74">
            <v>7350</v>
          </cell>
          <cell r="G74" t="str">
            <v xml:space="preserve"> </v>
          </cell>
          <cell r="H74">
            <v>0</v>
          </cell>
        </row>
        <row r="75">
          <cell r="A75" t="str">
            <v>2106-100-000</v>
          </cell>
          <cell r="B75" t="str">
            <v>Sueldos por pagar</v>
          </cell>
          <cell r="C75" t="str">
            <v xml:space="preserve"> </v>
          </cell>
          <cell r="D75">
            <v>0</v>
          </cell>
          <cell r="E75">
            <v>256315.4</v>
          </cell>
          <cell r="F75">
            <v>256315.4</v>
          </cell>
          <cell r="G75" t="str">
            <v xml:space="preserve"> </v>
          </cell>
          <cell r="H75">
            <v>0</v>
          </cell>
        </row>
        <row r="76">
          <cell r="A76" t="str">
            <v>2108-000-000</v>
          </cell>
          <cell r="B76" t="str">
            <v>Impuestos por pagar</v>
          </cell>
          <cell r="C76" t="str">
            <v xml:space="preserve"> </v>
          </cell>
          <cell r="D76">
            <v>133071.04999999999</v>
          </cell>
          <cell r="E76">
            <v>128171.12</v>
          </cell>
          <cell r="F76">
            <v>187144.5</v>
          </cell>
          <cell r="G76" t="str">
            <v xml:space="preserve"> </v>
          </cell>
          <cell r="H76">
            <v>192044.43</v>
          </cell>
        </row>
        <row r="77">
          <cell r="A77" t="str">
            <v>2108-001-000</v>
          </cell>
          <cell r="B77" t="str">
            <v>ISPT</v>
          </cell>
          <cell r="C77" t="str">
            <v xml:space="preserve"> </v>
          </cell>
          <cell r="D77">
            <v>90340.55</v>
          </cell>
          <cell r="E77">
            <v>90339</v>
          </cell>
          <cell r="F77">
            <v>82804.399999999994</v>
          </cell>
          <cell r="G77" t="str">
            <v xml:space="preserve"> </v>
          </cell>
          <cell r="H77">
            <v>82805.95</v>
          </cell>
        </row>
        <row r="78">
          <cell r="A78" t="str">
            <v>2108-002-000</v>
          </cell>
          <cell r="B78" t="str">
            <v>ISN</v>
          </cell>
          <cell r="C78" t="str">
            <v xml:space="preserve"> </v>
          </cell>
          <cell r="D78">
            <v>8441</v>
          </cell>
          <cell r="E78">
            <v>8441</v>
          </cell>
          <cell r="F78">
            <v>8476</v>
          </cell>
          <cell r="G78" t="str">
            <v xml:space="preserve"> </v>
          </cell>
          <cell r="H78">
            <v>8476</v>
          </cell>
        </row>
        <row r="79">
          <cell r="A79" t="str">
            <v>2108-003-000</v>
          </cell>
          <cell r="B79" t="str">
            <v>IMSS</v>
          </cell>
          <cell r="C79" t="str">
            <v xml:space="preserve"> </v>
          </cell>
          <cell r="D79">
            <v>34289.64</v>
          </cell>
          <cell r="E79">
            <v>29391.119999999999</v>
          </cell>
          <cell r="F79">
            <v>23544.54</v>
          </cell>
          <cell r="G79" t="str">
            <v xml:space="preserve"> </v>
          </cell>
          <cell r="H79">
            <v>28443.06</v>
          </cell>
        </row>
        <row r="80">
          <cell r="A80" t="str">
            <v>2108-004-000</v>
          </cell>
          <cell r="B80" t="str">
            <v>INFONAVIT</v>
          </cell>
          <cell r="C80" t="str">
            <v xml:space="preserve"> </v>
          </cell>
          <cell r="D80">
            <v>0</v>
          </cell>
          <cell r="E80">
            <v>0</v>
          </cell>
          <cell r="F80">
            <v>32070.78</v>
          </cell>
          <cell r="G80" t="str">
            <v xml:space="preserve"> </v>
          </cell>
          <cell r="H80">
            <v>32070.78</v>
          </cell>
        </row>
        <row r="81">
          <cell r="A81" t="str">
            <v>2108-005-000</v>
          </cell>
          <cell r="B81" t="str">
            <v>SAR</v>
          </cell>
          <cell r="C81" t="str">
            <v xml:space="preserve"> </v>
          </cell>
          <cell r="D81">
            <v>-0.01</v>
          </cell>
          <cell r="E81">
            <v>0</v>
          </cell>
          <cell r="F81">
            <v>40248.78</v>
          </cell>
          <cell r="G81" t="str">
            <v xml:space="preserve"> </v>
          </cell>
          <cell r="H81">
            <v>40248.769999999997</v>
          </cell>
        </row>
        <row r="82">
          <cell r="A82" t="str">
            <v>2108-008-000</v>
          </cell>
          <cell r="B82" t="str">
            <v>ISPT Assimilated</v>
          </cell>
          <cell r="C82" t="str">
            <v xml:space="preserve"> </v>
          </cell>
          <cell r="D82">
            <v>-0.14000000000000001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-0.14000000000000001</v>
          </cell>
        </row>
        <row r="83">
          <cell r="A83" t="str">
            <v>2108-020-000</v>
          </cell>
          <cell r="B83" t="str">
            <v>Infonavit creditos</v>
          </cell>
          <cell r="C83" t="str">
            <v xml:space="preserve"> </v>
          </cell>
          <cell r="D83">
            <v>0.01</v>
          </cell>
          <cell r="E83">
            <v>0</v>
          </cell>
          <cell r="F83">
            <v>0</v>
          </cell>
          <cell r="G83" t="str">
            <v xml:space="preserve"> </v>
          </cell>
          <cell r="H83">
            <v>0.01</v>
          </cell>
        </row>
        <row r="84">
          <cell r="A84" t="str">
            <v>0000-300-000</v>
          </cell>
          <cell r="B84" t="str">
            <v>CAPITAL</v>
          </cell>
          <cell r="C84" t="str">
            <v xml:space="preserve"> </v>
          </cell>
          <cell r="D84">
            <v>-221330.79</v>
          </cell>
          <cell r="E84">
            <v>0</v>
          </cell>
          <cell r="F84">
            <v>0</v>
          </cell>
          <cell r="G84" t="str">
            <v xml:space="preserve"> </v>
          </cell>
          <cell r="H84">
            <v>-221330.79</v>
          </cell>
        </row>
        <row r="85">
          <cell r="A85" t="str">
            <v>3100-000-000</v>
          </cell>
          <cell r="B85" t="str">
            <v>Aportaciones de Capital</v>
          </cell>
          <cell r="C85" t="str">
            <v xml:space="preserve"> </v>
          </cell>
          <cell r="D85">
            <v>3000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3000</v>
          </cell>
        </row>
        <row r="86">
          <cell r="A86" t="str">
            <v>3300-000-000</v>
          </cell>
          <cell r="B86" t="str">
            <v>Remanente de Ej anteriores</v>
          </cell>
          <cell r="C86" t="str">
            <v xml:space="preserve"> </v>
          </cell>
          <cell r="D86">
            <v>-224330.79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-224330.79</v>
          </cell>
        </row>
        <row r="87">
          <cell r="A87" t="str">
            <v>3300-001-000</v>
          </cell>
          <cell r="B87" t="str">
            <v>Resultado del Ejercicio 2013</v>
          </cell>
          <cell r="C87" t="str">
            <v xml:space="preserve"> </v>
          </cell>
          <cell r="D87">
            <v>-411059.15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-411059.15</v>
          </cell>
        </row>
        <row r="88">
          <cell r="A88" t="str">
            <v>3300-002-000</v>
          </cell>
          <cell r="B88" t="str">
            <v>Resultado del Ejercicio 2014</v>
          </cell>
          <cell r="C88" t="str">
            <v xml:space="preserve"> </v>
          </cell>
          <cell r="D88">
            <v>186728.36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186728.36</v>
          </cell>
        </row>
        <row r="89">
          <cell r="A89" t="str">
            <v>0000-400-000</v>
          </cell>
          <cell r="B89" t="str">
            <v>INGRESOS</v>
          </cell>
          <cell r="C89" t="str">
            <v xml:space="preserve"> </v>
          </cell>
          <cell r="D89">
            <v>3043773.49</v>
          </cell>
          <cell r="E89">
            <v>0</v>
          </cell>
          <cell r="F89">
            <v>622832.75</v>
          </cell>
          <cell r="G89" t="str">
            <v xml:space="preserve"> </v>
          </cell>
          <cell r="H89">
            <v>3666606.24</v>
          </cell>
        </row>
        <row r="90">
          <cell r="A90" t="str">
            <v>4100-002-000</v>
          </cell>
          <cell r="B90" t="str">
            <v>0% Ventas</v>
          </cell>
          <cell r="C90" t="str">
            <v xml:space="preserve"> </v>
          </cell>
          <cell r="D90">
            <v>3041282.14</v>
          </cell>
          <cell r="E90">
            <v>0</v>
          </cell>
          <cell r="F90">
            <v>622832.75</v>
          </cell>
          <cell r="G90" t="str">
            <v xml:space="preserve"> </v>
          </cell>
          <cell r="H90">
            <v>3664114.89</v>
          </cell>
        </row>
        <row r="91">
          <cell r="A91" t="str">
            <v>4100-005-000</v>
          </cell>
          <cell r="B91" t="str">
            <v>Otros Ingresos</v>
          </cell>
          <cell r="C91" t="str">
            <v xml:space="preserve"> </v>
          </cell>
          <cell r="D91">
            <v>2437.8000000000002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2437.8000000000002</v>
          </cell>
        </row>
        <row r="92">
          <cell r="A92" t="str">
            <v>4100-005-002</v>
          </cell>
          <cell r="B92" t="str">
            <v>Reembolso de gastos medicos</v>
          </cell>
          <cell r="C92" t="str">
            <v xml:space="preserve"> </v>
          </cell>
          <cell r="D92">
            <v>2437.8000000000002</v>
          </cell>
          <cell r="E92">
            <v>0</v>
          </cell>
          <cell r="F92">
            <v>0</v>
          </cell>
          <cell r="G92" t="str">
            <v xml:space="preserve"> </v>
          </cell>
          <cell r="H92">
            <v>2437.8000000000002</v>
          </cell>
        </row>
        <row r="93">
          <cell r="A93" t="str">
            <v>4100-006-000</v>
          </cell>
          <cell r="B93" t="str">
            <v>Desc sobre Compras</v>
          </cell>
          <cell r="C93" t="str">
            <v xml:space="preserve"> </v>
          </cell>
          <cell r="D93">
            <v>53.55</v>
          </cell>
          <cell r="E93">
            <v>0</v>
          </cell>
          <cell r="F93">
            <v>0</v>
          </cell>
          <cell r="G93" t="str">
            <v xml:space="preserve"> </v>
          </cell>
          <cell r="H93">
            <v>53.55</v>
          </cell>
        </row>
        <row r="94">
          <cell r="A94" t="str">
            <v>0000-500-000</v>
          </cell>
          <cell r="B94" t="str">
            <v>GASTOS</v>
          </cell>
          <cell r="C94">
            <v>2815158.03</v>
          </cell>
          <cell r="D94" t="str">
            <v xml:space="preserve"> </v>
          </cell>
          <cell r="E94">
            <v>562053.84</v>
          </cell>
          <cell r="F94">
            <v>0</v>
          </cell>
          <cell r="G94">
            <v>3377211.87</v>
          </cell>
          <cell r="H94" t="str">
            <v xml:space="preserve"> </v>
          </cell>
        </row>
        <row r="95">
          <cell r="A95" t="str">
            <v>5200-000-000</v>
          </cell>
          <cell r="B95" t="str">
            <v>GASTOS DE NOMINA</v>
          </cell>
          <cell r="C95">
            <v>2356578.17</v>
          </cell>
          <cell r="D95" t="str">
            <v xml:space="preserve"> </v>
          </cell>
          <cell r="E95">
            <v>462517.34</v>
          </cell>
          <cell r="F95">
            <v>0</v>
          </cell>
          <cell r="G95">
            <v>2819095.51</v>
          </cell>
          <cell r="H95" t="str">
            <v xml:space="preserve"> </v>
          </cell>
        </row>
        <row r="96">
          <cell r="A96" t="str">
            <v>5200-001-000</v>
          </cell>
          <cell r="B96" t="str">
            <v>Sueldos</v>
          </cell>
          <cell r="C96">
            <v>1870412.3</v>
          </cell>
          <cell r="D96" t="str">
            <v xml:space="preserve"> </v>
          </cell>
          <cell r="E96">
            <v>336472.06</v>
          </cell>
          <cell r="F96">
            <v>0</v>
          </cell>
          <cell r="G96">
            <v>2206884.36</v>
          </cell>
          <cell r="H96" t="str">
            <v xml:space="preserve"> </v>
          </cell>
        </row>
        <row r="97">
          <cell r="A97" t="str">
            <v>5200-004-000</v>
          </cell>
          <cell r="B97" t="str">
            <v>Vales de despensa</v>
          </cell>
          <cell r="C97">
            <v>61200</v>
          </cell>
          <cell r="D97" t="str">
            <v xml:space="preserve"> </v>
          </cell>
          <cell r="E97">
            <v>10800</v>
          </cell>
          <cell r="F97">
            <v>0</v>
          </cell>
          <cell r="G97">
            <v>72000</v>
          </cell>
          <cell r="H97" t="str">
            <v xml:space="preserve"> </v>
          </cell>
        </row>
        <row r="98">
          <cell r="A98" t="str">
            <v>5200-007-000</v>
          </cell>
          <cell r="B98" t="str">
            <v>IMSS</v>
          </cell>
          <cell r="C98">
            <v>111168.2</v>
          </cell>
          <cell r="D98" t="str">
            <v xml:space="preserve"> </v>
          </cell>
          <cell r="E98">
            <v>15091.78</v>
          </cell>
          <cell r="F98">
            <v>0</v>
          </cell>
          <cell r="G98">
            <v>126259.98</v>
          </cell>
          <cell r="H98" t="str">
            <v xml:space="preserve"> </v>
          </cell>
        </row>
        <row r="99">
          <cell r="A99" t="str">
            <v>5200-008-000</v>
          </cell>
          <cell r="B99" t="str">
            <v>SAR</v>
          </cell>
          <cell r="C99">
            <v>78674.570000000007</v>
          </cell>
          <cell r="D99" t="str">
            <v xml:space="preserve"> </v>
          </cell>
          <cell r="E99">
            <v>40248.78</v>
          </cell>
          <cell r="F99">
            <v>0</v>
          </cell>
          <cell r="G99">
            <v>118923.35</v>
          </cell>
          <cell r="H99" t="str">
            <v xml:space="preserve"> </v>
          </cell>
        </row>
        <row r="100">
          <cell r="A100" t="str">
            <v>5200-009-000</v>
          </cell>
          <cell r="B100" t="str">
            <v>INFONAVIT</v>
          </cell>
          <cell r="C100">
            <v>62688.95</v>
          </cell>
          <cell r="D100" t="str">
            <v xml:space="preserve"> </v>
          </cell>
          <cell r="E100">
            <v>32070.78</v>
          </cell>
          <cell r="F100">
            <v>0</v>
          </cell>
          <cell r="G100">
            <v>94759.73</v>
          </cell>
          <cell r="H100" t="str">
            <v xml:space="preserve"> </v>
          </cell>
        </row>
        <row r="101">
          <cell r="A101" t="str">
            <v>5200-010-000</v>
          </cell>
          <cell r="B101" t="str">
            <v>ISN</v>
          </cell>
          <cell r="C101">
            <v>46363</v>
          </cell>
          <cell r="D101" t="str">
            <v xml:space="preserve"> </v>
          </cell>
          <cell r="E101">
            <v>8476</v>
          </cell>
          <cell r="F101">
            <v>0</v>
          </cell>
          <cell r="G101">
            <v>54839</v>
          </cell>
          <cell r="H101" t="str">
            <v xml:space="preserve"> </v>
          </cell>
        </row>
        <row r="102">
          <cell r="A102" t="str">
            <v>5200-012-000</v>
          </cell>
          <cell r="B102" t="str">
            <v>Vacaciones</v>
          </cell>
          <cell r="C102">
            <v>51488.09</v>
          </cell>
          <cell r="D102" t="str">
            <v xml:space="preserve"> </v>
          </cell>
          <cell r="E102">
            <v>11100.44</v>
          </cell>
          <cell r="F102">
            <v>0</v>
          </cell>
          <cell r="G102">
            <v>62588.53</v>
          </cell>
          <cell r="H102" t="str">
            <v xml:space="preserve"> </v>
          </cell>
        </row>
        <row r="103">
          <cell r="A103" t="str">
            <v>5200-013-000</v>
          </cell>
          <cell r="B103" t="str">
            <v>Prima Vacacional</v>
          </cell>
          <cell r="C103">
            <v>13526.02</v>
          </cell>
          <cell r="D103" t="str">
            <v xml:space="preserve"> </v>
          </cell>
          <cell r="E103">
            <v>0</v>
          </cell>
          <cell r="F103">
            <v>0</v>
          </cell>
          <cell r="G103">
            <v>13526.02</v>
          </cell>
          <cell r="H103" t="str">
            <v xml:space="preserve"> </v>
          </cell>
        </row>
        <row r="104">
          <cell r="A104" t="str">
            <v>5200-014-000</v>
          </cell>
          <cell r="B104" t="str">
            <v>Aguinaldo</v>
          </cell>
          <cell r="C104">
            <v>20879.54</v>
          </cell>
          <cell r="D104" t="str">
            <v xml:space="preserve"> </v>
          </cell>
          <cell r="E104">
            <v>0</v>
          </cell>
          <cell r="F104">
            <v>0</v>
          </cell>
          <cell r="G104">
            <v>20879.54</v>
          </cell>
          <cell r="H104" t="str">
            <v xml:space="preserve"> </v>
          </cell>
        </row>
        <row r="105">
          <cell r="A105" t="str">
            <v>5200-021-000</v>
          </cell>
          <cell r="B105" t="str">
            <v>Comisiones Vales</v>
          </cell>
          <cell r="C105">
            <v>4827.5</v>
          </cell>
          <cell r="D105" t="str">
            <v xml:space="preserve"> </v>
          </cell>
          <cell r="E105">
            <v>907.5</v>
          </cell>
          <cell r="F105">
            <v>0</v>
          </cell>
          <cell r="G105">
            <v>5735</v>
          </cell>
          <cell r="H105" t="str">
            <v xml:space="preserve"> </v>
          </cell>
        </row>
        <row r="106">
          <cell r="A106" t="str">
            <v>5200-027-000</v>
          </cell>
          <cell r="B106" t="str">
            <v>Vales de gasolina</v>
          </cell>
          <cell r="C106">
            <v>35350</v>
          </cell>
          <cell r="D106" t="str">
            <v xml:space="preserve"> </v>
          </cell>
          <cell r="E106">
            <v>7350</v>
          </cell>
          <cell r="F106">
            <v>0</v>
          </cell>
          <cell r="G106">
            <v>42700</v>
          </cell>
          <cell r="H106" t="str">
            <v xml:space="preserve"> </v>
          </cell>
        </row>
        <row r="107">
          <cell r="A107" t="str">
            <v>5300-000-000</v>
          </cell>
          <cell r="B107" t="str">
            <v>GASTOS DE ADMINISTRACION</v>
          </cell>
          <cell r="C107">
            <v>412359.07</v>
          </cell>
          <cell r="D107" t="str">
            <v xml:space="preserve"> </v>
          </cell>
          <cell r="E107">
            <v>68913.100000000006</v>
          </cell>
          <cell r="F107">
            <v>0</v>
          </cell>
          <cell r="G107">
            <v>481272.17</v>
          </cell>
          <cell r="H107" t="str">
            <v xml:space="preserve"> </v>
          </cell>
        </row>
        <row r="108">
          <cell r="A108" t="str">
            <v>5300-002-000</v>
          </cell>
          <cell r="B108" t="str">
            <v>Gastos de viaje</v>
          </cell>
          <cell r="C108">
            <v>95688.7</v>
          </cell>
          <cell r="D108" t="str">
            <v xml:space="preserve"> </v>
          </cell>
          <cell r="E108">
            <v>4282.08</v>
          </cell>
          <cell r="F108">
            <v>0</v>
          </cell>
          <cell r="G108">
            <v>99970.78</v>
          </cell>
          <cell r="H108" t="str">
            <v xml:space="preserve"> </v>
          </cell>
        </row>
        <row r="109">
          <cell r="A109" t="str">
            <v>5300-003-000</v>
          </cell>
          <cell r="B109" t="str">
            <v>Eventos especiales</v>
          </cell>
          <cell r="C109">
            <v>16209.06</v>
          </cell>
          <cell r="D109" t="str">
            <v xml:space="preserve"> </v>
          </cell>
          <cell r="E109">
            <v>13362.35</v>
          </cell>
          <cell r="F109">
            <v>0</v>
          </cell>
          <cell r="G109">
            <v>29571.41</v>
          </cell>
          <cell r="H109" t="str">
            <v xml:space="preserve"> </v>
          </cell>
        </row>
        <row r="110">
          <cell r="A110" t="str">
            <v>5300-004-000</v>
          </cell>
          <cell r="B110" t="str">
            <v>Consumo en Restaurantes</v>
          </cell>
          <cell r="C110">
            <v>119.43</v>
          </cell>
          <cell r="D110" t="str">
            <v xml:space="preserve"> </v>
          </cell>
          <cell r="E110">
            <v>87.28</v>
          </cell>
          <cell r="F110">
            <v>0</v>
          </cell>
          <cell r="G110">
            <v>206.71</v>
          </cell>
          <cell r="H110" t="str">
            <v xml:space="preserve"> </v>
          </cell>
        </row>
        <row r="111">
          <cell r="A111" t="str">
            <v>5300-006-000</v>
          </cell>
          <cell r="B111" t="str">
            <v>Comunicacion</v>
          </cell>
          <cell r="C111">
            <v>17264.13</v>
          </cell>
          <cell r="D111" t="str">
            <v xml:space="preserve"> </v>
          </cell>
          <cell r="E111">
            <v>3101.72</v>
          </cell>
          <cell r="F111">
            <v>0</v>
          </cell>
          <cell r="G111">
            <v>20365.849999999999</v>
          </cell>
          <cell r="H111" t="str">
            <v xml:space="preserve"> </v>
          </cell>
        </row>
        <row r="112">
          <cell r="A112" t="str">
            <v>5300-007-000</v>
          </cell>
          <cell r="B112" t="str">
            <v>Honorarios</v>
          </cell>
          <cell r="C112">
            <v>48000</v>
          </cell>
          <cell r="D112" t="str">
            <v xml:space="preserve"> </v>
          </cell>
          <cell r="E112">
            <v>33000</v>
          </cell>
          <cell r="F112">
            <v>0</v>
          </cell>
          <cell r="G112">
            <v>81000</v>
          </cell>
          <cell r="H112" t="str">
            <v xml:space="preserve"> </v>
          </cell>
        </row>
        <row r="113">
          <cell r="A113" t="str">
            <v>5300-009-000</v>
          </cell>
          <cell r="B113" t="str">
            <v>Arrendamiento</v>
          </cell>
          <cell r="C113">
            <v>120000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120000</v>
          </cell>
          <cell r="H113" t="str">
            <v xml:space="preserve"> </v>
          </cell>
        </row>
        <row r="114">
          <cell r="A114" t="str">
            <v>5300-013-000</v>
          </cell>
          <cell r="B114" t="str">
            <v>Seguros</v>
          </cell>
          <cell r="C114">
            <v>20288.88</v>
          </cell>
          <cell r="D114" t="str">
            <v xml:space="preserve"> </v>
          </cell>
          <cell r="E114">
            <v>5727.3</v>
          </cell>
          <cell r="F114">
            <v>0</v>
          </cell>
          <cell r="G114">
            <v>26016.18</v>
          </cell>
          <cell r="H114" t="str">
            <v xml:space="preserve"> </v>
          </cell>
        </row>
        <row r="115">
          <cell r="A115" t="str">
            <v>5300-017-000</v>
          </cell>
          <cell r="B115" t="str">
            <v>Luz</v>
          </cell>
          <cell r="C115">
            <v>5485.84</v>
          </cell>
          <cell r="D115" t="str">
            <v xml:space="preserve"> </v>
          </cell>
          <cell r="E115">
            <v>2989.58</v>
          </cell>
          <cell r="F115">
            <v>0</v>
          </cell>
          <cell r="G115">
            <v>8475.42</v>
          </cell>
          <cell r="H115" t="str">
            <v xml:space="preserve"> </v>
          </cell>
        </row>
        <row r="116">
          <cell r="A116" t="str">
            <v>5300-018-000</v>
          </cell>
          <cell r="B116" t="str">
            <v>Gas Natural</v>
          </cell>
          <cell r="C116">
            <v>5996.26</v>
          </cell>
          <cell r="D116" t="str">
            <v xml:space="preserve"> </v>
          </cell>
          <cell r="E116">
            <v>0</v>
          </cell>
          <cell r="F116">
            <v>0</v>
          </cell>
          <cell r="G116">
            <v>5996.26</v>
          </cell>
          <cell r="H116" t="str">
            <v xml:space="preserve"> </v>
          </cell>
        </row>
        <row r="117">
          <cell r="A117" t="str">
            <v>5300-019-000</v>
          </cell>
          <cell r="B117" t="str">
            <v>Agua</v>
          </cell>
          <cell r="C117">
            <v>1010.2</v>
          </cell>
          <cell r="D117" t="str">
            <v xml:space="preserve"> </v>
          </cell>
          <cell r="E117">
            <v>202.04</v>
          </cell>
          <cell r="F117">
            <v>0</v>
          </cell>
          <cell r="G117">
            <v>1212.24</v>
          </cell>
          <cell r="H117" t="str">
            <v xml:space="preserve"> </v>
          </cell>
        </row>
        <row r="118">
          <cell r="A118" t="str">
            <v>5300-022-000</v>
          </cell>
          <cell r="B118" t="str">
            <v>Papeleria</v>
          </cell>
          <cell r="C118">
            <v>111.21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111.21</v>
          </cell>
          <cell r="H118" t="str">
            <v xml:space="preserve"> </v>
          </cell>
        </row>
        <row r="119">
          <cell r="A119" t="str">
            <v>5300-027-000</v>
          </cell>
          <cell r="B119" t="str">
            <v>Seguridad e Higiene</v>
          </cell>
          <cell r="C119">
            <v>7200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7200</v>
          </cell>
          <cell r="H119" t="str">
            <v xml:space="preserve"> </v>
          </cell>
        </row>
        <row r="120">
          <cell r="A120" t="str">
            <v>5300-028-000</v>
          </cell>
          <cell r="B120" t="str">
            <v>Recolección de Basura</v>
          </cell>
          <cell r="C120">
            <v>537.6</v>
          </cell>
          <cell r="D120" t="str">
            <v xml:space="preserve"> </v>
          </cell>
          <cell r="E120">
            <v>134.4</v>
          </cell>
          <cell r="F120">
            <v>0</v>
          </cell>
          <cell r="G120">
            <v>672</v>
          </cell>
          <cell r="H120" t="str">
            <v xml:space="preserve"> </v>
          </cell>
        </row>
        <row r="121">
          <cell r="A121" t="str">
            <v>5300-029-000</v>
          </cell>
          <cell r="B121" t="str">
            <v>Sistemas de Alarma</v>
          </cell>
          <cell r="C121">
            <v>1350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1350</v>
          </cell>
          <cell r="H121" t="str">
            <v xml:space="preserve"> </v>
          </cell>
        </row>
        <row r="122">
          <cell r="A122" t="str">
            <v>5300-031-000</v>
          </cell>
          <cell r="B122" t="str">
            <v>Cuotas y Suscripciones</v>
          </cell>
          <cell r="C122">
            <v>180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180</v>
          </cell>
          <cell r="H122" t="str">
            <v xml:space="preserve"> </v>
          </cell>
        </row>
        <row r="123">
          <cell r="A123" t="str">
            <v>5300-032-000</v>
          </cell>
          <cell r="B123" t="str">
            <v>Otros impuestos y derechos</v>
          </cell>
          <cell r="C123">
            <v>5.83</v>
          </cell>
          <cell r="D123" t="str">
            <v xml:space="preserve"> </v>
          </cell>
          <cell r="E123">
            <v>1951.26</v>
          </cell>
          <cell r="F123">
            <v>0</v>
          </cell>
          <cell r="G123">
            <v>1957.09</v>
          </cell>
          <cell r="H123" t="str">
            <v xml:space="preserve"> </v>
          </cell>
        </row>
        <row r="124">
          <cell r="A124" t="str">
            <v>5300-035-000</v>
          </cell>
          <cell r="B124" t="str">
            <v>Mantenimiento Local</v>
          </cell>
          <cell r="C124">
            <v>20203.18</v>
          </cell>
          <cell r="D124" t="str">
            <v xml:space="preserve"> </v>
          </cell>
          <cell r="E124">
            <v>2517.88</v>
          </cell>
          <cell r="F124">
            <v>0</v>
          </cell>
          <cell r="G124">
            <v>22721.06</v>
          </cell>
          <cell r="H124" t="str">
            <v xml:space="preserve"> </v>
          </cell>
        </row>
        <row r="125">
          <cell r="A125" t="str">
            <v>5300-036-000</v>
          </cell>
          <cell r="B125" t="str">
            <v>Mantenimiento equipo de computo</v>
          </cell>
          <cell r="C125">
            <v>697.42</v>
          </cell>
          <cell r="D125" t="str">
            <v xml:space="preserve"> </v>
          </cell>
          <cell r="E125">
            <v>128.44999999999999</v>
          </cell>
          <cell r="F125">
            <v>0</v>
          </cell>
          <cell r="G125">
            <v>825.87</v>
          </cell>
          <cell r="H125" t="str">
            <v xml:space="preserve"> </v>
          </cell>
        </row>
        <row r="126">
          <cell r="A126" t="str">
            <v>5300-038-000</v>
          </cell>
          <cell r="B126" t="str">
            <v>No deducibles</v>
          </cell>
          <cell r="C126">
            <v>43495.58</v>
          </cell>
          <cell r="D126" t="str">
            <v xml:space="preserve"> </v>
          </cell>
          <cell r="E126">
            <v>1208.76</v>
          </cell>
          <cell r="F126">
            <v>0</v>
          </cell>
          <cell r="G126">
            <v>44704.34</v>
          </cell>
          <cell r="H126" t="str">
            <v xml:space="preserve"> </v>
          </cell>
        </row>
        <row r="127">
          <cell r="A127" t="str">
            <v>5300-039-000</v>
          </cell>
          <cell r="B127" t="str">
            <v>Comisiones bancarias</v>
          </cell>
          <cell r="C127">
            <v>1210</v>
          </cell>
          <cell r="D127" t="str">
            <v xml:space="preserve"> </v>
          </cell>
          <cell r="E127">
            <v>220</v>
          </cell>
          <cell r="F127">
            <v>0</v>
          </cell>
          <cell r="G127">
            <v>1430</v>
          </cell>
          <cell r="H127" t="str">
            <v xml:space="preserve"> </v>
          </cell>
        </row>
        <row r="128">
          <cell r="A128" t="str">
            <v>5300-040-000</v>
          </cell>
          <cell r="B128" t="str">
            <v>Actualizacion de contribuciones</v>
          </cell>
          <cell r="C128">
            <v>119.96</v>
          </cell>
          <cell r="D128" t="str">
            <v xml:space="preserve"> </v>
          </cell>
          <cell r="E128">
            <v>0</v>
          </cell>
          <cell r="F128">
            <v>0</v>
          </cell>
          <cell r="G128">
            <v>119.96</v>
          </cell>
          <cell r="H128" t="str">
            <v xml:space="preserve"> </v>
          </cell>
        </row>
        <row r="129">
          <cell r="A129" t="str">
            <v>5300-041-000</v>
          </cell>
          <cell r="B129" t="str">
            <v>Recargos</v>
          </cell>
          <cell r="C129">
            <v>304.3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304.3</v>
          </cell>
          <cell r="H129" t="str">
            <v xml:space="preserve"> </v>
          </cell>
        </row>
        <row r="130">
          <cell r="A130" t="str">
            <v>5300-042-000</v>
          </cell>
          <cell r="B130" t="str">
            <v>Diversos</v>
          </cell>
          <cell r="C130">
            <v>1278.04</v>
          </cell>
          <cell r="D130" t="str">
            <v xml:space="preserve"> </v>
          </cell>
          <cell r="E130">
            <v>0</v>
          </cell>
          <cell r="F130">
            <v>0</v>
          </cell>
          <cell r="G130">
            <v>1278.04</v>
          </cell>
          <cell r="H130" t="str">
            <v xml:space="preserve"> </v>
          </cell>
        </row>
        <row r="131">
          <cell r="A131" t="str">
            <v>5300-046-000</v>
          </cell>
          <cell r="B131" t="str">
            <v>Honorarios legales</v>
          </cell>
          <cell r="C131">
            <v>5603.45</v>
          </cell>
          <cell r="D131" t="str">
            <v xml:space="preserve"> </v>
          </cell>
          <cell r="E131">
            <v>0</v>
          </cell>
          <cell r="F131">
            <v>0</v>
          </cell>
          <cell r="G131">
            <v>5603.45</v>
          </cell>
          <cell r="H131" t="str">
            <v xml:space="preserve"> </v>
          </cell>
        </row>
        <row r="132">
          <cell r="A132" t="str">
            <v>5400-000-000</v>
          </cell>
          <cell r="B132" t="str">
            <v>GASTOS DE OPERACION</v>
          </cell>
          <cell r="C132">
            <v>46220.79</v>
          </cell>
          <cell r="D132" t="str">
            <v xml:space="preserve"> </v>
          </cell>
          <cell r="E132">
            <v>30623.4</v>
          </cell>
          <cell r="F132">
            <v>0</v>
          </cell>
          <cell r="G132">
            <v>76844.19</v>
          </cell>
          <cell r="H132" t="str">
            <v xml:space="preserve"> </v>
          </cell>
        </row>
        <row r="133">
          <cell r="A133" t="str">
            <v>5400-001-000</v>
          </cell>
          <cell r="B133" t="str">
            <v>Depreciacion acumulada</v>
          </cell>
          <cell r="C133">
            <v>13642.59</v>
          </cell>
          <cell r="D133" t="str">
            <v xml:space="preserve"> </v>
          </cell>
          <cell r="E133">
            <v>2941.76</v>
          </cell>
          <cell r="F133">
            <v>0</v>
          </cell>
          <cell r="G133">
            <v>16584.349999999999</v>
          </cell>
          <cell r="H133" t="str">
            <v xml:space="preserve"> </v>
          </cell>
        </row>
        <row r="134">
          <cell r="A134" t="str">
            <v>5400-001-004</v>
          </cell>
          <cell r="B134" t="str">
            <v>Machinery &amp; Equipment accumulated depreciation</v>
          </cell>
          <cell r="C134">
            <v>3965.76</v>
          </cell>
          <cell r="D134" t="str">
            <v xml:space="preserve"> </v>
          </cell>
          <cell r="E134">
            <v>829.64</v>
          </cell>
          <cell r="F134">
            <v>0</v>
          </cell>
          <cell r="G134">
            <v>4795.3999999999996</v>
          </cell>
          <cell r="H134" t="str">
            <v xml:space="preserve"> </v>
          </cell>
        </row>
        <row r="135">
          <cell r="A135" t="str">
            <v>5400-001-005</v>
          </cell>
          <cell r="B135" t="str">
            <v>Computer Equipment accumulated depreciation</v>
          </cell>
          <cell r="C135">
            <v>9676.83</v>
          </cell>
          <cell r="D135" t="str">
            <v xml:space="preserve"> </v>
          </cell>
          <cell r="E135">
            <v>2112.12</v>
          </cell>
          <cell r="F135">
            <v>0</v>
          </cell>
          <cell r="G135">
            <v>11788.95</v>
          </cell>
          <cell r="H135" t="str">
            <v xml:space="preserve"> </v>
          </cell>
        </row>
        <row r="136">
          <cell r="A136" t="str">
            <v>5400-003-000</v>
          </cell>
          <cell r="B136" t="str">
            <v>Eventos Especiales</v>
          </cell>
          <cell r="C136">
            <v>0</v>
          </cell>
          <cell r="D136" t="str">
            <v xml:space="preserve"> </v>
          </cell>
          <cell r="E136">
            <v>166.38</v>
          </cell>
          <cell r="F136">
            <v>0</v>
          </cell>
          <cell r="G136">
            <v>166.38</v>
          </cell>
          <cell r="H136" t="str">
            <v xml:space="preserve"> </v>
          </cell>
        </row>
        <row r="137">
          <cell r="A137" t="str">
            <v>5400-004-000</v>
          </cell>
          <cell r="B137" t="str">
            <v>Consumo en Restaurantes</v>
          </cell>
          <cell r="C137">
            <v>52.61</v>
          </cell>
          <cell r="D137" t="str">
            <v xml:space="preserve"> </v>
          </cell>
          <cell r="E137">
            <v>0</v>
          </cell>
          <cell r="F137">
            <v>0</v>
          </cell>
          <cell r="G137">
            <v>52.61</v>
          </cell>
          <cell r="H137" t="str">
            <v xml:space="preserve"> </v>
          </cell>
        </row>
        <row r="138">
          <cell r="A138" t="str">
            <v>5400-006-000</v>
          </cell>
          <cell r="B138" t="str">
            <v>Comunicación</v>
          </cell>
          <cell r="C138">
            <v>6118.96</v>
          </cell>
          <cell r="D138" t="str">
            <v xml:space="preserve"> </v>
          </cell>
          <cell r="E138">
            <v>0</v>
          </cell>
          <cell r="F138">
            <v>0</v>
          </cell>
          <cell r="G138">
            <v>6118.96</v>
          </cell>
          <cell r="H138" t="str">
            <v xml:space="preserve"> </v>
          </cell>
        </row>
        <row r="139">
          <cell r="A139" t="str">
            <v>5400-007-000</v>
          </cell>
          <cell r="B139" t="str">
            <v>Honorarios</v>
          </cell>
          <cell r="C139">
            <v>22000</v>
          </cell>
          <cell r="D139" t="str">
            <v xml:space="preserve"> </v>
          </cell>
          <cell r="E139">
            <v>0</v>
          </cell>
          <cell r="F139">
            <v>0</v>
          </cell>
          <cell r="G139">
            <v>22000</v>
          </cell>
          <cell r="H139" t="str">
            <v xml:space="preserve"> </v>
          </cell>
        </row>
        <row r="140">
          <cell r="A140" t="str">
            <v>5400-009-000</v>
          </cell>
          <cell r="B140" t="str">
            <v>Arrendamiento</v>
          </cell>
          <cell r="C140">
            <v>0</v>
          </cell>
          <cell r="D140" t="str">
            <v xml:space="preserve"> </v>
          </cell>
          <cell r="E140">
            <v>24000</v>
          </cell>
          <cell r="F140">
            <v>0</v>
          </cell>
          <cell r="G140">
            <v>24000</v>
          </cell>
          <cell r="H140" t="str">
            <v xml:space="preserve"> </v>
          </cell>
        </row>
        <row r="141">
          <cell r="A141" t="str">
            <v>5400-022-000</v>
          </cell>
          <cell r="B141" t="str">
            <v>Papelería y Artículos de Oficina</v>
          </cell>
          <cell r="C141">
            <v>1095.26</v>
          </cell>
          <cell r="D141" t="str">
            <v xml:space="preserve"> </v>
          </cell>
          <cell r="E141">
            <v>3515.26</v>
          </cell>
          <cell r="F141">
            <v>0</v>
          </cell>
          <cell r="G141">
            <v>4610.5200000000004</v>
          </cell>
          <cell r="H141" t="str">
            <v xml:space="preserve"> </v>
          </cell>
        </row>
        <row r="142">
          <cell r="A142" t="str">
            <v>5400-028-000</v>
          </cell>
          <cell r="B142" t="str">
            <v>Recolección de Basura</v>
          </cell>
          <cell r="C142">
            <v>134.4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134.4</v>
          </cell>
          <cell r="H142" t="str">
            <v xml:space="preserve"> </v>
          </cell>
        </row>
        <row r="143">
          <cell r="A143" t="str">
            <v>5400-038-000</v>
          </cell>
          <cell r="B143" t="str">
            <v>No Deducibles</v>
          </cell>
          <cell r="C143">
            <v>1880.51</v>
          </cell>
          <cell r="D143" t="str">
            <v xml:space="preserve"> </v>
          </cell>
          <cell r="E143">
            <v>0</v>
          </cell>
          <cell r="F143">
            <v>0</v>
          </cell>
          <cell r="G143">
            <v>1880.51</v>
          </cell>
          <cell r="H143" t="str">
            <v xml:space="preserve"> </v>
          </cell>
        </row>
        <row r="144">
          <cell r="A144" t="str">
            <v>5400-046-000</v>
          </cell>
          <cell r="B144" t="str">
            <v>Multas</v>
          </cell>
          <cell r="C144">
            <v>1296.46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1296.46</v>
          </cell>
          <cell r="H144" t="str">
            <v xml:space="preserve"> </v>
          </cell>
        </row>
        <row r="145">
          <cell r="A145" t="str">
            <v>0000-600-000</v>
          </cell>
          <cell r="B145" t="str">
            <v>CIF</v>
          </cell>
          <cell r="C145">
            <v>-92.01</v>
          </cell>
          <cell r="D145" t="str">
            <v xml:space="preserve"> </v>
          </cell>
          <cell r="E145">
            <v>0.33</v>
          </cell>
          <cell r="F145">
            <v>770.92</v>
          </cell>
          <cell r="G145">
            <v>-862.6</v>
          </cell>
          <cell r="H145" t="str">
            <v xml:space="preserve"> </v>
          </cell>
        </row>
        <row r="146">
          <cell r="A146" t="str">
            <v>6000-001-000</v>
          </cell>
          <cell r="B146" t="str">
            <v>Utilidad en Cambios</v>
          </cell>
          <cell r="C146" t="str">
            <v xml:space="preserve"> </v>
          </cell>
          <cell r="D146">
            <v>0</v>
          </cell>
          <cell r="E146">
            <v>0</v>
          </cell>
          <cell r="F146">
            <v>12.05</v>
          </cell>
          <cell r="G146" t="str">
            <v xml:space="preserve"> </v>
          </cell>
          <cell r="H146">
            <v>12.05</v>
          </cell>
        </row>
        <row r="147">
          <cell r="A147" t="str">
            <v>6000-002-000</v>
          </cell>
          <cell r="B147" t="str">
            <v>Pérdida en Cambios</v>
          </cell>
          <cell r="C147">
            <v>2223.7600000000002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2223.7600000000002</v>
          </cell>
          <cell r="H147" t="str">
            <v xml:space="preserve"> </v>
          </cell>
        </row>
        <row r="148">
          <cell r="A148" t="str">
            <v>6000-003-000</v>
          </cell>
          <cell r="B148" t="str">
            <v>Intereses Bancarios</v>
          </cell>
          <cell r="C148">
            <v>-2315.66</v>
          </cell>
          <cell r="D148" t="str">
            <v xml:space="preserve"> </v>
          </cell>
          <cell r="E148">
            <v>0</v>
          </cell>
          <cell r="F148">
            <v>758.6</v>
          </cell>
          <cell r="G148">
            <v>-3074.26</v>
          </cell>
          <cell r="H148" t="str">
            <v xml:space="preserve"> </v>
          </cell>
        </row>
        <row r="149">
          <cell r="A149" t="str">
            <v>6000-005-000</v>
          </cell>
          <cell r="B149" t="str">
            <v>Minor Dif</v>
          </cell>
          <cell r="C149">
            <v>-0.11</v>
          </cell>
          <cell r="D149" t="str">
            <v xml:space="preserve"> </v>
          </cell>
          <cell r="E149">
            <v>0.33</v>
          </cell>
          <cell r="F149">
            <v>0.27</v>
          </cell>
          <cell r="G149">
            <v>-0.05</v>
          </cell>
          <cell r="H149" t="str">
            <v xml:space="preserve"> </v>
          </cell>
        </row>
        <row r="150">
          <cell r="A150" t="str">
            <v xml:space="preserve"> </v>
          </cell>
        </row>
        <row r="151">
          <cell r="B151" t="str">
            <v>Total cuentas no impresas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B152" t="str">
            <v xml:space="preserve"> </v>
          </cell>
          <cell r="D152">
            <v>0</v>
          </cell>
          <cell r="H152">
            <v>0</v>
          </cell>
        </row>
        <row r="153">
          <cell r="A153" t="str">
            <v xml:space="preserve"> </v>
          </cell>
        </row>
        <row r="155">
          <cell r="B155" t="str">
            <v xml:space="preserve">Sumas Iguales: </v>
          </cell>
          <cell r="C155">
            <v>3767520.31</v>
          </cell>
          <cell r="E155">
            <v>2287511.4900000002</v>
          </cell>
          <cell r="F155">
            <v>2287511.4900000002</v>
          </cell>
          <cell r="G155">
            <v>4445320.25</v>
          </cell>
        </row>
        <row r="156">
          <cell r="D156">
            <v>3767520.31</v>
          </cell>
          <cell r="H156">
            <v>4445320.25</v>
          </cell>
        </row>
      </sheetData>
      <sheetData sheetId="50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31/Jul/2015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1021994.94</v>
          </cell>
          <cell r="D8" t="str">
            <v xml:space="preserve"> </v>
          </cell>
          <cell r="E8">
            <v>1139718.1100000001</v>
          </cell>
          <cell r="F8">
            <v>1221262.42</v>
          </cell>
          <cell r="G8">
            <v>940450.63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867371.8</v>
          </cell>
          <cell r="D9" t="str">
            <v xml:space="preserve"> </v>
          </cell>
          <cell r="E9">
            <v>1110144.77</v>
          </cell>
          <cell r="F9">
            <v>1218320.6599999999</v>
          </cell>
          <cell r="G9">
            <v>759195.91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724293.64</v>
          </cell>
          <cell r="D10" t="str">
            <v xml:space="preserve"> </v>
          </cell>
          <cell r="E10">
            <v>553625.16</v>
          </cell>
          <cell r="F10">
            <v>677060.67</v>
          </cell>
          <cell r="G10">
            <v>600858.13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3069.03</v>
          </cell>
          <cell r="D11" t="str">
            <v xml:space="preserve"> </v>
          </cell>
          <cell r="E11">
            <v>50000</v>
          </cell>
          <cell r="F11">
            <v>41671.050000000003</v>
          </cell>
          <cell r="G11">
            <v>11397.98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219125.34</v>
          </cell>
          <cell r="D12" t="str">
            <v xml:space="preserve"> </v>
          </cell>
          <cell r="E12">
            <v>503106.26</v>
          </cell>
          <cell r="F12">
            <v>635389.62</v>
          </cell>
          <cell r="G12">
            <v>86841.98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502099.27</v>
          </cell>
          <cell r="D13" t="str">
            <v xml:space="preserve"> </v>
          </cell>
          <cell r="E13">
            <v>518.9</v>
          </cell>
          <cell r="F13">
            <v>0</v>
          </cell>
          <cell r="G13">
            <v>502618.17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503106.26</v>
          </cell>
          <cell r="F14">
            <v>503106.26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503106.26</v>
          </cell>
          <cell r="F15">
            <v>503106.26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503106.26</v>
          </cell>
          <cell r="F16">
            <v>503106.26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21595.22</v>
          </cell>
          <cell r="D17" t="str">
            <v xml:space="preserve"> </v>
          </cell>
          <cell r="E17">
            <v>43194.38</v>
          </cell>
          <cell r="F17">
            <v>32354.43</v>
          </cell>
          <cell r="G17">
            <v>32435.17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21014.43</v>
          </cell>
          <cell r="F18">
            <v>21014.43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0</v>
          </cell>
          <cell r="D19" t="str">
            <v xml:space="preserve"> </v>
          </cell>
          <cell r="E19">
            <v>1200</v>
          </cell>
          <cell r="F19">
            <v>0</v>
          </cell>
          <cell r="G19">
            <v>1200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21595.22</v>
          </cell>
          <cell r="D20" t="str">
            <v xml:space="preserve"> </v>
          </cell>
          <cell r="E20">
            <v>20979.95</v>
          </cell>
          <cell r="F20">
            <v>11340</v>
          </cell>
          <cell r="G20">
            <v>31235.17</v>
          </cell>
          <cell r="H20" t="str">
            <v xml:space="preserve"> </v>
          </cell>
        </row>
        <row r="21">
          <cell r="A21" t="str">
            <v>1107-000-000</v>
          </cell>
          <cell r="B21" t="str">
            <v>Anticipo a Proveedores</v>
          </cell>
          <cell r="C21">
            <v>145</v>
          </cell>
          <cell r="D21" t="str">
            <v xml:space="preserve"> </v>
          </cell>
          <cell r="E21">
            <v>0</v>
          </cell>
          <cell r="F21">
            <v>0</v>
          </cell>
          <cell r="G21">
            <v>145</v>
          </cell>
          <cell r="H21" t="str">
            <v xml:space="preserve"> </v>
          </cell>
        </row>
        <row r="22">
          <cell r="A22" t="str">
            <v>1107-014-000</v>
          </cell>
          <cell r="B22" t="str">
            <v>N</v>
          </cell>
          <cell r="C22">
            <v>145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145</v>
          </cell>
          <cell r="H22" t="str">
            <v xml:space="preserve"> </v>
          </cell>
        </row>
        <row r="23">
          <cell r="A23" t="str">
            <v>1107-014-001</v>
          </cell>
          <cell r="B23" t="str">
            <v>Navarro Lozano y Compañia, S.C.</v>
          </cell>
          <cell r="C23">
            <v>145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145</v>
          </cell>
          <cell r="H23" t="str">
            <v xml:space="preserve"> </v>
          </cell>
        </row>
        <row r="24">
          <cell r="A24" t="str">
            <v>1108-000-000</v>
          </cell>
          <cell r="B24" t="str">
            <v>Pagos Anticipados</v>
          </cell>
          <cell r="C24">
            <v>54626.51</v>
          </cell>
          <cell r="D24" t="str">
            <v xml:space="preserve"> </v>
          </cell>
          <cell r="E24">
            <v>10218.969999999999</v>
          </cell>
          <cell r="F24">
            <v>72</v>
          </cell>
          <cell r="G24">
            <v>64773.48</v>
          </cell>
          <cell r="H24" t="str">
            <v xml:space="preserve"> </v>
          </cell>
        </row>
        <row r="25">
          <cell r="A25" t="str">
            <v>1108-001-000</v>
          </cell>
          <cell r="B25" t="str">
            <v>Pagos Provisionales ISR</v>
          </cell>
          <cell r="C25">
            <v>53492</v>
          </cell>
          <cell r="D25" t="str">
            <v xml:space="preserve"> </v>
          </cell>
          <cell r="E25">
            <v>9947</v>
          </cell>
          <cell r="F25">
            <v>0</v>
          </cell>
          <cell r="G25">
            <v>63439</v>
          </cell>
          <cell r="H25" t="str">
            <v xml:space="preserve"> </v>
          </cell>
        </row>
        <row r="26">
          <cell r="A26" t="str">
            <v>1108-004-000</v>
          </cell>
          <cell r="B26" t="str">
            <v>Retención de ISR Bancaria</v>
          </cell>
          <cell r="C26">
            <v>1062.29</v>
          </cell>
          <cell r="D26" t="str">
            <v xml:space="preserve"> </v>
          </cell>
          <cell r="E26">
            <v>271.97000000000003</v>
          </cell>
          <cell r="F26">
            <v>0</v>
          </cell>
          <cell r="G26">
            <v>1334.26</v>
          </cell>
          <cell r="H26" t="str">
            <v xml:space="preserve"> </v>
          </cell>
        </row>
        <row r="27">
          <cell r="A27" t="str">
            <v>1108-005-000</v>
          </cell>
          <cell r="B27" t="str">
            <v>Subsidio al Empleo</v>
          </cell>
          <cell r="C27">
            <v>0.22</v>
          </cell>
          <cell r="D27" t="str">
            <v xml:space="preserve"> </v>
          </cell>
          <cell r="E27">
            <v>0</v>
          </cell>
          <cell r="F27">
            <v>0</v>
          </cell>
          <cell r="G27">
            <v>0.22</v>
          </cell>
          <cell r="H27" t="str">
            <v xml:space="preserve"> </v>
          </cell>
        </row>
        <row r="28">
          <cell r="A28" t="str">
            <v>1108-006-000</v>
          </cell>
          <cell r="B28" t="str">
            <v>Saldo a Favor de ISR</v>
          </cell>
          <cell r="C28">
            <v>72</v>
          </cell>
          <cell r="D28" t="str">
            <v xml:space="preserve"> </v>
          </cell>
          <cell r="E28">
            <v>0</v>
          </cell>
          <cell r="F28">
            <v>72</v>
          </cell>
          <cell r="G28">
            <v>0</v>
          </cell>
          <cell r="H28" t="str">
            <v xml:space="preserve"> </v>
          </cell>
        </row>
        <row r="29">
          <cell r="A29" t="str">
            <v>1109-000-000</v>
          </cell>
          <cell r="B29" t="str">
            <v>Depositos en Garantia</v>
          </cell>
          <cell r="C29">
            <v>24000</v>
          </cell>
          <cell r="D29" t="str">
            <v xml:space="preserve"> </v>
          </cell>
          <cell r="E29">
            <v>0</v>
          </cell>
          <cell r="F29">
            <v>0</v>
          </cell>
          <cell r="G29">
            <v>24000</v>
          </cell>
          <cell r="H29" t="str">
            <v xml:space="preserve"> </v>
          </cell>
        </row>
        <row r="30">
          <cell r="A30" t="str">
            <v>1109-001-000</v>
          </cell>
          <cell r="B30" t="str">
            <v>Depositos en Garantia</v>
          </cell>
          <cell r="C30">
            <v>24000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24000</v>
          </cell>
          <cell r="H30" t="str">
            <v xml:space="preserve"> </v>
          </cell>
        </row>
        <row r="31">
          <cell r="A31" t="str">
            <v>1110-000-000</v>
          </cell>
          <cell r="B31" t="str">
            <v>Seguros Pagados por anticipado</v>
          </cell>
          <cell r="C31">
            <v>42711.43</v>
          </cell>
          <cell r="D31" t="str">
            <v xml:space="preserve"> </v>
          </cell>
          <cell r="E31">
            <v>0</v>
          </cell>
          <cell r="F31">
            <v>5727.3</v>
          </cell>
          <cell r="G31">
            <v>36984.129999999997</v>
          </cell>
          <cell r="H31" t="str">
            <v xml:space="preserve"> </v>
          </cell>
        </row>
        <row r="32">
          <cell r="A32" t="str">
            <v>1110-001-000</v>
          </cell>
          <cell r="B32" t="str">
            <v>Seguro Gastos Medicos</v>
          </cell>
          <cell r="C32">
            <v>38897.72</v>
          </cell>
          <cell r="D32" t="str">
            <v xml:space="preserve"> </v>
          </cell>
          <cell r="E32">
            <v>0</v>
          </cell>
          <cell r="F32">
            <v>5091.6899999999996</v>
          </cell>
          <cell r="G32">
            <v>33806.03</v>
          </cell>
          <cell r="H32" t="str">
            <v xml:space="preserve"> </v>
          </cell>
        </row>
        <row r="33">
          <cell r="A33" t="str">
            <v>1110-002-000</v>
          </cell>
          <cell r="B33" t="str">
            <v>Seguro Local</v>
          </cell>
          <cell r="C33">
            <v>3813.71</v>
          </cell>
          <cell r="D33" t="str">
            <v xml:space="preserve"> </v>
          </cell>
          <cell r="E33">
            <v>0</v>
          </cell>
          <cell r="F33">
            <v>635.61</v>
          </cell>
          <cell r="G33">
            <v>3178.1</v>
          </cell>
          <cell r="H33" t="str">
            <v xml:space="preserve"> </v>
          </cell>
        </row>
        <row r="34">
          <cell r="A34" t="str">
            <v>1200-000-000</v>
          </cell>
          <cell r="B34" t="str">
            <v>ACTIVOS FIJOS</v>
          </cell>
          <cell r="C34">
            <v>154623.14000000001</v>
          </cell>
          <cell r="D34" t="str">
            <v xml:space="preserve"> </v>
          </cell>
          <cell r="E34">
            <v>29573.34</v>
          </cell>
          <cell r="F34">
            <v>2941.76</v>
          </cell>
          <cell r="G34">
            <v>181254.72</v>
          </cell>
          <cell r="H34" t="str">
            <v xml:space="preserve"> </v>
          </cell>
        </row>
        <row r="35">
          <cell r="A35" t="str">
            <v>1208-000-000</v>
          </cell>
          <cell r="B35" t="str">
            <v>Mobiliario y Eq de oficina</v>
          </cell>
          <cell r="C35">
            <v>110481.57</v>
          </cell>
          <cell r="D35" t="str">
            <v xml:space="preserve"> </v>
          </cell>
          <cell r="E35">
            <v>4229.6000000000004</v>
          </cell>
          <cell r="F35">
            <v>0</v>
          </cell>
          <cell r="G35">
            <v>114711.17</v>
          </cell>
          <cell r="H35" t="str">
            <v xml:space="preserve"> </v>
          </cell>
        </row>
        <row r="36">
          <cell r="A36" t="str">
            <v>1208-001-000</v>
          </cell>
          <cell r="B36" t="str">
            <v>Mesa ejecutiva</v>
          </cell>
          <cell r="C36">
            <v>29827.439999999999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29827.439999999999</v>
          </cell>
          <cell r="H36" t="str">
            <v xml:space="preserve"> </v>
          </cell>
        </row>
        <row r="37">
          <cell r="A37" t="str">
            <v>1208-002-000</v>
          </cell>
          <cell r="B37" t="str">
            <v>Silla ejecutiva</v>
          </cell>
          <cell r="C37">
            <v>26661.21</v>
          </cell>
          <cell r="D37" t="str">
            <v xml:space="preserve"> </v>
          </cell>
          <cell r="E37">
            <v>4229.6000000000004</v>
          </cell>
          <cell r="F37">
            <v>0</v>
          </cell>
          <cell r="G37">
            <v>30890.81</v>
          </cell>
          <cell r="H37" t="str">
            <v xml:space="preserve"> </v>
          </cell>
        </row>
        <row r="38">
          <cell r="A38" t="str">
            <v>1208-003-000</v>
          </cell>
          <cell r="B38" t="str">
            <v>Gabinete</v>
          </cell>
          <cell r="C38">
            <v>7500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7500</v>
          </cell>
          <cell r="H38" t="str">
            <v xml:space="preserve"> </v>
          </cell>
        </row>
        <row r="39">
          <cell r="A39" t="str">
            <v>1208-004-000</v>
          </cell>
          <cell r="B39" t="str">
            <v>Mesa de juntas</v>
          </cell>
          <cell r="C39">
            <v>8522.1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8522.1</v>
          </cell>
          <cell r="H39" t="str">
            <v xml:space="preserve"> </v>
          </cell>
        </row>
        <row r="40">
          <cell r="A40" t="str">
            <v>1208-005-000</v>
          </cell>
          <cell r="B40" t="str">
            <v>Calentador</v>
          </cell>
          <cell r="C40">
            <v>1415.23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1415.23</v>
          </cell>
          <cell r="H40" t="str">
            <v xml:space="preserve"> </v>
          </cell>
        </row>
        <row r="41">
          <cell r="A41" t="str">
            <v>1208-006-000</v>
          </cell>
          <cell r="B41" t="str">
            <v>Lámpara mesa</v>
          </cell>
          <cell r="C41">
            <v>11723.45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11723.45</v>
          </cell>
          <cell r="H41" t="str">
            <v xml:space="preserve"> </v>
          </cell>
        </row>
        <row r="42">
          <cell r="A42" t="str">
            <v>1208-007-000</v>
          </cell>
          <cell r="B42" t="str">
            <v>Sillón antenas piel vinil chocolate</v>
          </cell>
          <cell r="C42">
            <v>2113.79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2113.79</v>
          </cell>
          <cell r="H42" t="str">
            <v xml:space="preserve"> </v>
          </cell>
        </row>
        <row r="43">
          <cell r="A43" t="str">
            <v>1208-008-000</v>
          </cell>
          <cell r="B43" t="str">
            <v>Lámpara mesa</v>
          </cell>
          <cell r="C43">
            <v>12500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12500</v>
          </cell>
          <cell r="H43" t="str">
            <v xml:space="preserve"> </v>
          </cell>
        </row>
        <row r="44">
          <cell r="A44" t="str">
            <v>1208-009-000</v>
          </cell>
          <cell r="B44" t="str">
            <v>Comedor</v>
          </cell>
          <cell r="C44">
            <v>693.36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693.36</v>
          </cell>
          <cell r="H44" t="str">
            <v xml:space="preserve"> </v>
          </cell>
        </row>
        <row r="45">
          <cell r="A45" t="str">
            <v>1208-010-000</v>
          </cell>
          <cell r="B45" t="str">
            <v>Mesa de juntas ceniz</v>
          </cell>
          <cell r="C45">
            <v>1421.55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1421.55</v>
          </cell>
          <cell r="H45" t="str">
            <v xml:space="preserve"> </v>
          </cell>
        </row>
        <row r="46">
          <cell r="A46" t="str">
            <v>1208-011-000</v>
          </cell>
          <cell r="B46" t="str">
            <v>Escritorio Estudiante Vid Choc</v>
          </cell>
          <cell r="C46">
            <v>8103.44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8103.44</v>
          </cell>
          <cell r="H46" t="str">
            <v xml:space="preserve"> </v>
          </cell>
        </row>
        <row r="47">
          <cell r="A47" t="str">
            <v>1209-000-000</v>
          </cell>
          <cell r="B47" t="str">
            <v>Depreciacion acumulada Mob y Eq de oficina</v>
          </cell>
          <cell r="C47" t="str">
            <v xml:space="preserve"> </v>
          </cell>
          <cell r="D47">
            <v>13089.95</v>
          </cell>
          <cell r="E47">
            <v>0</v>
          </cell>
          <cell r="F47">
            <v>829.64</v>
          </cell>
          <cell r="G47" t="str">
            <v xml:space="preserve"> </v>
          </cell>
          <cell r="H47">
            <v>13919.59</v>
          </cell>
        </row>
        <row r="48">
          <cell r="A48" t="str">
            <v>1210-000-000</v>
          </cell>
          <cell r="B48" t="str">
            <v>Equipo de Computo</v>
          </cell>
          <cell r="C48">
            <v>91105.56</v>
          </cell>
          <cell r="D48" t="str">
            <v xml:space="preserve"> </v>
          </cell>
          <cell r="E48">
            <v>25343.74</v>
          </cell>
          <cell r="F48">
            <v>0</v>
          </cell>
          <cell r="G48">
            <v>116449.3</v>
          </cell>
          <cell r="H48" t="str">
            <v xml:space="preserve"> </v>
          </cell>
        </row>
        <row r="49">
          <cell r="A49" t="str">
            <v>1210-001-000</v>
          </cell>
          <cell r="B49" t="str">
            <v>Computer Elite 8300</v>
          </cell>
          <cell r="C49">
            <v>49350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49350</v>
          </cell>
          <cell r="H49" t="str">
            <v xml:space="preserve"> </v>
          </cell>
        </row>
        <row r="50">
          <cell r="A50" t="str">
            <v>1210-002-000</v>
          </cell>
          <cell r="B50" t="str">
            <v>Multi Brother</v>
          </cell>
          <cell r="C50">
            <v>3188.79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3188.79</v>
          </cell>
          <cell r="H50" t="str">
            <v xml:space="preserve"> </v>
          </cell>
        </row>
        <row r="51">
          <cell r="A51" t="str">
            <v>1210-003-000</v>
          </cell>
          <cell r="B51" t="str">
            <v>Sony Video Projector</v>
          </cell>
          <cell r="C51">
            <v>9007.7999999999993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9007.7999999999993</v>
          </cell>
          <cell r="H51" t="str">
            <v xml:space="preserve"> </v>
          </cell>
        </row>
        <row r="52">
          <cell r="A52" t="str">
            <v>1210-004-000</v>
          </cell>
          <cell r="B52" t="str">
            <v>Epson Multifunctional  XP-211</v>
          </cell>
          <cell r="C52">
            <v>991.38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991.38</v>
          </cell>
          <cell r="H52" t="str">
            <v xml:space="preserve"> </v>
          </cell>
        </row>
        <row r="53">
          <cell r="A53" t="str">
            <v>1210-005-000</v>
          </cell>
          <cell r="B53" t="str">
            <v>Combo Inalam desktop 5000 usb</v>
          </cell>
          <cell r="C53">
            <v>922.41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922.41</v>
          </cell>
          <cell r="H53" t="str">
            <v xml:space="preserve"> </v>
          </cell>
        </row>
        <row r="54">
          <cell r="A54" t="str">
            <v>1210-012-000</v>
          </cell>
          <cell r="B54" t="str">
            <v>Laptop V5 Touch</v>
          </cell>
          <cell r="C54">
            <v>9240.8700000000008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9240.8700000000008</v>
          </cell>
          <cell r="H54" t="str">
            <v xml:space="preserve"> </v>
          </cell>
        </row>
        <row r="55">
          <cell r="A55" t="str">
            <v>1210-013-000</v>
          </cell>
          <cell r="B55" t="str">
            <v>Laptop Acer VN7-571 UMACKKLL 3</v>
          </cell>
          <cell r="C55">
            <v>11783.62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11783.62</v>
          </cell>
          <cell r="H55" t="str">
            <v xml:space="preserve"> </v>
          </cell>
        </row>
        <row r="56">
          <cell r="A56" t="str">
            <v>1210-014-000</v>
          </cell>
          <cell r="B56" t="str">
            <v>Computadora de escritorio sin monitor</v>
          </cell>
          <cell r="C56">
            <v>6620.69</v>
          </cell>
          <cell r="D56" t="str">
            <v xml:space="preserve"> </v>
          </cell>
          <cell r="E56">
            <v>7131.04</v>
          </cell>
          <cell r="F56">
            <v>0</v>
          </cell>
          <cell r="G56">
            <v>13751.73</v>
          </cell>
          <cell r="H56" t="str">
            <v xml:space="preserve"> </v>
          </cell>
        </row>
        <row r="57">
          <cell r="A57" t="str">
            <v>1210-015-000</v>
          </cell>
          <cell r="B57" t="str">
            <v>Laptop Acer Roja</v>
          </cell>
          <cell r="C57">
            <v>0</v>
          </cell>
          <cell r="D57" t="str">
            <v xml:space="preserve"> </v>
          </cell>
          <cell r="E57">
            <v>10140.94</v>
          </cell>
          <cell r="F57">
            <v>0</v>
          </cell>
          <cell r="G57">
            <v>10140.94</v>
          </cell>
          <cell r="H57" t="str">
            <v xml:space="preserve"> </v>
          </cell>
        </row>
        <row r="58">
          <cell r="A58" t="str">
            <v>1210-016-000</v>
          </cell>
          <cell r="B58" t="str">
            <v>Monitor HD LED Acer Modelo K242HL</v>
          </cell>
          <cell r="C58">
            <v>0</v>
          </cell>
          <cell r="D58" t="str">
            <v xml:space="preserve"> </v>
          </cell>
          <cell r="E58">
            <v>8071.76</v>
          </cell>
          <cell r="F58">
            <v>0</v>
          </cell>
          <cell r="G58">
            <v>8071.76</v>
          </cell>
          <cell r="H58" t="str">
            <v xml:space="preserve"> </v>
          </cell>
        </row>
        <row r="59">
          <cell r="A59" t="str">
            <v>1211-000-000</v>
          </cell>
          <cell r="B59" t="str">
            <v>Depreciacion acumulada Eq. de Computo</v>
          </cell>
          <cell r="C59" t="str">
            <v xml:space="preserve"> </v>
          </cell>
          <cell r="D59">
            <v>33874.04</v>
          </cell>
          <cell r="E59">
            <v>0</v>
          </cell>
          <cell r="F59">
            <v>2112.12</v>
          </cell>
          <cell r="G59" t="str">
            <v xml:space="preserve"> </v>
          </cell>
          <cell r="H59">
            <v>35986.160000000003</v>
          </cell>
        </row>
        <row r="60">
          <cell r="A60" t="str">
            <v>0000-200-000</v>
          </cell>
          <cell r="B60" t="str">
            <v>PASIVOS</v>
          </cell>
          <cell r="C60" t="str">
            <v xml:space="preserve"> </v>
          </cell>
          <cell r="D60">
            <v>953068.76</v>
          </cell>
          <cell r="E60">
            <v>447552.22</v>
          </cell>
          <cell r="F60">
            <v>375028.13</v>
          </cell>
          <cell r="G60" t="str">
            <v xml:space="preserve"> </v>
          </cell>
          <cell r="H60">
            <v>880544.67</v>
          </cell>
        </row>
        <row r="61">
          <cell r="A61" t="str">
            <v>2100-000-000</v>
          </cell>
          <cell r="B61" t="str">
            <v>PASIVO CIRCULANTE</v>
          </cell>
          <cell r="C61" t="str">
            <v xml:space="preserve"> </v>
          </cell>
          <cell r="D61">
            <v>953068.76</v>
          </cell>
          <cell r="E61">
            <v>447552.22</v>
          </cell>
          <cell r="F61">
            <v>375028.13</v>
          </cell>
          <cell r="G61" t="str">
            <v xml:space="preserve"> </v>
          </cell>
          <cell r="H61">
            <v>880544.67</v>
          </cell>
        </row>
        <row r="62">
          <cell r="A62" t="str">
            <v>2103-000-000</v>
          </cell>
          <cell r="B62" t="str">
            <v>Proveedores</v>
          </cell>
          <cell r="C62" t="str">
            <v xml:space="preserve"> </v>
          </cell>
          <cell r="D62">
            <v>0</v>
          </cell>
          <cell r="E62">
            <v>0</v>
          </cell>
          <cell r="F62">
            <v>8700</v>
          </cell>
          <cell r="G62" t="str">
            <v xml:space="preserve"> </v>
          </cell>
          <cell r="H62">
            <v>8700</v>
          </cell>
        </row>
        <row r="63">
          <cell r="A63" t="str">
            <v>2103-007-000</v>
          </cell>
          <cell r="B63" t="str">
            <v>G</v>
          </cell>
          <cell r="C63" t="str">
            <v xml:space="preserve"> </v>
          </cell>
          <cell r="D63">
            <v>0</v>
          </cell>
          <cell r="E63">
            <v>0</v>
          </cell>
          <cell r="F63">
            <v>8700</v>
          </cell>
          <cell r="G63" t="str">
            <v xml:space="preserve"> </v>
          </cell>
          <cell r="H63">
            <v>8700</v>
          </cell>
        </row>
        <row r="64">
          <cell r="A64" t="str">
            <v>2103-007-001</v>
          </cell>
          <cell r="B64" t="str">
            <v>Galaz Yamazaki Ruiz Urquiza SC</v>
          </cell>
          <cell r="C64" t="str">
            <v xml:space="preserve"> </v>
          </cell>
          <cell r="D64">
            <v>0</v>
          </cell>
          <cell r="E64">
            <v>0</v>
          </cell>
          <cell r="F64">
            <v>8700</v>
          </cell>
          <cell r="G64" t="str">
            <v xml:space="preserve"> </v>
          </cell>
          <cell r="H64">
            <v>8700</v>
          </cell>
        </row>
        <row r="65">
          <cell r="A65" t="str">
            <v>2106-000-000</v>
          </cell>
          <cell r="B65" t="str">
            <v>Acreedores Diversos</v>
          </cell>
          <cell r="C65" t="str">
            <v xml:space="preserve"> </v>
          </cell>
          <cell r="D65">
            <v>761024.33</v>
          </cell>
          <cell r="E65">
            <v>255509.6</v>
          </cell>
          <cell r="F65">
            <v>255509.6</v>
          </cell>
          <cell r="G65" t="str">
            <v xml:space="preserve"> </v>
          </cell>
          <cell r="H65">
            <v>761024.33</v>
          </cell>
        </row>
        <row r="66">
          <cell r="A66" t="str">
            <v>2106-001-000</v>
          </cell>
          <cell r="B66" t="str">
            <v>A</v>
          </cell>
          <cell r="C66" t="str">
            <v xml:space="preserve"> </v>
          </cell>
          <cell r="D66">
            <v>761024.3</v>
          </cell>
          <cell r="E66">
            <v>0</v>
          </cell>
          <cell r="F66">
            <v>0</v>
          </cell>
          <cell r="G66" t="str">
            <v xml:space="preserve"> </v>
          </cell>
          <cell r="H66">
            <v>761024.3</v>
          </cell>
        </row>
        <row r="67">
          <cell r="A67" t="str">
            <v>2106-001-001</v>
          </cell>
          <cell r="B67" t="str">
            <v>1A Auto Inc.</v>
          </cell>
          <cell r="C67" t="str">
            <v xml:space="preserve"> </v>
          </cell>
          <cell r="D67">
            <v>761024.3</v>
          </cell>
          <cell r="E67">
            <v>0</v>
          </cell>
          <cell r="F67">
            <v>0</v>
          </cell>
          <cell r="G67" t="str">
            <v xml:space="preserve"> </v>
          </cell>
          <cell r="H67">
            <v>761024.3</v>
          </cell>
        </row>
        <row r="68">
          <cell r="A68" t="str">
            <v>2106-017-000</v>
          </cell>
          <cell r="B68" t="str">
            <v>P</v>
          </cell>
          <cell r="C68" t="str">
            <v xml:space="preserve"> </v>
          </cell>
          <cell r="D68">
            <v>0.03</v>
          </cell>
          <cell r="E68">
            <v>0</v>
          </cell>
          <cell r="F68">
            <v>0</v>
          </cell>
          <cell r="G68" t="str">
            <v xml:space="preserve"> </v>
          </cell>
          <cell r="H68">
            <v>0.03</v>
          </cell>
        </row>
        <row r="69">
          <cell r="A69" t="str">
            <v>2106-017-002</v>
          </cell>
          <cell r="B69" t="str">
            <v>PTU</v>
          </cell>
          <cell r="C69" t="str">
            <v xml:space="preserve"> </v>
          </cell>
          <cell r="D69">
            <v>0.03</v>
          </cell>
          <cell r="E69">
            <v>0</v>
          </cell>
          <cell r="F69">
            <v>0</v>
          </cell>
          <cell r="G69" t="str">
            <v xml:space="preserve"> </v>
          </cell>
          <cell r="H69">
            <v>0.03</v>
          </cell>
        </row>
        <row r="70">
          <cell r="A70" t="str">
            <v>2106-023-000</v>
          </cell>
          <cell r="B70" t="str">
            <v>V</v>
          </cell>
          <cell r="C70" t="str">
            <v xml:space="preserve"> </v>
          </cell>
          <cell r="D70">
            <v>0</v>
          </cell>
          <cell r="E70">
            <v>18150</v>
          </cell>
          <cell r="F70">
            <v>18150</v>
          </cell>
          <cell r="G70" t="str">
            <v xml:space="preserve"> </v>
          </cell>
          <cell r="H70">
            <v>0</v>
          </cell>
        </row>
        <row r="71">
          <cell r="A71" t="str">
            <v>2106-023-001</v>
          </cell>
          <cell r="B71" t="str">
            <v>Vales de despensa</v>
          </cell>
          <cell r="C71" t="str">
            <v xml:space="preserve"> </v>
          </cell>
          <cell r="D71">
            <v>0</v>
          </cell>
          <cell r="E71">
            <v>10800</v>
          </cell>
          <cell r="F71">
            <v>10800</v>
          </cell>
          <cell r="G71" t="str">
            <v xml:space="preserve"> </v>
          </cell>
          <cell r="H71">
            <v>0</v>
          </cell>
        </row>
        <row r="72">
          <cell r="A72" t="str">
            <v>2106-023-002</v>
          </cell>
          <cell r="B72" t="str">
            <v>Vales de gasolina</v>
          </cell>
          <cell r="C72" t="str">
            <v xml:space="preserve"> </v>
          </cell>
          <cell r="D72">
            <v>0</v>
          </cell>
          <cell r="E72">
            <v>7350</v>
          </cell>
          <cell r="F72">
            <v>7350</v>
          </cell>
          <cell r="G72" t="str">
            <v xml:space="preserve"> </v>
          </cell>
          <cell r="H72">
            <v>0</v>
          </cell>
        </row>
        <row r="73">
          <cell r="A73" t="str">
            <v>2106-100-000</v>
          </cell>
          <cell r="B73" t="str">
            <v>Sueldos por pagar</v>
          </cell>
          <cell r="C73" t="str">
            <v xml:space="preserve"> </v>
          </cell>
          <cell r="D73">
            <v>0</v>
          </cell>
          <cell r="E73">
            <v>237359.6</v>
          </cell>
          <cell r="F73">
            <v>237359.6</v>
          </cell>
          <cell r="G73" t="str">
            <v xml:space="preserve"> </v>
          </cell>
          <cell r="H73">
            <v>0</v>
          </cell>
        </row>
        <row r="74">
          <cell r="A74" t="str">
            <v>2108-000-000</v>
          </cell>
          <cell r="B74" t="str">
            <v>Impuestos por pagar</v>
          </cell>
          <cell r="C74" t="str">
            <v xml:space="preserve"> </v>
          </cell>
          <cell r="D74">
            <v>192044.43</v>
          </cell>
          <cell r="E74">
            <v>192042.62</v>
          </cell>
          <cell r="F74">
            <v>110818.53</v>
          </cell>
          <cell r="G74" t="str">
            <v xml:space="preserve"> </v>
          </cell>
          <cell r="H74">
            <v>110820.34</v>
          </cell>
        </row>
        <row r="75">
          <cell r="A75" t="str">
            <v>2108-001-000</v>
          </cell>
          <cell r="B75" t="str">
            <v>ISPT</v>
          </cell>
          <cell r="C75" t="str">
            <v xml:space="preserve"> </v>
          </cell>
          <cell r="D75">
            <v>82805.95</v>
          </cell>
          <cell r="E75">
            <v>82804</v>
          </cell>
          <cell r="F75">
            <v>74861.08</v>
          </cell>
          <cell r="G75" t="str">
            <v xml:space="preserve"> </v>
          </cell>
          <cell r="H75">
            <v>74863.03</v>
          </cell>
        </row>
        <row r="76">
          <cell r="A76" t="str">
            <v>2108-002-000</v>
          </cell>
          <cell r="B76" t="str">
            <v>ISN</v>
          </cell>
          <cell r="C76" t="str">
            <v xml:space="preserve"> </v>
          </cell>
          <cell r="D76">
            <v>8476</v>
          </cell>
          <cell r="E76">
            <v>8476</v>
          </cell>
          <cell r="F76">
            <v>7602</v>
          </cell>
          <cell r="G76" t="str">
            <v xml:space="preserve"> </v>
          </cell>
          <cell r="H76">
            <v>7602</v>
          </cell>
        </row>
        <row r="77">
          <cell r="A77" t="str">
            <v>2108-003-000</v>
          </cell>
          <cell r="B77" t="str">
            <v>IMSS</v>
          </cell>
          <cell r="C77" t="str">
            <v xml:space="preserve"> </v>
          </cell>
          <cell r="D77">
            <v>28443.06</v>
          </cell>
          <cell r="E77">
            <v>28443.06</v>
          </cell>
          <cell r="F77">
            <v>24827.4</v>
          </cell>
          <cell r="G77" t="str">
            <v xml:space="preserve"> </v>
          </cell>
          <cell r="H77">
            <v>24827.4</v>
          </cell>
        </row>
        <row r="78">
          <cell r="A78" t="str">
            <v>2108-004-000</v>
          </cell>
          <cell r="B78" t="str">
            <v>INFONAVIT</v>
          </cell>
          <cell r="C78" t="str">
            <v xml:space="preserve"> </v>
          </cell>
          <cell r="D78">
            <v>32070.78</v>
          </cell>
          <cell r="E78">
            <v>32070.78</v>
          </cell>
          <cell r="F78">
            <v>0</v>
          </cell>
          <cell r="G78" t="str">
            <v xml:space="preserve"> </v>
          </cell>
          <cell r="H78">
            <v>0</v>
          </cell>
        </row>
        <row r="79">
          <cell r="A79" t="str">
            <v>2108-005-000</v>
          </cell>
          <cell r="B79" t="str">
            <v>SAR</v>
          </cell>
          <cell r="C79" t="str">
            <v xml:space="preserve"> </v>
          </cell>
          <cell r="D79">
            <v>40248.769999999997</v>
          </cell>
          <cell r="E79">
            <v>40248.78</v>
          </cell>
          <cell r="F79">
            <v>3528.05</v>
          </cell>
          <cell r="G79" t="str">
            <v xml:space="preserve"> </v>
          </cell>
          <cell r="H79">
            <v>3528.04</v>
          </cell>
        </row>
        <row r="80">
          <cell r="A80" t="str">
            <v>2108-008-000</v>
          </cell>
          <cell r="B80" t="str">
            <v>ISPT Assimilated</v>
          </cell>
          <cell r="C80" t="str">
            <v xml:space="preserve"> </v>
          </cell>
          <cell r="D80">
            <v>-0.14000000000000001</v>
          </cell>
          <cell r="E80">
            <v>0</v>
          </cell>
          <cell r="F80">
            <v>0</v>
          </cell>
          <cell r="G80" t="str">
            <v xml:space="preserve"> </v>
          </cell>
          <cell r="H80">
            <v>-0.14000000000000001</v>
          </cell>
        </row>
        <row r="81">
          <cell r="A81" t="str">
            <v>2108-020-000</v>
          </cell>
          <cell r="B81" t="str">
            <v>Infonavit creditos</v>
          </cell>
          <cell r="C81" t="str">
            <v xml:space="preserve"> </v>
          </cell>
          <cell r="D81">
            <v>0.01</v>
          </cell>
          <cell r="E81">
            <v>0</v>
          </cell>
          <cell r="F81">
            <v>0</v>
          </cell>
          <cell r="G81" t="str">
            <v xml:space="preserve"> </v>
          </cell>
          <cell r="H81">
            <v>0.01</v>
          </cell>
        </row>
        <row r="82">
          <cell r="A82" t="str">
            <v>0000-300-000</v>
          </cell>
          <cell r="B82" t="str">
            <v>CAPITAL</v>
          </cell>
          <cell r="C82" t="str">
            <v xml:space="preserve"> </v>
          </cell>
          <cell r="D82">
            <v>-221330.79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-221330.79</v>
          </cell>
        </row>
        <row r="83">
          <cell r="A83" t="str">
            <v>3100-000-000</v>
          </cell>
          <cell r="B83" t="str">
            <v>Aportaciones de Capital</v>
          </cell>
          <cell r="C83" t="str">
            <v xml:space="preserve"> </v>
          </cell>
          <cell r="D83">
            <v>3000</v>
          </cell>
          <cell r="E83">
            <v>0</v>
          </cell>
          <cell r="F83">
            <v>0</v>
          </cell>
          <cell r="G83" t="str">
            <v xml:space="preserve"> </v>
          </cell>
          <cell r="H83">
            <v>3000</v>
          </cell>
        </row>
        <row r="84">
          <cell r="A84" t="str">
            <v>3300-000-000</v>
          </cell>
          <cell r="B84" t="str">
            <v>Remanente de Ej anteriores</v>
          </cell>
          <cell r="C84" t="str">
            <v xml:space="preserve"> </v>
          </cell>
          <cell r="D84">
            <v>-224330.79</v>
          </cell>
          <cell r="E84">
            <v>0</v>
          </cell>
          <cell r="F84">
            <v>0</v>
          </cell>
          <cell r="G84" t="str">
            <v xml:space="preserve"> </v>
          </cell>
          <cell r="H84">
            <v>-224330.79</v>
          </cell>
        </row>
        <row r="85">
          <cell r="A85" t="str">
            <v>3300-001-000</v>
          </cell>
          <cell r="B85" t="str">
            <v>Resultado del Ejercicio 2013</v>
          </cell>
          <cell r="C85" t="str">
            <v xml:space="preserve"> </v>
          </cell>
          <cell r="D85">
            <v>-411059.15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-411059.15</v>
          </cell>
        </row>
        <row r="86">
          <cell r="A86" t="str">
            <v>3300-002-000</v>
          </cell>
          <cell r="B86" t="str">
            <v>Resultado del Ejercicio 2014</v>
          </cell>
          <cell r="C86" t="str">
            <v xml:space="preserve"> </v>
          </cell>
          <cell r="D86">
            <v>186728.36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186728.36</v>
          </cell>
        </row>
        <row r="87">
          <cell r="A87" t="str">
            <v>0000-400-000</v>
          </cell>
          <cell r="B87" t="str">
            <v>INGRESOS</v>
          </cell>
          <cell r="C87" t="str">
            <v xml:space="preserve"> </v>
          </cell>
          <cell r="D87">
            <v>3666606.24</v>
          </cell>
          <cell r="E87">
            <v>0</v>
          </cell>
          <cell r="F87">
            <v>503664.61</v>
          </cell>
          <cell r="G87" t="str">
            <v xml:space="preserve"> </v>
          </cell>
          <cell r="H87">
            <v>4170270.85</v>
          </cell>
        </row>
        <row r="88">
          <cell r="A88" t="str">
            <v>4100-002-000</v>
          </cell>
          <cell r="B88" t="str">
            <v>0% Ventas</v>
          </cell>
          <cell r="C88" t="str">
            <v xml:space="preserve"> </v>
          </cell>
          <cell r="D88">
            <v>3664114.89</v>
          </cell>
          <cell r="E88">
            <v>0</v>
          </cell>
          <cell r="F88">
            <v>503106.26</v>
          </cell>
          <cell r="G88" t="str">
            <v xml:space="preserve"> </v>
          </cell>
          <cell r="H88">
            <v>4167221.15</v>
          </cell>
        </row>
        <row r="89">
          <cell r="A89" t="str">
            <v>4100-005-000</v>
          </cell>
          <cell r="B89" t="str">
            <v>Otros Ingresos</v>
          </cell>
          <cell r="C89" t="str">
            <v xml:space="preserve"> </v>
          </cell>
          <cell r="D89">
            <v>2437.8000000000002</v>
          </cell>
          <cell r="E89">
            <v>0</v>
          </cell>
          <cell r="F89">
            <v>0</v>
          </cell>
          <cell r="G89" t="str">
            <v xml:space="preserve"> </v>
          </cell>
          <cell r="H89">
            <v>2437.8000000000002</v>
          </cell>
        </row>
        <row r="90">
          <cell r="A90" t="str">
            <v>4100-005-002</v>
          </cell>
          <cell r="B90" t="str">
            <v>Reembolso de gastos medicos</v>
          </cell>
          <cell r="C90" t="str">
            <v xml:space="preserve"> </v>
          </cell>
          <cell r="D90">
            <v>2437.8000000000002</v>
          </cell>
          <cell r="E90">
            <v>0</v>
          </cell>
          <cell r="F90">
            <v>0</v>
          </cell>
          <cell r="G90" t="str">
            <v xml:space="preserve"> </v>
          </cell>
          <cell r="H90">
            <v>2437.8000000000002</v>
          </cell>
        </row>
        <row r="91">
          <cell r="A91" t="str">
            <v>4100-006-000</v>
          </cell>
          <cell r="B91" t="str">
            <v>Desc sobre Compras</v>
          </cell>
          <cell r="C91" t="str">
            <v xml:space="preserve"> </v>
          </cell>
          <cell r="D91">
            <v>53.55</v>
          </cell>
          <cell r="E91">
            <v>0</v>
          </cell>
          <cell r="F91">
            <v>558.35</v>
          </cell>
          <cell r="G91" t="str">
            <v xml:space="preserve"> </v>
          </cell>
          <cell r="H91">
            <v>611.9</v>
          </cell>
        </row>
        <row r="92">
          <cell r="A92" t="str">
            <v>0000-500-000</v>
          </cell>
          <cell r="B92" t="str">
            <v>GASTOS</v>
          </cell>
          <cell r="C92">
            <v>3377211.87</v>
          </cell>
          <cell r="D92" t="str">
            <v xml:space="preserve"> </v>
          </cell>
          <cell r="E92">
            <v>513475.35</v>
          </cell>
          <cell r="F92">
            <v>0</v>
          </cell>
          <cell r="G92">
            <v>3890687.22</v>
          </cell>
          <cell r="H92" t="str">
            <v xml:space="preserve"> </v>
          </cell>
        </row>
        <row r="93">
          <cell r="A93" t="str">
            <v>5200-000-000</v>
          </cell>
          <cell r="B93" t="str">
            <v>GASTOS DE NOMINA</v>
          </cell>
          <cell r="C93">
            <v>2819095.51</v>
          </cell>
          <cell r="D93" t="str">
            <v xml:space="preserve"> </v>
          </cell>
          <cell r="E93">
            <v>367415.28</v>
          </cell>
          <cell r="F93">
            <v>0</v>
          </cell>
          <cell r="G93">
            <v>3186510.79</v>
          </cell>
          <cell r="H93" t="str">
            <v xml:space="preserve"> </v>
          </cell>
        </row>
        <row r="94">
          <cell r="A94" t="str">
            <v>5200-001-000</v>
          </cell>
          <cell r="B94" t="str">
            <v>Sueldos</v>
          </cell>
          <cell r="C94">
            <v>2206884.36</v>
          </cell>
          <cell r="D94" t="str">
            <v xml:space="preserve"> </v>
          </cell>
          <cell r="E94">
            <v>293552.2</v>
          </cell>
          <cell r="F94">
            <v>0</v>
          </cell>
          <cell r="G94">
            <v>2500436.56</v>
          </cell>
          <cell r="H94" t="str">
            <v xml:space="preserve"> </v>
          </cell>
        </row>
        <row r="95">
          <cell r="A95" t="str">
            <v>5200-004-000</v>
          </cell>
          <cell r="B95" t="str">
            <v>Vales de despensa</v>
          </cell>
          <cell r="C95">
            <v>72000</v>
          </cell>
          <cell r="D95" t="str">
            <v xml:space="preserve"> </v>
          </cell>
          <cell r="E95">
            <v>10800</v>
          </cell>
          <cell r="F95">
            <v>0</v>
          </cell>
          <cell r="G95">
            <v>82800</v>
          </cell>
          <cell r="H95" t="str">
            <v xml:space="preserve"> </v>
          </cell>
        </row>
        <row r="96">
          <cell r="A96" t="str">
            <v>5200-007-000</v>
          </cell>
          <cell r="B96" t="str">
            <v>IMSS</v>
          </cell>
          <cell r="C96">
            <v>126259.98</v>
          </cell>
          <cell r="D96" t="str">
            <v xml:space="preserve"> </v>
          </cell>
          <cell r="E96">
            <v>19809.330000000002</v>
          </cell>
          <cell r="F96">
            <v>0</v>
          </cell>
          <cell r="G96">
            <v>146069.31</v>
          </cell>
          <cell r="H96" t="str">
            <v xml:space="preserve"> </v>
          </cell>
        </row>
        <row r="97">
          <cell r="A97" t="str">
            <v>5200-008-000</v>
          </cell>
          <cell r="B97" t="str">
            <v>SAR</v>
          </cell>
          <cell r="C97">
            <v>118923.35</v>
          </cell>
          <cell r="D97" t="str">
            <v xml:space="preserve"> </v>
          </cell>
          <cell r="E97">
            <v>0</v>
          </cell>
          <cell r="F97">
            <v>0</v>
          </cell>
          <cell r="G97">
            <v>118923.35</v>
          </cell>
          <cell r="H97" t="str">
            <v xml:space="preserve"> </v>
          </cell>
        </row>
        <row r="98">
          <cell r="A98" t="str">
            <v>5200-009-000</v>
          </cell>
          <cell r="B98" t="str">
            <v>INFONAVIT</v>
          </cell>
          <cell r="C98">
            <v>94759.73</v>
          </cell>
          <cell r="D98" t="str">
            <v xml:space="preserve"> </v>
          </cell>
          <cell r="E98">
            <v>0</v>
          </cell>
          <cell r="F98">
            <v>0</v>
          </cell>
          <cell r="G98">
            <v>94759.73</v>
          </cell>
          <cell r="H98" t="str">
            <v xml:space="preserve"> </v>
          </cell>
        </row>
        <row r="99">
          <cell r="A99" t="str">
            <v>5200-010-000</v>
          </cell>
          <cell r="B99" t="str">
            <v>ISN</v>
          </cell>
          <cell r="C99">
            <v>54839</v>
          </cell>
          <cell r="D99" t="str">
            <v xml:space="preserve"> </v>
          </cell>
          <cell r="E99">
            <v>7602</v>
          </cell>
          <cell r="F99">
            <v>0</v>
          </cell>
          <cell r="G99">
            <v>62441</v>
          </cell>
          <cell r="H99" t="str">
            <v xml:space="preserve"> </v>
          </cell>
        </row>
        <row r="100">
          <cell r="A100" t="str">
            <v>5200-012-000</v>
          </cell>
          <cell r="B100" t="str">
            <v>Vacaciones</v>
          </cell>
          <cell r="C100">
            <v>62588.53</v>
          </cell>
          <cell r="D100" t="str">
            <v xml:space="preserve"> </v>
          </cell>
          <cell r="E100">
            <v>27214.25</v>
          </cell>
          <cell r="F100">
            <v>0</v>
          </cell>
          <cell r="G100">
            <v>89802.78</v>
          </cell>
          <cell r="H100" t="str">
            <v xml:space="preserve"> </v>
          </cell>
        </row>
        <row r="101">
          <cell r="A101" t="str">
            <v>5200-013-000</v>
          </cell>
          <cell r="B101" t="str">
            <v>Prima Vacacional</v>
          </cell>
          <cell r="C101">
            <v>13526.02</v>
          </cell>
          <cell r="D101" t="str">
            <v xml:space="preserve"> </v>
          </cell>
          <cell r="E101">
            <v>0</v>
          </cell>
          <cell r="F101">
            <v>0</v>
          </cell>
          <cell r="G101">
            <v>13526.02</v>
          </cell>
          <cell r="H101" t="str">
            <v xml:space="preserve"> </v>
          </cell>
        </row>
        <row r="102">
          <cell r="A102" t="str">
            <v>5200-014-000</v>
          </cell>
          <cell r="B102" t="str">
            <v>Aguinaldo</v>
          </cell>
          <cell r="C102">
            <v>20879.54</v>
          </cell>
          <cell r="D102" t="str">
            <v xml:space="preserve"> </v>
          </cell>
          <cell r="E102">
            <v>0</v>
          </cell>
          <cell r="F102">
            <v>0</v>
          </cell>
          <cell r="G102">
            <v>20879.54</v>
          </cell>
          <cell r="H102" t="str">
            <v xml:space="preserve"> </v>
          </cell>
        </row>
        <row r="103">
          <cell r="A103" t="str">
            <v>5200-021-000</v>
          </cell>
          <cell r="B103" t="str">
            <v>Comisiones Vales</v>
          </cell>
          <cell r="C103">
            <v>5735</v>
          </cell>
          <cell r="D103" t="str">
            <v xml:space="preserve"> </v>
          </cell>
          <cell r="E103">
            <v>1087.5</v>
          </cell>
          <cell r="F103">
            <v>0</v>
          </cell>
          <cell r="G103">
            <v>6822.5</v>
          </cell>
          <cell r="H103" t="str">
            <v xml:space="preserve"> </v>
          </cell>
        </row>
        <row r="104">
          <cell r="A104" t="str">
            <v>5200-027-000</v>
          </cell>
          <cell r="B104" t="str">
            <v>Vales de gasolina</v>
          </cell>
          <cell r="C104">
            <v>42700</v>
          </cell>
          <cell r="D104" t="str">
            <v xml:space="preserve"> </v>
          </cell>
          <cell r="E104">
            <v>7350</v>
          </cell>
          <cell r="F104">
            <v>0</v>
          </cell>
          <cell r="G104">
            <v>50050</v>
          </cell>
          <cell r="H104" t="str">
            <v xml:space="preserve"> </v>
          </cell>
        </row>
        <row r="105">
          <cell r="A105" t="str">
            <v>5300-000-000</v>
          </cell>
          <cell r="B105" t="str">
            <v>GASTOS DE ADMINISTRACION</v>
          </cell>
          <cell r="C105">
            <v>481272.17</v>
          </cell>
          <cell r="D105" t="str">
            <v xml:space="preserve"> </v>
          </cell>
          <cell r="E105">
            <v>86165</v>
          </cell>
          <cell r="F105">
            <v>0</v>
          </cell>
          <cell r="G105">
            <v>567437.17000000004</v>
          </cell>
          <cell r="H105" t="str">
            <v xml:space="preserve"> </v>
          </cell>
        </row>
        <row r="106">
          <cell r="A106" t="str">
            <v>5300-002-000</v>
          </cell>
          <cell r="B106" t="str">
            <v>Gastos de viaje</v>
          </cell>
          <cell r="C106">
            <v>99970.78</v>
          </cell>
          <cell r="D106" t="str">
            <v xml:space="preserve"> </v>
          </cell>
          <cell r="E106">
            <v>0</v>
          </cell>
          <cell r="F106">
            <v>0</v>
          </cell>
          <cell r="G106">
            <v>99970.78</v>
          </cell>
          <cell r="H106" t="str">
            <v xml:space="preserve"> </v>
          </cell>
        </row>
        <row r="107">
          <cell r="A107" t="str">
            <v>5300-003-000</v>
          </cell>
          <cell r="B107" t="str">
            <v>Eventos especiales</v>
          </cell>
          <cell r="C107">
            <v>29571.41</v>
          </cell>
          <cell r="D107" t="str">
            <v xml:space="preserve"> </v>
          </cell>
          <cell r="E107">
            <v>934.65</v>
          </cell>
          <cell r="F107">
            <v>0</v>
          </cell>
          <cell r="G107">
            <v>30506.06</v>
          </cell>
          <cell r="H107" t="str">
            <v xml:space="preserve"> </v>
          </cell>
        </row>
        <row r="108">
          <cell r="A108" t="str">
            <v>5300-004-000</v>
          </cell>
          <cell r="B108" t="str">
            <v>Consumo en Restaurantes</v>
          </cell>
          <cell r="C108">
            <v>206.71</v>
          </cell>
          <cell r="D108" t="str">
            <v xml:space="preserve"> </v>
          </cell>
          <cell r="E108">
            <v>65.95</v>
          </cell>
          <cell r="F108">
            <v>0</v>
          </cell>
          <cell r="G108">
            <v>272.66000000000003</v>
          </cell>
          <cell r="H108" t="str">
            <v xml:space="preserve"> </v>
          </cell>
        </row>
        <row r="109">
          <cell r="A109" t="str">
            <v>5300-006-000</v>
          </cell>
          <cell r="B109" t="str">
            <v>Comunicacion</v>
          </cell>
          <cell r="C109">
            <v>20365.849999999999</v>
          </cell>
          <cell r="D109" t="str">
            <v xml:space="preserve"> </v>
          </cell>
          <cell r="E109">
            <v>4695.6899999999996</v>
          </cell>
          <cell r="F109">
            <v>0</v>
          </cell>
          <cell r="G109">
            <v>25061.54</v>
          </cell>
          <cell r="H109" t="str">
            <v xml:space="preserve"> </v>
          </cell>
        </row>
        <row r="110">
          <cell r="A110" t="str">
            <v>5300-007-000</v>
          </cell>
          <cell r="B110" t="str">
            <v>Honorarios</v>
          </cell>
          <cell r="C110">
            <v>81000</v>
          </cell>
          <cell r="D110" t="str">
            <v xml:space="preserve"> </v>
          </cell>
          <cell r="E110">
            <v>7500</v>
          </cell>
          <cell r="F110">
            <v>0</v>
          </cell>
          <cell r="G110">
            <v>88500</v>
          </cell>
          <cell r="H110" t="str">
            <v xml:space="preserve"> </v>
          </cell>
        </row>
        <row r="111">
          <cell r="A111" t="str">
            <v>5300-009-000</v>
          </cell>
          <cell r="B111" t="str">
            <v>Arrendamiento</v>
          </cell>
          <cell r="C111">
            <v>120000</v>
          </cell>
          <cell r="D111" t="str">
            <v xml:space="preserve"> </v>
          </cell>
          <cell r="E111">
            <v>0</v>
          </cell>
          <cell r="F111">
            <v>0</v>
          </cell>
          <cell r="G111">
            <v>120000</v>
          </cell>
          <cell r="H111" t="str">
            <v xml:space="preserve"> </v>
          </cell>
        </row>
        <row r="112">
          <cell r="A112" t="str">
            <v>5300-013-000</v>
          </cell>
          <cell r="B112" t="str">
            <v>Seguros</v>
          </cell>
          <cell r="C112">
            <v>26016.18</v>
          </cell>
          <cell r="D112" t="str">
            <v xml:space="preserve"> </v>
          </cell>
          <cell r="E112">
            <v>5727.3</v>
          </cell>
          <cell r="F112">
            <v>0</v>
          </cell>
          <cell r="G112">
            <v>31743.48</v>
          </cell>
          <cell r="H112" t="str">
            <v xml:space="preserve"> </v>
          </cell>
        </row>
        <row r="113">
          <cell r="A113" t="str">
            <v>5300-017-000</v>
          </cell>
          <cell r="B113" t="str">
            <v>Luz</v>
          </cell>
          <cell r="C113">
            <v>8475.42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8475.42</v>
          </cell>
          <cell r="H113" t="str">
            <v xml:space="preserve"> </v>
          </cell>
        </row>
        <row r="114">
          <cell r="A114" t="str">
            <v>5300-018-000</v>
          </cell>
          <cell r="B114" t="str">
            <v>Gas Natural</v>
          </cell>
          <cell r="C114">
            <v>5996.26</v>
          </cell>
          <cell r="D114" t="str">
            <v xml:space="preserve"> </v>
          </cell>
          <cell r="E114">
            <v>0</v>
          </cell>
          <cell r="F114">
            <v>0</v>
          </cell>
          <cell r="G114">
            <v>5996.26</v>
          </cell>
          <cell r="H114" t="str">
            <v xml:space="preserve"> </v>
          </cell>
        </row>
        <row r="115">
          <cell r="A115" t="str">
            <v>5300-019-000</v>
          </cell>
          <cell r="B115" t="str">
            <v>Agua</v>
          </cell>
          <cell r="C115">
            <v>1212.24</v>
          </cell>
          <cell r="D115" t="str">
            <v xml:space="preserve"> </v>
          </cell>
          <cell r="E115">
            <v>202.04</v>
          </cell>
          <cell r="F115">
            <v>0</v>
          </cell>
          <cell r="G115">
            <v>1414.28</v>
          </cell>
          <cell r="H115" t="str">
            <v xml:space="preserve"> </v>
          </cell>
        </row>
        <row r="116">
          <cell r="A116" t="str">
            <v>5300-022-000</v>
          </cell>
          <cell r="B116" t="str">
            <v>Papeleria</v>
          </cell>
          <cell r="C116">
            <v>111.21</v>
          </cell>
          <cell r="D116" t="str">
            <v xml:space="preserve"> </v>
          </cell>
          <cell r="E116">
            <v>0</v>
          </cell>
          <cell r="F116">
            <v>0</v>
          </cell>
          <cell r="G116">
            <v>111.21</v>
          </cell>
          <cell r="H116" t="str">
            <v xml:space="preserve"> </v>
          </cell>
        </row>
        <row r="117">
          <cell r="A117" t="str">
            <v>5300-027-000</v>
          </cell>
          <cell r="B117" t="str">
            <v>Seguridad e Higiene</v>
          </cell>
          <cell r="C117">
            <v>7200</v>
          </cell>
          <cell r="D117" t="str">
            <v xml:space="preserve"> </v>
          </cell>
          <cell r="E117">
            <v>0</v>
          </cell>
          <cell r="F117">
            <v>0</v>
          </cell>
          <cell r="G117">
            <v>7200</v>
          </cell>
          <cell r="H117" t="str">
            <v xml:space="preserve"> </v>
          </cell>
        </row>
        <row r="118">
          <cell r="A118" t="str">
            <v>5300-028-000</v>
          </cell>
          <cell r="B118" t="str">
            <v>Recolección de Basura</v>
          </cell>
          <cell r="C118">
            <v>672</v>
          </cell>
          <cell r="D118" t="str">
            <v xml:space="preserve"> </v>
          </cell>
          <cell r="E118">
            <v>134.4</v>
          </cell>
          <cell r="F118">
            <v>0</v>
          </cell>
          <cell r="G118">
            <v>806.4</v>
          </cell>
          <cell r="H118" t="str">
            <v xml:space="preserve"> </v>
          </cell>
        </row>
        <row r="119">
          <cell r="A119" t="str">
            <v>5300-029-000</v>
          </cell>
          <cell r="B119" t="str">
            <v>Sistemas de Alarma</v>
          </cell>
          <cell r="C119">
            <v>1350</v>
          </cell>
          <cell r="D119" t="str">
            <v xml:space="preserve"> </v>
          </cell>
          <cell r="E119">
            <v>1350</v>
          </cell>
          <cell r="F119">
            <v>0</v>
          </cell>
          <cell r="G119">
            <v>2700</v>
          </cell>
          <cell r="H119" t="str">
            <v xml:space="preserve"> </v>
          </cell>
        </row>
        <row r="120">
          <cell r="A120" t="str">
            <v>5300-031-000</v>
          </cell>
          <cell r="B120" t="str">
            <v>Cuotas y Suscripciones</v>
          </cell>
          <cell r="C120">
            <v>180</v>
          </cell>
          <cell r="D120" t="str">
            <v xml:space="preserve"> </v>
          </cell>
          <cell r="E120">
            <v>0</v>
          </cell>
          <cell r="F120">
            <v>0</v>
          </cell>
          <cell r="G120">
            <v>180</v>
          </cell>
          <cell r="H120" t="str">
            <v xml:space="preserve"> </v>
          </cell>
        </row>
        <row r="121">
          <cell r="A121" t="str">
            <v>5300-032-000</v>
          </cell>
          <cell r="B121" t="str">
            <v>Otros impuestos y derechos</v>
          </cell>
          <cell r="C121">
            <v>1957.09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1957.09</v>
          </cell>
          <cell r="H121" t="str">
            <v xml:space="preserve"> </v>
          </cell>
        </row>
        <row r="122">
          <cell r="A122" t="str">
            <v>5300-035-000</v>
          </cell>
          <cell r="B122" t="str">
            <v>Mantenimiento Local</v>
          </cell>
          <cell r="C122">
            <v>22721.06</v>
          </cell>
          <cell r="D122" t="str">
            <v xml:space="preserve"> </v>
          </cell>
          <cell r="E122">
            <v>6181.47</v>
          </cell>
          <cell r="F122">
            <v>0</v>
          </cell>
          <cell r="G122">
            <v>28902.53</v>
          </cell>
          <cell r="H122" t="str">
            <v xml:space="preserve"> </v>
          </cell>
        </row>
        <row r="123">
          <cell r="A123" t="str">
            <v>5300-036-000</v>
          </cell>
          <cell r="B123" t="str">
            <v>Mantenimiento equipo de computo</v>
          </cell>
          <cell r="C123">
            <v>825.87</v>
          </cell>
          <cell r="D123" t="str">
            <v xml:space="preserve"> </v>
          </cell>
          <cell r="E123">
            <v>58500</v>
          </cell>
          <cell r="F123">
            <v>0</v>
          </cell>
          <cell r="G123">
            <v>59325.87</v>
          </cell>
          <cell r="H123" t="str">
            <v xml:space="preserve"> </v>
          </cell>
        </row>
        <row r="124">
          <cell r="A124" t="str">
            <v>5300-038-000</v>
          </cell>
          <cell r="B124" t="str">
            <v>No deducibles</v>
          </cell>
          <cell r="C124">
            <v>44704.34</v>
          </cell>
          <cell r="D124" t="str">
            <v xml:space="preserve"> </v>
          </cell>
          <cell r="E124">
            <v>823.5</v>
          </cell>
          <cell r="F124">
            <v>0</v>
          </cell>
          <cell r="G124">
            <v>45527.839999999997</v>
          </cell>
          <cell r="H124" t="str">
            <v xml:space="preserve"> </v>
          </cell>
        </row>
        <row r="125">
          <cell r="A125" t="str">
            <v>5300-039-000</v>
          </cell>
          <cell r="B125" t="str">
            <v>Comisiones bancarias</v>
          </cell>
          <cell r="C125">
            <v>1430</v>
          </cell>
          <cell r="D125" t="str">
            <v xml:space="preserve"> </v>
          </cell>
          <cell r="E125">
            <v>50</v>
          </cell>
          <cell r="F125">
            <v>0</v>
          </cell>
          <cell r="G125">
            <v>1480</v>
          </cell>
          <cell r="H125" t="str">
            <v xml:space="preserve"> </v>
          </cell>
        </row>
        <row r="126">
          <cell r="A126" t="str">
            <v>5300-040-000</v>
          </cell>
          <cell r="B126" t="str">
            <v>Actualizacion de contribuciones</v>
          </cell>
          <cell r="C126">
            <v>119.96</v>
          </cell>
          <cell r="D126" t="str">
            <v xml:space="preserve"> </v>
          </cell>
          <cell r="E126">
            <v>0</v>
          </cell>
          <cell r="F126">
            <v>0</v>
          </cell>
          <cell r="G126">
            <v>119.96</v>
          </cell>
          <cell r="H126" t="str">
            <v xml:space="preserve"> </v>
          </cell>
        </row>
        <row r="127">
          <cell r="A127" t="str">
            <v>5300-041-000</v>
          </cell>
          <cell r="B127" t="str">
            <v>Recargos</v>
          </cell>
          <cell r="C127">
            <v>304.3</v>
          </cell>
          <cell r="D127" t="str">
            <v xml:space="preserve"> </v>
          </cell>
          <cell r="E127">
            <v>0</v>
          </cell>
          <cell r="F127">
            <v>0</v>
          </cell>
          <cell r="G127">
            <v>304.3</v>
          </cell>
          <cell r="H127" t="str">
            <v xml:space="preserve"> </v>
          </cell>
        </row>
        <row r="128">
          <cell r="A128" t="str">
            <v>5300-042-000</v>
          </cell>
          <cell r="B128" t="str">
            <v>Diversos</v>
          </cell>
          <cell r="C128">
            <v>1278.04</v>
          </cell>
          <cell r="D128" t="str">
            <v xml:space="preserve"> </v>
          </cell>
          <cell r="E128">
            <v>0</v>
          </cell>
          <cell r="F128">
            <v>0</v>
          </cell>
          <cell r="G128">
            <v>1278.04</v>
          </cell>
          <cell r="H128" t="str">
            <v xml:space="preserve"> </v>
          </cell>
        </row>
        <row r="129">
          <cell r="A129" t="str">
            <v>5300-046-000</v>
          </cell>
          <cell r="B129" t="str">
            <v>Honorarios legales</v>
          </cell>
          <cell r="C129">
            <v>5603.45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5603.45</v>
          </cell>
          <cell r="H129" t="str">
            <v xml:space="preserve"> </v>
          </cell>
        </row>
        <row r="130">
          <cell r="A130" t="str">
            <v>5400-000-000</v>
          </cell>
          <cell r="B130" t="str">
            <v>GASTOS DE OPERACION</v>
          </cell>
          <cell r="C130">
            <v>76844.19</v>
          </cell>
          <cell r="D130" t="str">
            <v xml:space="preserve"> </v>
          </cell>
          <cell r="E130">
            <v>59895.07</v>
          </cell>
          <cell r="F130">
            <v>0</v>
          </cell>
          <cell r="G130">
            <v>136739.26</v>
          </cell>
          <cell r="H130" t="str">
            <v xml:space="preserve"> </v>
          </cell>
        </row>
        <row r="131">
          <cell r="A131" t="str">
            <v>5400-001-000</v>
          </cell>
          <cell r="B131" t="str">
            <v>Depreciacion acumulada</v>
          </cell>
          <cell r="C131">
            <v>16584.349999999999</v>
          </cell>
          <cell r="D131" t="str">
            <v xml:space="preserve"> </v>
          </cell>
          <cell r="E131">
            <v>2941.76</v>
          </cell>
          <cell r="F131">
            <v>0</v>
          </cell>
          <cell r="G131">
            <v>19526.11</v>
          </cell>
          <cell r="H131" t="str">
            <v xml:space="preserve"> </v>
          </cell>
        </row>
        <row r="132">
          <cell r="A132" t="str">
            <v>5400-001-004</v>
          </cell>
          <cell r="B132" t="str">
            <v>Machinery &amp; Equipment accumulated depreciation</v>
          </cell>
          <cell r="C132">
            <v>4795.3999999999996</v>
          </cell>
          <cell r="D132" t="str">
            <v xml:space="preserve"> </v>
          </cell>
          <cell r="E132">
            <v>829.64</v>
          </cell>
          <cell r="F132">
            <v>0</v>
          </cell>
          <cell r="G132">
            <v>5625.04</v>
          </cell>
          <cell r="H132" t="str">
            <v xml:space="preserve"> </v>
          </cell>
        </row>
        <row r="133">
          <cell r="A133" t="str">
            <v>5400-001-005</v>
          </cell>
          <cell r="B133" t="str">
            <v>Computer Equipment accumulated depreciation</v>
          </cell>
          <cell r="C133">
            <v>11788.95</v>
          </cell>
          <cell r="D133" t="str">
            <v xml:space="preserve"> </v>
          </cell>
          <cell r="E133">
            <v>2112.12</v>
          </cell>
          <cell r="F133">
            <v>0</v>
          </cell>
          <cell r="G133">
            <v>13901.07</v>
          </cell>
          <cell r="H133" t="str">
            <v xml:space="preserve"> </v>
          </cell>
        </row>
        <row r="134">
          <cell r="A134" t="str">
            <v>5400-003-000</v>
          </cell>
          <cell r="B134" t="str">
            <v>Eventos Especiales</v>
          </cell>
          <cell r="C134">
            <v>166.38</v>
          </cell>
          <cell r="D134" t="str">
            <v xml:space="preserve"> </v>
          </cell>
          <cell r="E134">
            <v>877.39</v>
          </cell>
          <cell r="F134">
            <v>0</v>
          </cell>
          <cell r="G134">
            <v>1043.77</v>
          </cell>
          <cell r="H134" t="str">
            <v xml:space="preserve"> </v>
          </cell>
        </row>
        <row r="135">
          <cell r="A135" t="str">
            <v>5400-004-000</v>
          </cell>
          <cell r="B135" t="str">
            <v>Consumo en Restaurantes</v>
          </cell>
          <cell r="C135">
            <v>52.61</v>
          </cell>
          <cell r="D135" t="str">
            <v xml:space="preserve"> </v>
          </cell>
          <cell r="E135">
            <v>37.22</v>
          </cell>
          <cell r="F135">
            <v>0</v>
          </cell>
          <cell r="G135">
            <v>89.83</v>
          </cell>
          <cell r="H135" t="str">
            <v xml:space="preserve"> </v>
          </cell>
        </row>
        <row r="136">
          <cell r="A136" t="str">
            <v>5400-006-000</v>
          </cell>
          <cell r="B136" t="str">
            <v>Comunicación</v>
          </cell>
          <cell r="C136">
            <v>6118.96</v>
          </cell>
          <cell r="D136" t="str">
            <v xml:space="preserve"> </v>
          </cell>
          <cell r="E136">
            <v>0</v>
          </cell>
          <cell r="F136">
            <v>0</v>
          </cell>
          <cell r="G136">
            <v>6118.96</v>
          </cell>
          <cell r="H136" t="str">
            <v xml:space="preserve"> </v>
          </cell>
        </row>
        <row r="137">
          <cell r="A137" t="str">
            <v>5400-007-000</v>
          </cell>
          <cell r="B137" t="str">
            <v>Honorarios</v>
          </cell>
          <cell r="C137">
            <v>22000</v>
          </cell>
          <cell r="D137" t="str">
            <v xml:space="preserve"> </v>
          </cell>
          <cell r="E137">
            <v>26000</v>
          </cell>
          <cell r="F137">
            <v>0</v>
          </cell>
          <cell r="G137">
            <v>48000</v>
          </cell>
          <cell r="H137" t="str">
            <v xml:space="preserve"> </v>
          </cell>
        </row>
        <row r="138">
          <cell r="A138" t="str">
            <v>5400-009-000</v>
          </cell>
          <cell r="B138" t="str">
            <v>Arrendamiento</v>
          </cell>
          <cell r="C138">
            <v>24000</v>
          </cell>
          <cell r="D138" t="str">
            <v xml:space="preserve"> </v>
          </cell>
          <cell r="E138">
            <v>28350</v>
          </cell>
          <cell r="F138">
            <v>0</v>
          </cell>
          <cell r="G138">
            <v>52350</v>
          </cell>
          <cell r="H138" t="str">
            <v xml:space="preserve"> </v>
          </cell>
        </row>
        <row r="139">
          <cell r="A139" t="str">
            <v>5400-022-000</v>
          </cell>
          <cell r="B139" t="str">
            <v>Papelería y Artículos de Oficina</v>
          </cell>
          <cell r="C139">
            <v>4610.5200000000004</v>
          </cell>
          <cell r="D139" t="str">
            <v xml:space="preserve"> </v>
          </cell>
          <cell r="E139">
            <v>416.38</v>
          </cell>
          <cell r="F139">
            <v>0</v>
          </cell>
          <cell r="G139">
            <v>5026.8999999999996</v>
          </cell>
          <cell r="H139" t="str">
            <v xml:space="preserve"> </v>
          </cell>
        </row>
        <row r="140">
          <cell r="A140" t="str">
            <v>5400-028-000</v>
          </cell>
          <cell r="B140" t="str">
            <v>Recolección de Basura</v>
          </cell>
          <cell r="C140">
            <v>134.4</v>
          </cell>
          <cell r="D140" t="str">
            <v xml:space="preserve"> </v>
          </cell>
          <cell r="E140">
            <v>0</v>
          </cell>
          <cell r="F140">
            <v>0</v>
          </cell>
          <cell r="G140">
            <v>134.4</v>
          </cell>
          <cell r="H140" t="str">
            <v xml:space="preserve"> </v>
          </cell>
        </row>
        <row r="141">
          <cell r="A141" t="str">
            <v>5400-038-000</v>
          </cell>
          <cell r="B141" t="str">
            <v>No Deducibles</v>
          </cell>
          <cell r="C141">
            <v>1880.51</v>
          </cell>
          <cell r="D141" t="str">
            <v xml:space="preserve"> </v>
          </cell>
          <cell r="E141">
            <v>1272.32</v>
          </cell>
          <cell r="F141">
            <v>0</v>
          </cell>
          <cell r="G141">
            <v>3152.83</v>
          </cell>
          <cell r="H141" t="str">
            <v xml:space="preserve"> </v>
          </cell>
        </row>
        <row r="142">
          <cell r="A142" t="str">
            <v>5400-046-000</v>
          </cell>
          <cell r="B142" t="str">
            <v>Multas</v>
          </cell>
          <cell r="C142">
            <v>1296.46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1296.46</v>
          </cell>
          <cell r="H142" t="str">
            <v xml:space="preserve"> </v>
          </cell>
        </row>
        <row r="143">
          <cell r="A143" t="str">
            <v>0000-600-000</v>
          </cell>
          <cell r="B143" t="str">
            <v>CIF</v>
          </cell>
          <cell r="C143">
            <v>-862.6</v>
          </cell>
          <cell r="D143" t="str">
            <v xml:space="preserve"> </v>
          </cell>
          <cell r="E143">
            <v>0.35</v>
          </cell>
          <cell r="F143">
            <v>790.87</v>
          </cell>
          <cell r="G143">
            <v>-1653.12</v>
          </cell>
          <cell r="H143" t="str">
            <v xml:space="preserve"> </v>
          </cell>
        </row>
        <row r="144">
          <cell r="A144" t="str">
            <v>6000-001-000</v>
          </cell>
          <cell r="B144" t="str">
            <v>Utilidad en Cambios</v>
          </cell>
          <cell r="C144" t="str">
            <v xml:space="preserve"> </v>
          </cell>
          <cell r="D144">
            <v>12.05</v>
          </cell>
          <cell r="E144">
            <v>0</v>
          </cell>
          <cell r="F144">
            <v>0</v>
          </cell>
          <cell r="G144" t="str">
            <v xml:space="preserve"> </v>
          </cell>
          <cell r="H144">
            <v>12.05</v>
          </cell>
        </row>
        <row r="145">
          <cell r="A145" t="str">
            <v>6000-002-000</v>
          </cell>
          <cell r="B145" t="str">
            <v>Pérdida en Cambios</v>
          </cell>
          <cell r="C145">
            <v>2223.7600000000002</v>
          </cell>
          <cell r="D145" t="str">
            <v xml:space="preserve"> </v>
          </cell>
          <cell r="E145">
            <v>0</v>
          </cell>
          <cell r="F145">
            <v>0</v>
          </cell>
          <cell r="G145">
            <v>2223.7600000000002</v>
          </cell>
          <cell r="H145" t="str">
            <v xml:space="preserve"> </v>
          </cell>
        </row>
        <row r="146">
          <cell r="A146" t="str">
            <v>6000-003-000</v>
          </cell>
          <cell r="B146" t="str">
            <v>Intereses Bancarios</v>
          </cell>
          <cell r="C146">
            <v>-3074.26</v>
          </cell>
          <cell r="D146" t="str">
            <v xml:space="preserve"> </v>
          </cell>
          <cell r="E146">
            <v>0</v>
          </cell>
          <cell r="F146">
            <v>790.87</v>
          </cell>
          <cell r="G146">
            <v>-3865.13</v>
          </cell>
          <cell r="H146" t="str">
            <v xml:space="preserve"> </v>
          </cell>
        </row>
        <row r="147">
          <cell r="A147" t="str">
            <v>6000-005-000</v>
          </cell>
          <cell r="B147" t="str">
            <v>Minor Dif</v>
          </cell>
          <cell r="C147">
            <v>-0.05</v>
          </cell>
          <cell r="D147" t="str">
            <v xml:space="preserve"> </v>
          </cell>
          <cell r="E147">
            <v>0.35</v>
          </cell>
          <cell r="F147">
            <v>0</v>
          </cell>
          <cell r="G147">
            <v>0.3</v>
          </cell>
          <cell r="H147" t="str">
            <v xml:space="preserve"> </v>
          </cell>
        </row>
        <row r="148">
          <cell r="A148" t="str">
            <v xml:space="preserve"> </v>
          </cell>
        </row>
        <row r="149">
          <cell r="B149" t="str">
            <v>Total cuentas no impresas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 xml:space="preserve"> </v>
          </cell>
          <cell r="D150">
            <v>0</v>
          </cell>
          <cell r="H150">
            <v>0</v>
          </cell>
        </row>
        <row r="151">
          <cell r="A151" t="str">
            <v xml:space="preserve"> </v>
          </cell>
        </row>
        <row r="153">
          <cell r="B153" t="str">
            <v xml:space="preserve">Sumas Iguales: </v>
          </cell>
          <cell r="C153">
            <v>4445320.25</v>
          </cell>
          <cell r="E153">
            <v>2100746.0299999998</v>
          </cell>
          <cell r="F153">
            <v>2100746.0299999998</v>
          </cell>
          <cell r="G153">
            <v>4879402.53</v>
          </cell>
        </row>
        <row r="154">
          <cell r="D154">
            <v>4445320.25</v>
          </cell>
          <cell r="H154">
            <v>4879402.53</v>
          </cell>
        </row>
      </sheetData>
      <sheetData sheetId="51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31/Ago/2015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940450.63</v>
          </cell>
          <cell r="D8" t="str">
            <v xml:space="preserve"> </v>
          </cell>
          <cell r="E8">
            <v>1539909.8</v>
          </cell>
          <cell r="F8">
            <v>1407615.69</v>
          </cell>
          <cell r="G8">
            <v>1072744.74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759195.91</v>
          </cell>
          <cell r="D9" t="str">
            <v xml:space="preserve"> </v>
          </cell>
          <cell r="E9">
            <v>1521813.92</v>
          </cell>
          <cell r="F9">
            <v>1404673.93</v>
          </cell>
          <cell r="G9">
            <v>876335.9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600858.13</v>
          </cell>
          <cell r="D10" t="str">
            <v xml:space="preserve"> </v>
          </cell>
          <cell r="E10">
            <v>736001.43</v>
          </cell>
          <cell r="F10">
            <v>687660.48</v>
          </cell>
          <cell r="G10">
            <v>649199.07999999996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11397.98</v>
          </cell>
          <cell r="D11" t="str">
            <v xml:space="preserve"> </v>
          </cell>
          <cell r="E11">
            <v>72085</v>
          </cell>
          <cell r="F11">
            <v>82056.63</v>
          </cell>
          <cell r="G11">
            <v>1426.35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86841.98</v>
          </cell>
          <cell r="D12" t="str">
            <v xml:space="preserve"> </v>
          </cell>
          <cell r="E12">
            <v>663430.18999999994</v>
          </cell>
          <cell r="F12">
            <v>605603.85</v>
          </cell>
          <cell r="G12">
            <v>144668.32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502618.17</v>
          </cell>
          <cell r="D13" t="str">
            <v xml:space="preserve"> </v>
          </cell>
          <cell r="E13">
            <v>486.24</v>
          </cell>
          <cell r="F13">
            <v>0</v>
          </cell>
          <cell r="G13">
            <v>503104.41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663430.18999999994</v>
          </cell>
          <cell r="F14">
            <v>663430.18999999994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663430.18999999994</v>
          </cell>
          <cell r="F15">
            <v>663430.18999999994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663430.18999999994</v>
          </cell>
          <cell r="F16">
            <v>663430.18999999994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32435.17</v>
          </cell>
          <cell r="D17" t="str">
            <v xml:space="preserve"> </v>
          </cell>
          <cell r="E17">
            <v>61700.83</v>
          </cell>
          <cell r="F17">
            <v>43464.28</v>
          </cell>
          <cell r="G17">
            <v>50671.72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30567.279999999999</v>
          </cell>
          <cell r="F18">
            <v>30567.279999999999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1200</v>
          </cell>
          <cell r="D19" t="str">
            <v xml:space="preserve"> </v>
          </cell>
          <cell r="E19">
            <v>1200</v>
          </cell>
          <cell r="F19">
            <v>2400</v>
          </cell>
          <cell r="G19">
            <v>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31235.17</v>
          </cell>
          <cell r="D20" t="str">
            <v xml:space="preserve"> </v>
          </cell>
          <cell r="E20">
            <v>29933.55</v>
          </cell>
          <cell r="F20">
            <v>10497</v>
          </cell>
          <cell r="G20">
            <v>50671.72</v>
          </cell>
          <cell r="H20" t="str">
            <v xml:space="preserve"> </v>
          </cell>
        </row>
        <row r="21">
          <cell r="A21" t="str">
            <v>1107-000-000</v>
          </cell>
          <cell r="B21" t="str">
            <v>Anticipo a Proveedores</v>
          </cell>
          <cell r="C21">
            <v>145</v>
          </cell>
          <cell r="D21" t="str">
            <v xml:space="preserve"> </v>
          </cell>
          <cell r="E21">
            <v>0</v>
          </cell>
          <cell r="F21">
            <v>0</v>
          </cell>
          <cell r="G21">
            <v>145</v>
          </cell>
          <cell r="H21" t="str">
            <v xml:space="preserve"> </v>
          </cell>
        </row>
        <row r="22">
          <cell r="A22" t="str">
            <v>1107-014-000</v>
          </cell>
          <cell r="B22" t="str">
            <v>N</v>
          </cell>
          <cell r="C22">
            <v>145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145</v>
          </cell>
          <cell r="H22" t="str">
            <v xml:space="preserve"> </v>
          </cell>
        </row>
        <row r="23">
          <cell r="A23" t="str">
            <v>1107-014-001</v>
          </cell>
          <cell r="B23" t="str">
            <v>Navarro Lozano y Compañia, S.C.</v>
          </cell>
          <cell r="C23">
            <v>145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145</v>
          </cell>
          <cell r="H23" t="str">
            <v xml:space="preserve"> </v>
          </cell>
        </row>
        <row r="24">
          <cell r="A24" t="str">
            <v>1108-000-000</v>
          </cell>
          <cell r="B24" t="str">
            <v>Pagos Anticipados</v>
          </cell>
          <cell r="C24">
            <v>64773.48</v>
          </cell>
          <cell r="D24" t="str">
            <v xml:space="preserve"> </v>
          </cell>
          <cell r="E24">
            <v>7981.23</v>
          </cell>
          <cell r="F24">
            <v>0</v>
          </cell>
          <cell r="G24">
            <v>72754.710000000006</v>
          </cell>
          <cell r="H24" t="str">
            <v xml:space="preserve"> </v>
          </cell>
        </row>
        <row r="25">
          <cell r="A25" t="str">
            <v>1108-001-000</v>
          </cell>
          <cell r="B25" t="str">
            <v>Pagos Provisionales ISR</v>
          </cell>
          <cell r="C25">
            <v>63439</v>
          </cell>
          <cell r="D25" t="str">
            <v xml:space="preserve"> </v>
          </cell>
          <cell r="E25">
            <v>7742</v>
          </cell>
          <cell r="F25">
            <v>0</v>
          </cell>
          <cell r="G25">
            <v>71181</v>
          </cell>
          <cell r="H25" t="str">
            <v xml:space="preserve"> </v>
          </cell>
        </row>
        <row r="26">
          <cell r="A26" t="str">
            <v>1108-004-000</v>
          </cell>
          <cell r="B26" t="str">
            <v>Retención de ISR Bancaria</v>
          </cell>
          <cell r="C26">
            <v>1334.26</v>
          </cell>
          <cell r="D26" t="str">
            <v xml:space="preserve"> </v>
          </cell>
          <cell r="E26">
            <v>239.23</v>
          </cell>
          <cell r="F26">
            <v>0</v>
          </cell>
          <cell r="G26">
            <v>1573.49</v>
          </cell>
          <cell r="H26" t="str">
            <v xml:space="preserve"> </v>
          </cell>
        </row>
        <row r="27">
          <cell r="A27" t="str">
            <v>1108-005-000</v>
          </cell>
          <cell r="B27" t="str">
            <v>Subsidio al Empleo</v>
          </cell>
          <cell r="C27">
            <v>0.22</v>
          </cell>
          <cell r="D27" t="str">
            <v xml:space="preserve"> </v>
          </cell>
          <cell r="E27">
            <v>0</v>
          </cell>
          <cell r="F27">
            <v>0</v>
          </cell>
          <cell r="G27">
            <v>0.22</v>
          </cell>
          <cell r="H27" t="str">
            <v xml:space="preserve"> </v>
          </cell>
        </row>
        <row r="28">
          <cell r="A28" t="str">
            <v>1109-000-000</v>
          </cell>
          <cell r="B28" t="str">
            <v>Depositos en Garantia</v>
          </cell>
          <cell r="C28">
            <v>24000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24000</v>
          </cell>
          <cell r="H28" t="str">
            <v xml:space="preserve"> </v>
          </cell>
        </row>
        <row r="29">
          <cell r="A29" t="str">
            <v>1109-001-000</v>
          </cell>
          <cell r="B29" t="str">
            <v>Depositos en Garantia</v>
          </cell>
          <cell r="C29">
            <v>24000</v>
          </cell>
          <cell r="D29" t="str">
            <v xml:space="preserve"> </v>
          </cell>
          <cell r="E29">
            <v>0</v>
          </cell>
          <cell r="F29">
            <v>0</v>
          </cell>
          <cell r="G29">
            <v>24000</v>
          </cell>
          <cell r="H29" t="str">
            <v xml:space="preserve"> </v>
          </cell>
        </row>
        <row r="30">
          <cell r="A30" t="str">
            <v>1110-000-000</v>
          </cell>
          <cell r="B30" t="str">
            <v>Seguros Pagados por anticipado</v>
          </cell>
          <cell r="C30">
            <v>36984.129999999997</v>
          </cell>
          <cell r="D30" t="str">
            <v xml:space="preserve"> </v>
          </cell>
          <cell r="E30">
            <v>52700.24</v>
          </cell>
          <cell r="F30">
            <v>10118.98</v>
          </cell>
          <cell r="G30">
            <v>79565.39</v>
          </cell>
          <cell r="H30" t="str">
            <v xml:space="preserve"> </v>
          </cell>
        </row>
        <row r="31">
          <cell r="A31" t="str">
            <v>1110-001-000</v>
          </cell>
          <cell r="B31" t="str">
            <v>Seguro Gastos Medicos</v>
          </cell>
          <cell r="C31">
            <v>33806.03</v>
          </cell>
          <cell r="D31" t="str">
            <v xml:space="preserve"> </v>
          </cell>
          <cell r="E31">
            <v>52700.24</v>
          </cell>
          <cell r="F31">
            <v>9483.3700000000008</v>
          </cell>
          <cell r="G31">
            <v>77022.899999999994</v>
          </cell>
          <cell r="H31" t="str">
            <v xml:space="preserve"> </v>
          </cell>
        </row>
        <row r="32">
          <cell r="A32" t="str">
            <v>1110-002-000</v>
          </cell>
          <cell r="B32" t="str">
            <v>Seguro Local</v>
          </cell>
          <cell r="C32">
            <v>3178.1</v>
          </cell>
          <cell r="D32" t="str">
            <v xml:space="preserve"> </v>
          </cell>
          <cell r="E32">
            <v>0</v>
          </cell>
          <cell r="F32">
            <v>635.61</v>
          </cell>
          <cell r="G32">
            <v>2542.4899999999998</v>
          </cell>
          <cell r="H32" t="str">
            <v xml:space="preserve"> </v>
          </cell>
        </row>
        <row r="33">
          <cell r="A33" t="str">
            <v>1200-000-000</v>
          </cell>
          <cell r="B33" t="str">
            <v>ACTIVOS FIJOS</v>
          </cell>
          <cell r="C33">
            <v>181254.72</v>
          </cell>
          <cell r="D33" t="str">
            <v xml:space="preserve"> </v>
          </cell>
          <cell r="E33">
            <v>18095.88</v>
          </cell>
          <cell r="F33">
            <v>2941.76</v>
          </cell>
          <cell r="G33">
            <v>196408.84</v>
          </cell>
          <cell r="H33" t="str">
            <v xml:space="preserve"> </v>
          </cell>
        </row>
        <row r="34">
          <cell r="A34" t="str">
            <v>1208-000-000</v>
          </cell>
          <cell r="B34" t="str">
            <v>Mobiliario y Eq de oficina</v>
          </cell>
          <cell r="C34">
            <v>114711.17</v>
          </cell>
          <cell r="D34" t="str">
            <v xml:space="preserve"> </v>
          </cell>
          <cell r="E34">
            <v>4824.1400000000003</v>
          </cell>
          <cell r="F34">
            <v>0</v>
          </cell>
          <cell r="G34">
            <v>119535.31</v>
          </cell>
          <cell r="H34" t="str">
            <v xml:space="preserve"> </v>
          </cell>
        </row>
        <row r="35">
          <cell r="A35" t="str">
            <v>1208-001-000</v>
          </cell>
          <cell r="B35" t="str">
            <v>Mesa ejecutiva</v>
          </cell>
          <cell r="C35">
            <v>29827.439999999999</v>
          </cell>
          <cell r="D35" t="str">
            <v xml:space="preserve"> </v>
          </cell>
          <cell r="E35">
            <v>0</v>
          </cell>
          <cell r="F35">
            <v>0</v>
          </cell>
          <cell r="G35">
            <v>29827.439999999999</v>
          </cell>
          <cell r="H35" t="str">
            <v xml:space="preserve"> </v>
          </cell>
        </row>
        <row r="36">
          <cell r="A36" t="str">
            <v>1208-002-000</v>
          </cell>
          <cell r="B36" t="str">
            <v>Silla ejecutiva</v>
          </cell>
          <cell r="C36">
            <v>30890.81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30890.81</v>
          </cell>
          <cell r="H36" t="str">
            <v xml:space="preserve"> </v>
          </cell>
        </row>
        <row r="37">
          <cell r="A37" t="str">
            <v>1208-003-000</v>
          </cell>
          <cell r="B37" t="str">
            <v>Gabinete</v>
          </cell>
          <cell r="C37">
            <v>7500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7500</v>
          </cell>
          <cell r="H37" t="str">
            <v xml:space="preserve"> </v>
          </cell>
        </row>
        <row r="38">
          <cell r="A38" t="str">
            <v>1208-004-000</v>
          </cell>
          <cell r="B38" t="str">
            <v>Mesa de juntas</v>
          </cell>
          <cell r="C38">
            <v>8522.1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8522.1</v>
          </cell>
          <cell r="H38" t="str">
            <v xml:space="preserve"> </v>
          </cell>
        </row>
        <row r="39">
          <cell r="A39" t="str">
            <v>1208-005-000</v>
          </cell>
          <cell r="B39" t="str">
            <v>Calentador</v>
          </cell>
          <cell r="C39">
            <v>1415.23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1415.23</v>
          </cell>
          <cell r="H39" t="str">
            <v xml:space="preserve"> </v>
          </cell>
        </row>
        <row r="40">
          <cell r="A40" t="str">
            <v>1208-006-000</v>
          </cell>
          <cell r="B40" t="str">
            <v>Lámpara mesa</v>
          </cell>
          <cell r="C40">
            <v>11723.45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11723.45</v>
          </cell>
          <cell r="H40" t="str">
            <v xml:space="preserve"> </v>
          </cell>
        </row>
        <row r="41">
          <cell r="A41" t="str">
            <v>1208-007-000</v>
          </cell>
          <cell r="B41" t="str">
            <v>Sillón antenas piel vinil chocolate</v>
          </cell>
          <cell r="C41">
            <v>2113.79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2113.79</v>
          </cell>
          <cell r="H41" t="str">
            <v xml:space="preserve"> </v>
          </cell>
        </row>
        <row r="42">
          <cell r="A42" t="str">
            <v>1208-008-000</v>
          </cell>
          <cell r="B42" t="str">
            <v>Lámpara mesa</v>
          </cell>
          <cell r="C42">
            <v>12500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12500</v>
          </cell>
          <cell r="H42" t="str">
            <v xml:space="preserve"> </v>
          </cell>
        </row>
        <row r="43">
          <cell r="A43" t="str">
            <v>1208-009-000</v>
          </cell>
          <cell r="B43" t="str">
            <v>Comedor</v>
          </cell>
          <cell r="C43">
            <v>693.36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693.36</v>
          </cell>
          <cell r="H43" t="str">
            <v xml:space="preserve"> </v>
          </cell>
        </row>
        <row r="44">
          <cell r="A44" t="str">
            <v>1208-010-000</v>
          </cell>
          <cell r="B44" t="str">
            <v>Mesa de juntas ceniz</v>
          </cell>
          <cell r="C44">
            <v>1421.55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1421.55</v>
          </cell>
          <cell r="H44" t="str">
            <v xml:space="preserve"> </v>
          </cell>
        </row>
        <row r="45">
          <cell r="A45" t="str">
            <v>1208-011-000</v>
          </cell>
          <cell r="B45" t="str">
            <v>Escritorio Estudiante Vid Choc</v>
          </cell>
          <cell r="C45">
            <v>8103.44</v>
          </cell>
          <cell r="D45" t="str">
            <v xml:space="preserve"> </v>
          </cell>
          <cell r="E45">
            <v>2239.66</v>
          </cell>
          <cell r="F45">
            <v>0</v>
          </cell>
          <cell r="G45">
            <v>10343.1</v>
          </cell>
          <cell r="H45" t="str">
            <v xml:space="preserve"> </v>
          </cell>
        </row>
        <row r="46">
          <cell r="A46" t="str">
            <v>1208-012-000</v>
          </cell>
          <cell r="B46" t="str">
            <v>Mesa de TV</v>
          </cell>
          <cell r="C46">
            <v>0</v>
          </cell>
          <cell r="D46" t="str">
            <v xml:space="preserve"> </v>
          </cell>
          <cell r="E46">
            <v>2584.48</v>
          </cell>
          <cell r="F46">
            <v>0</v>
          </cell>
          <cell r="G46">
            <v>2584.48</v>
          </cell>
          <cell r="H46" t="str">
            <v xml:space="preserve"> </v>
          </cell>
        </row>
        <row r="47">
          <cell r="A47" t="str">
            <v>1209-000-000</v>
          </cell>
          <cell r="B47" t="str">
            <v>Depreciacion acumulada Mob y Eq de oficina</v>
          </cell>
          <cell r="C47" t="str">
            <v xml:space="preserve"> </v>
          </cell>
          <cell r="D47">
            <v>13919.59</v>
          </cell>
          <cell r="E47">
            <v>0</v>
          </cell>
          <cell r="F47">
            <v>829.64</v>
          </cell>
          <cell r="G47" t="str">
            <v xml:space="preserve"> </v>
          </cell>
          <cell r="H47">
            <v>14749.23</v>
          </cell>
        </row>
        <row r="48">
          <cell r="A48" t="str">
            <v>1210-000-000</v>
          </cell>
          <cell r="B48" t="str">
            <v>Equipo de Computo</v>
          </cell>
          <cell r="C48">
            <v>116449.3</v>
          </cell>
          <cell r="D48" t="str">
            <v xml:space="preserve"> </v>
          </cell>
          <cell r="E48">
            <v>13271.74</v>
          </cell>
          <cell r="F48">
            <v>0</v>
          </cell>
          <cell r="G48">
            <v>129721.04</v>
          </cell>
          <cell r="H48" t="str">
            <v xml:space="preserve"> </v>
          </cell>
        </row>
        <row r="49">
          <cell r="A49" t="str">
            <v>1210-001-000</v>
          </cell>
          <cell r="B49" t="str">
            <v>Computer Elite 8300</v>
          </cell>
          <cell r="C49">
            <v>49350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49350</v>
          </cell>
          <cell r="H49" t="str">
            <v xml:space="preserve"> </v>
          </cell>
        </row>
        <row r="50">
          <cell r="A50" t="str">
            <v>1210-002-000</v>
          </cell>
          <cell r="B50" t="str">
            <v>Multi Brother</v>
          </cell>
          <cell r="C50">
            <v>3188.79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3188.79</v>
          </cell>
          <cell r="H50" t="str">
            <v xml:space="preserve"> </v>
          </cell>
        </row>
        <row r="51">
          <cell r="A51" t="str">
            <v>1210-003-000</v>
          </cell>
          <cell r="B51" t="str">
            <v>Sony Video Projector</v>
          </cell>
          <cell r="C51">
            <v>9007.7999999999993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9007.7999999999993</v>
          </cell>
          <cell r="H51" t="str">
            <v xml:space="preserve"> </v>
          </cell>
        </row>
        <row r="52">
          <cell r="A52" t="str">
            <v>1210-004-000</v>
          </cell>
          <cell r="B52" t="str">
            <v>Epson Multifunctional  XP-211</v>
          </cell>
          <cell r="C52">
            <v>991.38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991.38</v>
          </cell>
          <cell r="H52" t="str">
            <v xml:space="preserve"> </v>
          </cell>
        </row>
        <row r="53">
          <cell r="A53" t="str">
            <v>1210-005-000</v>
          </cell>
          <cell r="B53" t="str">
            <v>Combo Inalam desktop 5000 usb</v>
          </cell>
          <cell r="C53">
            <v>922.41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922.41</v>
          </cell>
          <cell r="H53" t="str">
            <v xml:space="preserve"> </v>
          </cell>
        </row>
        <row r="54">
          <cell r="A54" t="str">
            <v>1210-007-000</v>
          </cell>
          <cell r="B54" t="str">
            <v>Computadora de escritorio completa</v>
          </cell>
          <cell r="C54">
            <v>0</v>
          </cell>
          <cell r="D54" t="str">
            <v xml:space="preserve"> </v>
          </cell>
          <cell r="E54">
            <v>11474.33</v>
          </cell>
          <cell r="F54">
            <v>0</v>
          </cell>
          <cell r="G54">
            <v>11474.33</v>
          </cell>
          <cell r="H54" t="str">
            <v xml:space="preserve"> </v>
          </cell>
        </row>
        <row r="55">
          <cell r="A55" t="str">
            <v>1210-010-000</v>
          </cell>
          <cell r="B55" t="str">
            <v>Memorias RAM DDR3</v>
          </cell>
          <cell r="C55">
            <v>0</v>
          </cell>
          <cell r="D55" t="str">
            <v xml:space="preserve"> </v>
          </cell>
          <cell r="E55">
            <v>1797.41</v>
          </cell>
          <cell r="F55">
            <v>0</v>
          </cell>
          <cell r="G55">
            <v>1797.41</v>
          </cell>
          <cell r="H55" t="str">
            <v xml:space="preserve"> </v>
          </cell>
        </row>
        <row r="56">
          <cell r="A56" t="str">
            <v>1210-012-000</v>
          </cell>
          <cell r="B56" t="str">
            <v>Laptop V5 Touch</v>
          </cell>
          <cell r="C56">
            <v>9240.8700000000008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9240.8700000000008</v>
          </cell>
          <cell r="H56" t="str">
            <v xml:space="preserve"> </v>
          </cell>
        </row>
        <row r="57">
          <cell r="A57" t="str">
            <v>1210-013-000</v>
          </cell>
          <cell r="B57" t="str">
            <v>Laptop Acer VN7-571 UMACKKLL 3</v>
          </cell>
          <cell r="C57">
            <v>11783.62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11783.62</v>
          </cell>
          <cell r="H57" t="str">
            <v xml:space="preserve"> </v>
          </cell>
        </row>
        <row r="58">
          <cell r="A58" t="str">
            <v>1210-014-000</v>
          </cell>
          <cell r="B58" t="str">
            <v>Computadora de escritorio sin monitor</v>
          </cell>
          <cell r="C58">
            <v>13751.73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13751.73</v>
          </cell>
          <cell r="H58" t="str">
            <v xml:space="preserve"> </v>
          </cell>
        </row>
        <row r="59">
          <cell r="A59" t="str">
            <v>1210-015-000</v>
          </cell>
          <cell r="B59" t="str">
            <v>Laptop Acer Roja</v>
          </cell>
          <cell r="C59">
            <v>10140.94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10140.94</v>
          </cell>
          <cell r="H59" t="str">
            <v xml:space="preserve"> </v>
          </cell>
        </row>
        <row r="60">
          <cell r="A60" t="str">
            <v>1210-016-000</v>
          </cell>
          <cell r="B60" t="str">
            <v>Monitor HD LED Acer Modelo K242HL</v>
          </cell>
          <cell r="C60">
            <v>8071.76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8071.76</v>
          </cell>
          <cell r="H60" t="str">
            <v xml:space="preserve"> </v>
          </cell>
        </row>
        <row r="61">
          <cell r="A61" t="str">
            <v>1211-000-000</v>
          </cell>
          <cell r="B61" t="str">
            <v>Depreciacion acumulada Eq. de Computo</v>
          </cell>
          <cell r="C61" t="str">
            <v xml:space="preserve"> </v>
          </cell>
          <cell r="D61">
            <v>35986.160000000003</v>
          </cell>
          <cell r="E61">
            <v>0</v>
          </cell>
          <cell r="F61">
            <v>2112.12</v>
          </cell>
          <cell r="G61" t="str">
            <v xml:space="preserve"> </v>
          </cell>
          <cell r="H61">
            <v>38098.28</v>
          </cell>
        </row>
        <row r="62">
          <cell r="A62" t="str">
            <v>0000-200-000</v>
          </cell>
          <cell r="B62" t="str">
            <v>PASIVOS</v>
          </cell>
          <cell r="C62" t="str">
            <v xml:space="preserve"> </v>
          </cell>
          <cell r="D62">
            <v>880544.67</v>
          </cell>
          <cell r="E62">
            <v>385040.81</v>
          </cell>
          <cell r="F62">
            <v>450338.86</v>
          </cell>
          <cell r="G62" t="str">
            <v xml:space="preserve"> </v>
          </cell>
          <cell r="H62">
            <v>945842.72</v>
          </cell>
        </row>
        <row r="63">
          <cell r="A63" t="str">
            <v>2100-000-000</v>
          </cell>
          <cell r="B63" t="str">
            <v>PASIVO CIRCULANTE</v>
          </cell>
          <cell r="C63" t="str">
            <v xml:space="preserve"> </v>
          </cell>
          <cell r="D63">
            <v>880544.67</v>
          </cell>
          <cell r="E63">
            <v>385040.81</v>
          </cell>
          <cell r="F63">
            <v>450338.86</v>
          </cell>
          <cell r="G63" t="str">
            <v xml:space="preserve"> </v>
          </cell>
          <cell r="H63">
            <v>945842.72</v>
          </cell>
        </row>
        <row r="64">
          <cell r="A64" t="str">
            <v>2103-000-000</v>
          </cell>
          <cell r="B64" t="str">
            <v>Proveedores</v>
          </cell>
          <cell r="C64" t="str">
            <v xml:space="preserve"> </v>
          </cell>
          <cell r="D64">
            <v>8700</v>
          </cell>
          <cell r="E64">
            <v>17400</v>
          </cell>
          <cell r="F64">
            <v>8700</v>
          </cell>
          <cell r="G64" t="str">
            <v xml:space="preserve"> </v>
          </cell>
          <cell r="H64">
            <v>0</v>
          </cell>
        </row>
        <row r="65">
          <cell r="A65" t="str">
            <v>2103-007-000</v>
          </cell>
          <cell r="B65" t="str">
            <v>G</v>
          </cell>
          <cell r="C65" t="str">
            <v xml:space="preserve"> </v>
          </cell>
          <cell r="D65">
            <v>8700</v>
          </cell>
          <cell r="E65">
            <v>17400</v>
          </cell>
          <cell r="F65">
            <v>8700</v>
          </cell>
          <cell r="G65" t="str">
            <v xml:space="preserve"> </v>
          </cell>
          <cell r="H65">
            <v>0</v>
          </cell>
        </row>
        <row r="66">
          <cell r="A66" t="str">
            <v>2103-007-001</v>
          </cell>
          <cell r="B66" t="str">
            <v>Galaz Yamazaki Ruiz Urquiza SC</v>
          </cell>
          <cell r="C66" t="str">
            <v xml:space="preserve"> </v>
          </cell>
          <cell r="D66">
            <v>8700</v>
          </cell>
          <cell r="E66">
            <v>17400</v>
          </cell>
          <cell r="F66">
            <v>8700</v>
          </cell>
          <cell r="G66" t="str">
            <v xml:space="preserve"> </v>
          </cell>
          <cell r="H66">
            <v>0</v>
          </cell>
        </row>
        <row r="67">
          <cell r="A67" t="str">
            <v>2106-000-000</v>
          </cell>
          <cell r="B67" t="str">
            <v>Acreedores Diversos</v>
          </cell>
          <cell r="C67" t="str">
            <v xml:space="preserve"> </v>
          </cell>
          <cell r="D67">
            <v>761024.33</v>
          </cell>
          <cell r="E67">
            <v>260350.4</v>
          </cell>
          <cell r="F67">
            <v>260350.4</v>
          </cell>
          <cell r="G67" t="str">
            <v xml:space="preserve"> </v>
          </cell>
          <cell r="H67">
            <v>761024.33</v>
          </cell>
        </row>
        <row r="68">
          <cell r="A68" t="str">
            <v>2106-001-000</v>
          </cell>
          <cell r="B68" t="str">
            <v>A</v>
          </cell>
          <cell r="C68" t="str">
            <v xml:space="preserve"> </v>
          </cell>
          <cell r="D68">
            <v>761024.3</v>
          </cell>
          <cell r="E68">
            <v>0</v>
          </cell>
          <cell r="F68">
            <v>0</v>
          </cell>
          <cell r="G68" t="str">
            <v xml:space="preserve"> </v>
          </cell>
          <cell r="H68">
            <v>761024.3</v>
          </cell>
        </row>
        <row r="69">
          <cell r="A69" t="str">
            <v>2106-001-001</v>
          </cell>
          <cell r="B69" t="str">
            <v>1A Auto Inc.</v>
          </cell>
          <cell r="C69" t="str">
            <v xml:space="preserve"> </v>
          </cell>
          <cell r="D69">
            <v>761024.3</v>
          </cell>
          <cell r="E69">
            <v>0</v>
          </cell>
          <cell r="F69">
            <v>0</v>
          </cell>
          <cell r="G69" t="str">
            <v xml:space="preserve"> </v>
          </cell>
          <cell r="H69">
            <v>761024.3</v>
          </cell>
        </row>
        <row r="70">
          <cell r="A70" t="str">
            <v>2106-017-000</v>
          </cell>
          <cell r="B70" t="str">
            <v>P</v>
          </cell>
          <cell r="C70" t="str">
            <v xml:space="preserve"> </v>
          </cell>
          <cell r="D70">
            <v>0.03</v>
          </cell>
          <cell r="E70">
            <v>0</v>
          </cell>
          <cell r="F70">
            <v>0</v>
          </cell>
          <cell r="G70" t="str">
            <v xml:space="preserve"> </v>
          </cell>
          <cell r="H70">
            <v>0.03</v>
          </cell>
        </row>
        <row r="71">
          <cell r="A71" t="str">
            <v>2106-017-002</v>
          </cell>
          <cell r="B71" t="str">
            <v>PTU</v>
          </cell>
          <cell r="C71" t="str">
            <v xml:space="preserve"> </v>
          </cell>
          <cell r="D71">
            <v>0.03</v>
          </cell>
          <cell r="E71">
            <v>0</v>
          </cell>
          <cell r="F71">
            <v>0</v>
          </cell>
          <cell r="G71" t="str">
            <v xml:space="preserve"> </v>
          </cell>
          <cell r="H71">
            <v>0.03</v>
          </cell>
        </row>
        <row r="72">
          <cell r="A72" t="str">
            <v>2106-023-000</v>
          </cell>
          <cell r="B72" t="str">
            <v>V</v>
          </cell>
          <cell r="C72" t="str">
            <v xml:space="preserve"> </v>
          </cell>
          <cell r="D72">
            <v>0</v>
          </cell>
          <cell r="E72">
            <v>18150</v>
          </cell>
          <cell r="F72">
            <v>18150</v>
          </cell>
          <cell r="G72" t="str">
            <v xml:space="preserve"> </v>
          </cell>
          <cell r="H72">
            <v>0</v>
          </cell>
        </row>
        <row r="73">
          <cell r="A73" t="str">
            <v>2106-023-001</v>
          </cell>
          <cell r="B73" t="str">
            <v>Vales de despensa</v>
          </cell>
          <cell r="C73" t="str">
            <v xml:space="preserve"> </v>
          </cell>
          <cell r="D73">
            <v>0</v>
          </cell>
          <cell r="E73">
            <v>10800</v>
          </cell>
          <cell r="F73">
            <v>10800</v>
          </cell>
          <cell r="G73" t="str">
            <v xml:space="preserve"> </v>
          </cell>
          <cell r="H73">
            <v>0</v>
          </cell>
        </row>
        <row r="74">
          <cell r="A74" t="str">
            <v>2106-023-002</v>
          </cell>
          <cell r="B74" t="str">
            <v>Vales de gasolina</v>
          </cell>
          <cell r="C74" t="str">
            <v xml:space="preserve"> </v>
          </cell>
          <cell r="D74">
            <v>0</v>
          </cell>
          <cell r="E74">
            <v>7350</v>
          </cell>
          <cell r="F74">
            <v>7350</v>
          </cell>
          <cell r="G74" t="str">
            <v xml:space="preserve"> </v>
          </cell>
          <cell r="H74">
            <v>0</v>
          </cell>
        </row>
        <row r="75">
          <cell r="A75" t="str">
            <v>2106-100-000</v>
          </cell>
          <cell r="B75" t="str">
            <v>Sueldos por pagar</v>
          </cell>
          <cell r="C75" t="str">
            <v xml:space="preserve"> </v>
          </cell>
          <cell r="D75">
            <v>0</v>
          </cell>
          <cell r="E75">
            <v>242200.4</v>
          </cell>
          <cell r="F75">
            <v>242200.4</v>
          </cell>
          <cell r="G75" t="str">
            <v xml:space="preserve"> </v>
          </cell>
          <cell r="H75">
            <v>0</v>
          </cell>
        </row>
        <row r="76">
          <cell r="A76" t="str">
            <v>2108-000-000</v>
          </cell>
          <cell r="B76" t="str">
            <v>Impuestos por pagar</v>
          </cell>
          <cell r="C76" t="str">
            <v xml:space="preserve"> </v>
          </cell>
          <cell r="D76">
            <v>110820.34</v>
          </cell>
          <cell r="E76">
            <v>107290.41</v>
          </cell>
          <cell r="F76">
            <v>181288.46</v>
          </cell>
          <cell r="G76" t="str">
            <v xml:space="preserve"> </v>
          </cell>
          <cell r="H76">
            <v>184818.39</v>
          </cell>
        </row>
        <row r="77">
          <cell r="A77" t="str">
            <v>2108-001-000</v>
          </cell>
          <cell r="B77" t="str">
            <v>ISPT</v>
          </cell>
          <cell r="C77" t="str">
            <v xml:space="preserve"> </v>
          </cell>
          <cell r="D77">
            <v>74863.03</v>
          </cell>
          <cell r="E77">
            <v>74861</v>
          </cell>
          <cell r="F77">
            <v>72421.039999999994</v>
          </cell>
          <cell r="G77" t="str">
            <v xml:space="preserve"> </v>
          </cell>
          <cell r="H77">
            <v>72423.070000000007</v>
          </cell>
        </row>
        <row r="78">
          <cell r="A78" t="str">
            <v>2108-002-000</v>
          </cell>
          <cell r="B78" t="str">
            <v>ISN</v>
          </cell>
          <cell r="C78" t="str">
            <v xml:space="preserve"> </v>
          </cell>
          <cell r="D78">
            <v>7602</v>
          </cell>
          <cell r="E78">
            <v>7602</v>
          </cell>
          <cell r="F78">
            <v>7676</v>
          </cell>
          <cell r="G78" t="str">
            <v xml:space="preserve"> </v>
          </cell>
          <cell r="H78">
            <v>7676</v>
          </cell>
        </row>
        <row r="79">
          <cell r="A79" t="str">
            <v>2108-003-000</v>
          </cell>
          <cell r="B79" t="str">
            <v>IMSS</v>
          </cell>
          <cell r="C79" t="str">
            <v xml:space="preserve"> </v>
          </cell>
          <cell r="D79">
            <v>24827.4</v>
          </cell>
          <cell r="E79">
            <v>24827.41</v>
          </cell>
          <cell r="F79">
            <v>30948</v>
          </cell>
          <cell r="G79" t="str">
            <v xml:space="preserve"> </v>
          </cell>
          <cell r="H79">
            <v>30947.99</v>
          </cell>
        </row>
        <row r="80">
          <cell r="A80" t="str">
            <v>2108-004-000</v>
          </cell>
          <cell r="B80" t="str">
            <v>INFONAVIT</v>
          </cell>
          <cell r="C80" t="str">
            <v xml:space="preserve"> </v>
          </cell>
          <cell r="D80">
            <v>0</v>
          </cell>
          <cell r="E80">
            <v>0</v>
          </cell>
          <cell r="F80">
            <v>32714.63</v>
          </cell>
          <cell r="G80" t="str">
            <v xml:space="preserve"> </v>
          </cell>
          <cell r="H80">
            <v>32714.63</v>
          </cell>
        </row>
        <row r="81">
          <cell r="A81" t="str">
            <v>2108-005-000</v>
          </cell>
          <cell r="B81" t="str">
            <v>SAR</v>
          </cell>
          <cell r="C81" t="str">
            <v xml:space="preserve"> </v>
          </cell>
          <cell r="D81">
            <v>3528.04</v>
          </cell>
          <cell r="E81">
            <v>0</v>
          </cell>
          <cell r="F81">
            <v>37528.79</v>
          </cell>
          <cell r="G81" t="str">
            <v xml:space="preserve"> </v>
          </cell>
          <cell r="H81">
            <v>41056.83</v>
          </cell>
        </row>
        <row r="82">
          <cell r="A82" t="str">
            <v>2108-008-000</v>
          </cell>
          <cell r="B82" t="str">
            <v>ISPT Assimilated</v>
          </cell>
          <cell r="C82" t="str">
            <v xml:space="preserve"> </v>
          </cell>
          <cell r="D82">
            <v>-0.14000000000000001</v>
          </cell>
          <cell r="E82">
            <v>0</v>
          </cell>
          <cell r="F82">
            <v>0</v>
          </cell>
          <cell r="G82" t="str">
            <v xml:space="preserve"> </v>
          </cell>
          <cell r="H82">
            <v>-0.14000000000000001</v>
          </cell>
        </row>
        <row r="83">
          <cell r="A83" t="str">
            <v>2108-020-000</v>
          </cell>
          <cell r="B83" t="str">
            <v>Infonavit creditos</v>
          </cell>
          <cell r="C83" t="str">
            <v xml:space="preserve"> </v>
          </cell>
          <cell r="D83">
            <v>0.01</v>
          </cell>
          <cell r="E83">
            <v>0</v>
          </cell>
          <cell r="F83">
            <v>0</v>
          </cell>
          <cell r="G83" t="str">
            <v xml:space="preserve"> </v>
          </cell>
          <cell r="H83">
            <v>0.01</v>
          </cell>
        </row>
        <row r="84">
          <cell r="A84" t="str">
            <v>0000-300-000</v>
          </cell>
          <cell r="B84" t="str">
            <v>CAPITAL</v>
          </cell>
          <cell r="C84" t="str">
            <v xml:space="preserve"> </v>
          </cell>
          <cell r="D84">
            <v>-221330.79</v>
          </cell>
          <cell r="E84">
            <v>0</v>
          </cell>
          <cell r="F84">
            <v>0</v>
          </cell>
          <cell r="G84" t="str">
            <v xml:space="preserve"> </v>
          </cell>
          <cell r="H84">
            <v>-221330.79</v>
          </cell>
        </row>
        <row r="85">
          <cell r="A85" t="str">
            <v>3100-000-000</v>
          </cell>
          <cell r="B85" t="str">
            <v>Aportaciones de Capital</v>
          </cell>
          <cell r="C85" t="str">
            <v xml:space="preserve"> </v>
          </cell>
          <cell r="D85">
            <v>3000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3000</v>
          </cell>
        </row>
        <row r="86">
          <cell r="A86" t="str">
            <v>3300-000-000</v>
          </cell>
          <cell r="B86" t="str">
            <v>Remanente de Ej anteriores</v>
          </cell>
          <cell r="C86" t="str">
            <v xml:space="preserve"> </v>
          </cell>
          <cell r="D86">
            <v>-224330.79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-224330.79</v>
          </cell>
        </row>
        <row r="87">
          <cell r="A87" t="str">
            <v>3300-001-000</v>
          </cell>
          <cell r="B87" t="str">
            <v>Resultado del Ejercicio 2013</v>
          </cell>
          <cell r="C87" t="str">
            <v xml:space="preserve"> </v>
          </cell>
          <cell r="D87">
            <v>-411059.15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-411059.15</v>
          </cell>
        </row>
        <row r="88">
          <cell r="A88" t="str">
            <v>3300-002-000</v>
          </cell>
          <cell r="B88" t="str">
            <v>Resultado del Ejercicio 2014</v>
          </cell>
          <cell r="C88" t="str">
            <v xml:space="preserve"> </v>
          </cell>
          <cell r="D88">
            <v>186728.36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186728.36</v>
          </cell>
        </row>
        <row r="89">
          <cell r="A89" t="str">
            <v>0000-400-000</v>
          </cell>
          <cell r="B89" t="str">
            <v>INGRESOS</v>
          </cell>
          <cell r="C89" t="str">
            <v xml:space="preserve"> </v>
          </cell>
          <cell r="D89">
            <v>4170270.85</v>
          </cell>
          <cell r="E89">
            <v>0</v>
          </cell>
          <cell r="F89">
            <v>667391.05000000005</v>
          </cell>
          <cell r="G89" t="str">
            <v xml:space="preserve"> </v>
          </cell>
          <cell r="H89">
            <v>4837661.9000000004</v>
          </cell>
        </row>
        <row r="90">
          <cell r="A90" t="str">
            <v>4100-002-000</v>
          </cell>
          <cell r="B90" t="str">
            <v>0% Ventas</v>
          </cell>
          <cell r="C90" t="str">
            <v xml:space="preserve"> </v>
          </cell>
          <cell r="D90">
            <v>4167221.15</v>
          </cell>
          <cell r="E90">
            <v>0</v>
          </cell>
          <cell r="F90">
            <v>663430.18999999994</v>
          </cell>
          <cell r="G90" t="str">
            <v xml:space="preserve"> </v>
          </cell>
          <cell r="H90">
            <v>4830651.34</v>
          </cell>
        </row>
        <row r="91">
          <cell r="A91" t="str">
            <v>4100-005-000</v>
          </cell>
          <cell r="B91" t="str">
            <v>Otros Ingresos</v>
          </cell>
          <cell r="C91" t="str">
            <v xml:space="preserve"> </v>
          </cell>
          <cell r="D91">
            <v>2437.8000000000002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2437.8000000000002</v>
          </cell>
        </row>
        <row r="92">
          <cell r="A92" t="str">
            <v>4100-005-002</v>
          </cell>
          <cell r="B92" t="str">
            <v>Reembolso de gastos medicos</v>
          </cell>
          <cell r="C92" t="str">
            <v xml:space="preserve"> </v>
          </cell>
          <cell r="D92">
            <v>2437.8000000000002</v>
          </cell>
          <cell r="E92">
            <v>0</v>
          </cell>
          <cell r="F92">
            <v>0</v>
          </cell>
          <cell r="G92" t="str">
            <v xml:space="preserve"> </v>
          </cell>
          <cell r="H92">
            <v>2437.8000000000002</v>
          </cell>
        </row>
        <row r="93">
          <cell r="A93" t="str">
            <v>4100-006-000</v>
          </cell>
          <cell r="B93" t="str">
            <v>Desc sobre Compras</v>
          </cell>
          <cell r="C93" t="str">
            <v xml:space="preserve"> </v>
          </cell>
          <cell r="D93">
            <v>611.9</v>
          </cell>
          <cell r="E93">
            <v>0</v>
          </cell>
          <cell r="F93">
            <v>3960.86</v>
          </cell>
          <cell r="G93" t="str">
            <v xml:space="preserve"> </v>
          </cell>
          <cell r="H93">
            <v>4572.76</v>
          </cell>
        </row>
        <row r="94">
          <cell r="A94" t="str">
            <v>0000-500-000</v>
          </cell>
          <cell r="B94" t="str">
            <v>GASTOS</v>
          </cell>
          <cell r="C94">
            <v>3890687.22</v>
          </cell>
          <cell r="D94" t="str">
            <v xml:space="preserve"> </v>
          </cell>
          <cell r="E94">
            <v>601120.5</v>
          </cell>
          <cell r="F94">
            <v>0</v>
          </cell>
          <cell r="G94">
            <v>4491807.72</v>
          </cell>
          <cell r="H94" t="str">
            <v xml:space="preserve"> </v>
          </cell>
        </row>
        <row r="95">
          <cell r="A95" t="str">
            <v>5200-000-000</v>
          </cell>
          <cell r="B95" t="str">
            <v>GASTOS DE NOMINA</v>
          </cell>
          <cell r="C95">
            <v>3186510.79</v>
          </cell>
          <cell r="D95" t="str">
            <v xml:space="preserve"> </v>
          </cell>
          <cell r="E95">
            <v>446074.44</v>
          </cell>
          <cell r="F95">
            <v>0</v>
          </cell>
          <cell r="G95">
            <v>3632585.23</v>
          </cell>
          <cell r="H95" t="str">
            <v xml:space="preserve"> </v>
          </cell>
        </row>
        <row r="96">
          <cell r="A96" t="str">
            <v>5200-001-000</v>
          </cell>
          <cell r="B96" t="str">
            <v>Sueldos</v>
          </cell>
          <cell r="C96">
            <v>2500436.56</v>
          </cell>
          <cell r="D96" t="str">
            <v xml:space="preserve"> </v>
          </cell>
          <cell r="E96">
            <v>296857.51</v>
          </cell>
          <cell r="F96">
            <v>0</v>
          </cell>
          <cell r="G96">
            <v>2797294.07</v>
          </cell>
          <cell r="H96" t="str">
            <v xml:space="preserve"> </v>
          </cell>
        </row>
        <row r="97">
          <cell r="A97" t="str">
            <v>5200-004-000</v>
          </cell>
          <cell r="B97" t="str">
            <v>Vales de despensa</v>
          </cell>
          <cell r="C97">
            <v>82800</v>
          </cell>
          <cell r="D97" t="str">
            <v xml:space="preserve"> </v>
          </cell>
          <cell r="E97">
            <v>10800</v>
          </cell>
          <cell r="F97">
            <v>0</v>
          </cell>
          <cell r="G97">
            <v>93600</v>
          </cell>
          <cell r="H97" t="str">
            <v xml:space="preserve"> </v>
          </cell>
        </row>
        <row r="98">
          <cell r="A98" t="str">
            <v>5200-007-000</v>
          </cell>
          <cell r="B98" t="str">
            <v>IMSS</v>
          </cell>
          <cell r="C98">
            <v>146069.31</v>
          </cell>
          <cell r="D98" t="str">
            <v xml:space="preserve"> </v>
          </cell>
          <cell r="E98">
            <v>29035.58</v>
          </cell>
          <cell r="F98">
            <v>0</v>
          </cell>
          <cell r="G98">
            <v>175104.89</v>
          </cell>
          <cell r="H98" t="str">
            <v xml:space="preserve"> </v>
          </cell>
        </row>
        <row r="99">
          <cell r="A99" t="str">
            <v>5200-008-000</v>
          </cell>
          <cell r="B99" t="str">
            <v>SAR</v>
          </cell>
          <cell r="C99">
            <v>118923.35</v>
          </cell>
          <cell r="D99" t="str">
            <v xml:space="preserve"> </v>
          </cell>
          <cell r="E99">
            <v>33696.089999999997</v>
          </cell>
          <cell r="F99">
            <v>0</v>
          </cell>
          <cell r="G99">
            <v>152619.44</v>
          </cell>
          <cell r="H99" t="str">
            <v xml:space="preserve"> </v>
          </cell>
        </row>
        <row r="100">
          <cell r="A100" t="str">
            <v>5200-009-000</v>
          </cell>
          <cell r="B100" t="str">
            <v>INFONAVIT</v>
          </cell>
          <cell r="C100">
            <v>94759.73</v>
          </cell>
          <cell r="D100" t="str">
            <v xml:space="preserve"> </v>
          </cell>
          <cell r="E100">
            <v>32714.63</v>
          </cell>
          <cell r="F100">
            <v>0</v>
          </cell>
          <cell r="G100">
            <v>127474.36</v>
          </cell>
          <cell r="H100" t="str">
            <v xml:space="preserve"> </v>
          </cell>
        </row>
        <row r="101">
          <cell r="A101" t="str">
            <v>5200-010-000</v>
          </cell>
          <cell r="B101" t="str">
            <v>ISN</v>
          </cell>
          <cell r="C101">
            <v>62441</v>
          </cell>
          <cell r="D101" t="str">
            <v xml:space="preserve"> </v>
          </cell>
          <cell r="E101">
            <v>7676</v>
          </cell>
          <cell r="F101">
            <v>0</v>
          </cell>
          <cell r="G101">
            <v>70117</v>
          </cell>
          <cell r="H101" t="str">
            <v xml:space="preserve"> </v>
          </cell>
        </row>
        <row r="102">
          <cell r="A102" t="str">
            <v>5200-012-000</v>
          </cell>
          <cell r="B102" t="str">
            <v>Vacaciones</v>
          </cell>
          <cell r="C102">
            <v>89802.78</v>
          </cell>
          <cell r="D102" t="str">
            <v xml:space="preserve"> </v>
          </cell>
          <cell r="E102">
            <v>27037.13</v>
          </cell>
          <cell r="F102">
            <v>0</v>
          </cell>
          <cell r="G102">
            <v>116839.91</v>
          </cell>
          <cell r="H102" t="str">
            <v xml:space="preserve"> </v>
          </cell>
        </row>
        <row r="103">
          <cell r="A103" t="str">
            <v>5200-013-000</v>
          </cell>
          <cell r="B103" t="str">
            <v>Prima Vacacional</v>
          </cell>
          <cell r="C103">
            <v>13526.02</v>
          </cell>
          <cell r="D103" t="str">
            <v xml:space="preserve"> </v>
          </cell>
          <cell r="E103">
            <v>0</v>
          </cell>
          <cell r="F103">
            <v>0</v>
          </cell>
          <cell r="G103">
            <v>13526.02</v>
          </cell>
          <cell r="H103" t="str">
            <v xml:space="preserve"> </v>
          </cell>
        </row>
        <row r="104">
          <cell r="A104" t="str">
            <v>5200-014-000</v>
          </cell>
          <cell r="B104" t="str">
            <v>Aguinaldo</v>
          </cell>
          <cell r="C104">
            <v>20879.54</v>
          </cell>
          <cell r="D104" t="str">
            <v xml:space="preserve"> </v>
          </cell>
          <cell r="E104">
            <v>0</v>
          </cell>
          <cell r="F104">
            <v>0</v>
          </cell>
          <cell r="G104">
            <v>20879.54</v>
          </cell>
          <cell r="H104" t="str">
            <v xml:space="preserve"> </v>
          </cell>
        </row>
        <row r="105">
          <cell r="A105" t="str">
            <v>5200-021-000</v>
          </cell>
          <cell r="B105" t="str">
            <v>Comisiones Vales</v>
          </cell>
          <cell r="C105">
            <v>6822.5</v>
          </cell>
          <cell r="D105" t="str">
            <v xml:space="preserve"> </v>
          </cell>
          <cell r="E105">
            <v>907.5</v>
          </cell>
          <cell r="F105">
            <v>0</v>
          </cell>
          <cell r="G105">
            <v>7730</v>
          </cell>
          <cell r="H105" t="str">
            <v xml:space="preserve"> </v>
          </cell>
        </row>
        <row r="106">
          <cell r="A106" t="str">
            <v>5200-027-000</v>
          </cell>
          <cell r="B106" t="str">
            <v>Vales de gasolina</v>
          </cell>
          <cell r="C106">
            <v>50050</v>
          </cell>
          <cell r="D106" t="str">
            <v xml:space="preserve"> </v>
          </cell>
          <cell r="E106">
            <v>7350</v>
          </cell>
          <cell r="F106">
            <v>0</v>
          </cell>
          <cell r="G106">
            <v>57400</v>
          </cell>
          <cell r="H106" t="str">
            <v xml:space="preserve"> </v>
          </cell>
        </row>
        <row r="107">
          <cell r="A107" t="str">
            <v>5300-000-000</v>
          </cell>
          <cell r="B107" t="str">
            <v>GASTOS DE ADMINISTRACION</v>
          </cell>
          <cell r="C107">
            <v>567437.17000000004</v>
          </cell>
          <cell r="D107" t="str">
            <v xml:space="preserve"> </v>
          </cell>
          <cell r="E107">
            <v>152104.29999999999</v>
          </cell>
          <cell r="F107">
            <v>0</v>
          </cell>
          <cell r="G107">
            <v>719541.47</v>
          </cell>
          <cell r="H107" t="str">
            <v xml:space="preserve"> </v>
          </cell>
        </row>
        <row r="108">
          <cell r="A108" t="str">
            <v>5300-002-000</v>
          </cell>
          <cell r="B108" t="str">
            <v>Gastos de viaje</v>
          </cell>
          <cell r="C108">
            <v>99970.78</v>
          </cell>
          <cell r="D108" t="str">
            <v xml:space="preserve"> </v>
          </cell>
          <cell r="E108">
            <v>0</v>
          </cell>
          <cell r="F108">
            <v>0</v>
          </cell>
          <cell r="G108">
            <v>99970.78</v>
          </cell>
          <cell r="H108" t="str">
            <v xml:space="preserve"> </v>
          </cell>
        </row>
        <row r="109">
          <cell r="A109" t="str">
            <v>5300-003-000</v>
          </cell>
          <cell r="B109" t="str">
            <v>Eventos especiales</v>
          </cell>
          <cell r="C109">
            <v>30506.06</v>
          </cell>
          <cell r="D109" t="str">
            <v xml:space="preserve"> </v>
          </cell>
          <cell r="E109">
            <v>301.29000000000002</v>
          </cell>
          <cell r="F109">
            <v>0</v>
          </cell>
          <cell r="G109">
            <v>30807.35</v>
          </cell>
          <cell r="H109" t="str">
            <v xml:space="preserve"> </v>
          </cell>
        </row>
        <row r="110">
          <cell r="A110" t="str">
            <v>5300-004-000</v>
          </cell>
          <cell r="B110" t="str">
            <v>Consumo en Restaurantes</v>
          </cell>
          <cell r="C110">
            <v>272.66000000000003</v>
          </cell>
          <cell r="D110" t="str">
            <v xml:space="preserve"> </v>
          </cell>
          <cell r="E110">
            <v>52.61</v>
          </cell>
          <cell r="F110">
            <v>0</v>
          </cell>
          <cell r="G110">
            <v>325.27</v>
          </cell>
          <cell r="H110" t="str">
            <v xml:space="preserve"> </v>
          </cell>
        </row>
        <row r="111">
          <cell r="A111" t="str">
            <v>5300-006-000</v>
          </cell>
          <cell r="B111" t="str">
            <v>Comunicacion</v>
          </cell>
          <cell r="C111">
            <v>25061.54</v>
          </cell>
          <cell r="D111" t="str">
            <v xml:space="preserve"> </v>
          </cell>
          <cell r="E111">
            <v>3317.24</v>
          </cell>
          <cell r="F111">
            <v>0</v>
          </cell>
          <cell r="G111">
            <v>28378.78</v>
          </cell>
          <cell r="H111" t="str">
            <v xml:space="preserve"> </v>
          </cell>
        </row>
        <row r="112">
          <cell r="A112" t="str">
            <v>5300-007-000</v>
          </cell>
          <cell r="B112" t="str">
            <v>Honorarios</v>
          </cell>
          <cell r="C112">
            <v>88500</v>
          </cell>
          <cell r="D112" t="str">
            <v xml:space="preserve"> </v>
          </cell>
          <cell r="E112">
            <v>35500</v>
          </cell>
          <cell r="F112">
            <v>0</v>
          </cell>
          <cell r="G112">
            <v>124000</v>
          </cell>
          <cell r="H112" t="str">
            <v xml:space="preserve"> </v>
          </cell>
        </row>
        <row r="113">
          <cell r="A113" t="str">
            <v>5300-009-000</v>
          </cell>
          <cell r="B113" t="str">
            <v>Arrendamiento</v>
          </cell>
          <cell r="C113">
            <v>120000</v>
          </cell>
          <cell r="D113" t="str">
            <v xml:space="preserve"> </v>
          </cell>
          <cell r="E113">
            <v>28350</v>
          </cell>
          <cell r="F113">
            <v>0</v>
          </cell>
          <cell r="G113">
            <v>148350</v>
          </cell>
          <cell r="H113" t="str">
            <v xml:space="preserve"> </v>
          </cell>
        </row>
        <row r="114">
          <cell r="A114" t="str">
            <v>5300-013-000</v>
          </cell>
          <cell r="B114" t="str">
            <v>Seguros</v>
          </cell>
          <cell r="C114">
            <v>31743.48</v>
          </cell>
          <cell r="D114" t="str">
            <v xml:space="preserve"> </v>
          </cell>
          <cell r="E114">
            <v>10118.98</v>
          </cell>
          <cell r="F114">
            <v>0</v>
          </cell>
          <cell r="G114">
            <v>41862.46</v>
          </cell>
          <cell r="H114" t="str">
            <v xml:space="preserve"> </v>
          </cell>
        </row>
        <row r="115">
          <cell r="A115" t="str">
            <v>5300-017-000</v>
          </cell>
          <cell r="B115" t="str">
            <v>Luz</v>
          </cell>
          <cell r="C115">
            <v>8475.42</v>
          </cell>
          <cell r="D115" t="str">
            <v xml:space="preserve"> </v>
          </cell>
          <cell r="E115">
            <v>5089.57</v>
          </cell>
          <cell r="F115">
            <v>0</v>
          </cell>
          <cell r="G115">
            <v>13564.99</v>
          </cell>
          <cell r="H115" t="str">
            <v xml:space="preserve"> </v>
          </cell>
        </row>
        <row r="116">
          <cell r="A116" t="str">
            <v>5300-018-000</v>
          </cell>
          <cell r="B116" t="str">
            <v>Gas Natural</v>
          </cell>
          <cell r="C116">
            <v>5996.26</v>
          </cell>
          <cell r="D116" t="str">
            <v xml:space="preserve"> </v>
          </cell>
          <cell r="E116">
            <v>0</v>
          </cell>
          <cell r="F116">
            <v>0</v>
          </cell>
          <cell r="G116">
            <v>5996.26</v>
          </cell>
          <cell r="H116" t="str">
            <v xml:space="preserve"> </v>
          </cell>
        </row>
        <row r="117">
          <cell r="A117" t="str">
            <v>5300-019-000</v>
          </cell>
          <cell r="B117" t="str">
            <v>Agua</v>
          </cell>
          <cell r="C117">
            <v>1414.28</v>
          </cell>
          <cell r="D117" t="str">
            <v xml:space="preserve"> </v>
          </cell>
          <cell r="E117">
            <v>202.04</v>
          </cell>
          <cell r="F117">
            <v>0</v>
          </cell>
          <cell r="G117">
            <v>1616.32</v>
          </cell>
          <cell r="H117" t="str">
            <v xml:space="preserve"> </v>
          </cell>
        </row>
        <row r="118">
          <cell r="A118" t="str">
            <v>5300-022-000</v>
          </cell>
          <cell r="B118" t="str">
            <v>Papeleria</v>
          </cell>
          <cell r="C118">
            <v>111.21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111.21</v>
          </cell>
          <cell r="H118" t="str">
            <v xml:space="preserve"> </v>
          </cell>
        </row>
        <row r="119">
          <cell r="A119" t="str">
            <v>5300-027-000</v>
          </cell>
          <cell r="B119" t="str">
            <v>Seguridad e Higiene</v>
          </cell>
          <cell r="C119">
            <v>7200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7200</v>
          </cell>
          <cell r="H119" t="str">
            <v xml:space="preserve"> </v>
          </cell>
        </row>
        <row r="120">
          <cell r="A120" t="str">
            <v>5300-028-000</v>
          </cell>
          <cell r="B120" t="str">
            <v>Recolección de Basura</v>
          </cell>
          <cell r="C120">
            <v>806.4</v>
          </cell>
          <cell r="D120" t="str">
            <v xml:space="preserve"> </v>
          </cell>
          <cell r="E120">
            <v>0</v>
          </cell>
          <cell r="F120">
            <v>0</v>
          </cell>
          <cell r="G120">
            <v>806.4</v>
          </cell>
          <cell r="H120" t="str">
            <v xml:space="preserve"> </v>
          </cell>
        </row>
        <row r="121">
          <cell r="A121" t="str">
            <v>5300-029-000</v>
          </cell>
          <cell r="B121" t="str">
            <v>Sistemas de Alarma</v>
          </cell>
          <cell r="C121">
            <v>2700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2700</v>
          </cell>
          <cell r="H121" t="str">
            <v xml:space="preserve"> </v>
          </cell>
        </row>
        <row r="122">
          <cell r="A122" t="str">
            <v>5300-031-000</v>
          </cell>
          <cell r="B122" t="str">
            <v>Cuotas y Suscripciones</v>
          </cell>
          <cell r="C122">
            <v>180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180</v>
          </cell>
          <cell r="H122" t="str">
            <v xml:space="preserve"> </v>
          </cell>
        </row>
        <row r="123">
          <cell r="A123" t="str">
            <v>5300-032-000</v>
          </cell>
          <cell r="B123" t="str">
            <v>Otros impuestos y derechos</v>
          </cell>
          <cell r="C123">
            <v>1957.09</v>
          </cell>
          <cell r="D123" t="str">
            <v xml:space="preserve"> </v>
          </cell>
          <cell r="E123">
            <v>0</v>
          </cell>
          <cell r="F123">
            <v>0</v>
          </cell>
          <cell r="G123">
            <v>1957.09</v>
          </cell>
          <cell r="H123" t="str">
            <v xml:space="preserve"> </v>
          </cell>
        </row>
        <row r="124">
          <cell r="A124" t="str">
            <v>5300-035-000</v>
          </cell>
          <cell r="B124" t="str">
            <v>Mantenimiento Local</v>
          </cell>
          <cell r="C124">
            <v>28902.53</v>
          </cell>
          <cell r="D124" t="str">
            <v xml:space="preserve"> </v>
          </cell>
          <cell r="E124">
            <v>5541.73</v>
          </cell>
          <cell r="F124">
            <v>0</v>
          </cell>
          <cell r="G124">
            <v>34444.26</v>
          </cell>
          <cell r="H124" t="str">
            <v xml:space="preserve"> </v>
          </cell>
        </row>
        <row r="125">
          <cell r="A125" t="str">
            <v>5300-036-000</v>
          </cell>
          <cell r="B125" t="str">
            <v>Mantenimiento equipo de computo</v>
          </cell>
          <cell r="C125">
            <v>59325.87</v>
          </cell>
          <cell r="D125" t="str">
            <v xml:space="preserve"> </v>
          </cell>
          <cell r="E125">
            <v>61230</v>
          </cell>
          <cell r="F125">
            <v>0</v>
          </cell>
          <cell r="G125">
            <v>120555.87</v>
          </cell>
          <cell r="H125" t="str">
            <v xml:space="preserve"> </v>
          </cell>
        </row>
        <row r="126">
          <cell r="A126" t="str">
            <v>5300-038-000</v>
          </cell>
          <cell r="B126" t="str">
            <v>No deducibles</v>
          </cell>
          <cell r="C126">
            <v>45527.839999999997</v>
          </cell>
          <cell r="D126" t="str">
            <v xml:space="preserve"> </v>
          </cell>
          <cell r="E126">
            <v>656.98</v>
          </cell>
          <cell r="F126">
            <v>0</v>
          </cell>
          <cell r="G126">
            <v>46184.82</v>
          </cell>
          <cell r="H126" t="str">
            <v xml:space="preserve"> </v>
          </cell>
        </row>
        <row r="127">
          <cell r="A127" t="str">
            <v>5300-039-000</v>
          </cell>
          <cell r="B127" t="str">
            <v>Comisiones bancarias</v>
          </cell>
          <cell r="C127">
            <v>1480</v>
          </cell>
          <cell r="D127" t="str">
            <v xml:space="preserve"> </v>
          </cell>
          <cell r="E127">
            <v>235</v>
          </cell>
          <cell r="F127">
            <v>0</v>
          </cell>
          <cell r="G127">
            <v>1715</v>
          </cell>
          <cell r="H127" t="str">
            <v xml:space="preserve"> </v>
          </cell>
        </row>
        <row r="128">
          <cell r="A128" t="str">
            <v>5300-040-000</v>
          </cell>
          <cell r="B128" t="str">
            <v>Actualizacion de contribuciones</v>
          </cell>
          <cell r="C128">
            <v>119.96</v>
          </cell>
          <cell r="D128" t="str">
            <v xml:space="preserve"> </v>
          </cell>
          <cell r="E128">
            <v>0</v>
          </cell>
          <cell r="F128">
            <v>0</v>
          </cell>
          <cell r="G128">
            <v>119.96</v>
          </cell>
          <cell r="H128" t="str">
            <v xml:space="preserve"> </v>
          </cell>
        </row>
        <row r="129">
          <cell r="A129" t="str">
            <v>5300-041-000</v>
          </cell>
          <cell r="B129" t="str">
            <v>Recargos</v>
          </cell>
          <cell r="C129">
            <v>304.3</v>
          </cell>
          <cell r="D129" t="str">
            <v xml:space="preserve"> </v>
          </cell>
          <cell r="E129">
            <v>0</v>
          </cell>
          <cell r="F129">
            <v>0</v>
          </cell>
          <cell r="G129">
            <v>304.3</v>
          </cell>
          <cell r="H129" t="str">
            <v xml:space="preserve"> </v>
          </cell>
        </row>
        <row r="130">
          <cell r="A130" t="str">
            <v>5300-042-000</v>
          </cell>
          <cell r="B130" t="str">
            <v>Diversos</v>
          </cell>
          <cell r="C130">
            <v>1278.04</v>
          </cell>
          <cell r="D130" t="str">
            <v xml:space="preserve"> </v>
          </cell>
          <cell r="E130">
            <v>1508.86</v>
          </cell>
          <cell r="F130">
            <v>0</v>
          </cell>
          <cell r="G130">
            <v>2786.9</v>
          </cell>
          <cell r="H130" t="str">
            <v xml:space="preserve"> </v>
          </cell>
        </row>
        <row r="131">
          <cell r="A131" t="str">
            <v>5300-046-000</v>
          </cell>
          <cell r="B131" t="str">
            <v>Honorarios legales</v>
          </cell>
          <cell r="C131">
            <v>5603.45</v>
          </cell>
          <cell r="D131" t="str">
            <v xml:space="preserve"> </v>
          </cell>
          <cell r="E131">
            <v>0</v>
          </cell>
          <cell r="F131">
            <v>0</v>
          </cell>
          <cell r="G131">
            <v>5603.45</v>
          </cell>
          <cell r="H131" t="str">
            <v xml:space="preserve"> </v>
          </cell>
        </row>
        <row r="132">
          <cell r="A132" t="str">
            <v>5400-000-000</v>
          </cell>
          <cell r="B132" t="str">
            <v>GASTOS DE OPERACION</v>
          </cell>
          <cell r="C132">
            <v>136739.26</v>
          </cell>
          <cell r="D132" t="str">
            <v xml:space="preserve"> </v>
          </cell>
          <cell r="E132">
            <v>2941.76</v>
          </cell>
          <cell r="F132">
            <v>0</v>
          </cell>
          <cell r="G132">
            <v>139681.01999999999</v>
          </cell>
          <cell r="H132" t="str">
            <v xml:space="preserve"> </v>
          </cell>
        </row>
        <row r="133">
          <cell r="A133" t="str">
            <v>5400-001-000</v>
          </cell>
          <cell r="B133" t="str">
            <v>Depreciacion acumulada</v>
          </cell>
          <cell r="C133">
            <v>19526.11</v>
          </cell>
          <cell r="D133" t="str">
            <v xml:space="preserve"> </v>
          </cell>
          <cell r="E133">
            <v>2941.76</v>
          </cell>
          <cell r="F133">
            <v>0</v>
          </cell>
          <cell r="G133">
            <v>22467.87</v>
          </cell>
          <cell r="H133" t="str">
            <v xml:space="preserve"> </v>
          </cell>
        </row>
        <row r="134">
          <cell r="A134" t="str">
            <v>5400-001-004</v>
          </cell>
          <cell r="B134" t="str">
            <v>Machinery &amp; Equipment accumulated depreciation</v>
          </cell>
          <cell r="C134">
            <v>5625.04</v>
          </cell>
          <cell r="D134" t="str">
            <v xml:space="preserve"> </v>
          </cell>
          <cell r="E134">
            <v>829.64</v>
          </cell>
          <cell r="F134">
            <v>0</v>
          </cell>
          <cell r="G134">
            <v>6454.68</v>
          </cell>
          <cell r="H134" t="str">
            <v xml:space="preserve"> </v>
          </cell>
        </row>
        <row r="135">
          <cell r="A135" t="str">
            <v>5400-001-005</v>
          </cell>
          <cell r="B135" t="str">
            <v>Computer Equipment accumulated depreciation</v>
          </cell>
          <cell r="C135">
            <v>13901.07</v>
          </cell>
          <cell r="D135" t="str">
            <v xml:space="preserve"> </v>
          </cell>
          <cell r="E135">
            <v>2112.12</v>
          </cell>
          <cell r="F135">
            <v>0</v>
          </cell>
          <cell r="G135">
            <v>16013.19</v>
          </cell>
          <cell r="H135" t="str">
            <v xml:space="preserve"> </v>
          </cell>
        </row>
        <row r="136">
          <cell r="A136" t="str">
            <v>5400-003-000</v>
          </cell>
          <cell r="B136" t="str">
            <v>Eventos Especiales</v>
          </cell>
          <cell r="C136">
            <v>1043.77</v>
          </cell>
          <cell r="D136" t="str">
            <v xml:space="preserve"> </v>
          </cell>
          <cell r="E136">
            <v>0</v>
          </cell>
          <cell r="F136">
            <v>0</v>
          </cell>
          <cell r="G136">
            <v>1043.77</v>
          </cell>
          <cell r="H136" t="str">
            <v xml:space="preserve"> </v>
          </cell>
        </row>
        <row r="137">
          <cell r="A137" t="str">
            <v>5400-004-000</v>
          </cell>
          <cell r="B137" t="str">
            <v>Consumo en Restaurantes</v>
          </cell>
          <cell r="C137">
            <v>89.83</v>
          </cell>
          <cell r="D137" t="str">
            <v xml:space="preserve"> </v>
          </cell>
          <cell r="E137">
            <v>0</v>
          </cell>
          <cell r="F137">
            <v>0</v>
          </cell>
          <cell r="G137">
            <v>89.83</v>
          </cell>
          <cell r="H137" t="str">
            <v xml:space="preserve"> </v>
          </cell>
        </row>
        <row r="138">
          <cell r="A138" t="str">
            <v>5400-006-000</v>
          </cell>
          <cell r="B138" t="str">
            <v>Comunicación</v>
          </cell>
          <cell r="C138">
            <v>6118.96</v>
          </cell>
          <cell r="D138" t="str">
            <v xml:space="preserve"> </v>
          </cell>
          <cell r="E138">
            <v>0</v>
          </cell>
          <cell r="F138">
            <v>0</v>
          </cell>
          <cell r="G138">
            <v>6118.96</v>
          </cell>
          <cell r="H138" t="str">
            <v xml:space="preserve"> </v>
          </cell>
        </row>
        <row r="139">
          <cell r="A139" t="str">
            <v>5400-007-000</v>
          </cell>
          <cell r="B139" t="str">
            <v>Honorarios</v>
          </cell>
          <cell r="C139">
            <v>48000</v>
          </cell>
          <cell r="D139" t="str">
            <v xml:space="preserve"> </v>
          </cell>
          <cell r="E139">
            <v>0</v>
          </cell>
          <cell r="F139">
            <v>0</v>
          </cell>
          <cell r="G139">
            <v>48000</v>
          </cell>
          <cell r="H139" t="str">
            <v xml:space="preserve"> </v>
          </cell>
        </row>
        <row r="140">
          <cell r="A140" t="str">
            <v>5400-009-000</v>
          </cell>
          <cell r="B140" t="str">
            <v>Arrendamiento</v>
          </cell>
          <cell r="C140">
            <v>52350</v>
          </cell>
          <cell r="D140" t="str">
            <v xml:space="preserve"> </v>
          </cell>
          <cell r="E140">
            <v>0</v>
          </cell>
          <cell r="F140">
            <v>0</v>
          </cell>
          <cell r="G140">
            <v>52350</v>
          </cell>
          <cell r="H140" t="str">
            <v xml:space="preserve"> </v>
          </cell>
        </row>
        <row r="141">
          <cell r="A141" t="str">
            <v>5400-022-000</v>
          </cell>
          <cell r="B141" t="str">
            <v>Papelería y Artículos de Oficina</v>
          </cell>
          <cell r="C141">
            <v>5026.8999999999996</v>
          </cell>
          <cell r="D141" t="str">
            <v xml:space="preserve"> </v>
          </cell>
          <cell r="E141">
            <v>0</v>
          </cell>
          <cell r="F141">
            <v>0</v>
          </cell>
          <cell r="G141">
            <v>5026.8999999999996</v>
          </cell>
          <cell r="H141" t="str">
            <v xml:space="preserve"> </v>
          </cell>
        </row>
        <row r="142">
          <cell r="A142" t="str">
            <v>5400-028-000</v>
          </cell>
          <cell r="B142" t="str">
            <v>Recolección de Basura</v>
          </cell>
          <cell r="C142">
            <v>134.4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134.4</v>
          </cell>
          <cell r="H142" t="str">
            <v xml:space="preserve"> </v>
          </cell>
        </row>
        <row r="143">
          <cell r="A143" t="str">
            <v>5400-038-000</v>
          </cell>
          <cell r="B143" t="str">
            <v>No Deducibles</v>
          </cell>
          <cell r="C143">
            <v>3152.83</v>
          </cell>
          <cell r="D143" t="str">
            <v xml:space="preserve"> </v>
          </cell>
          <cell r="E143">
            <v>0</v>
          </cell>
          <cell r="F143">
            <v>0</v>
          </cell>
          <cell r="G143">
            <v>3152.83</v>
          </cell>
          <cell r="H143" t="str">
            <v xml:space="preserve"> </v>
          </cell>
        </row>
        <row r="144">
          <cell r="A144" t="str">
            <v>5400-046-000</v>
          </cell>
          <cell r="B144" t="str">
            <v>Multas</v>
          </cell>
          <cell r="C144">
            <v>1296.46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1296.46</v>
          </cell>
          <cell r="H144" t="str">
            <v xml:space="preserve"> </v>
          </cell>
        </row>
        <row r="145">
          <cell r="A145" t="str">
            <v>0000-600-000</v>
          </cell>
          <cell r="B145" t="str">
            <v>CIF</v>
          </cell>
          <cell r="C145">
            <v>-1653.12</v>
          </cell>
          <cell r="D145" t="str">
            <v xml:space="preserve"> </v>
          </cell>
          <cell r="E145">
            <v>0.04</v>
          </cell>
          <cell r="F145">
            <v>725.55</v>
          </cell>
          <cell r="G145">
            <v>-2378.63</v>
          </cell>
          <cell r="H145" t="str">
            <v xml:space="preserve"> </v>
          </cell>
        </row>
        <row r="146">
          <cell r="A146" t="str">
            <v>6000-001-000</v>
          </cell>
          <cell r="B146" t="str">
            <v>Utilidad en Cambios</v>
          </cell>
          <cell r="C146" t="str">
            <v xml:space="preserve"> </v>
          </cell>
          <cell r="D146">
            <v>12.05</v>
          </cell>
          <cell r="E146">
            <v>0</v>
          </cell>
          <cell r="F146">
            <v>0</v>
          </cell>
          <cell r="G146" t="str">
            <v xml:space="preserve"> </v>
          </cell>
          <cell r="H146">
            <v>12.05</v>
          </cell>
        </row>
        <row r="147">
          <cell r="A147" t="str">
            <v>6000-002-000</v>
          </cell>
          <cell r="B147" t="str">
            <v>Pérdida en Cambios</v>
          </cell>
          <cell r="C147">
            <v>2223.7600000000002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2223.7600000000002</v>
          </cell>
          <cell r="H147" t="str">
            <v xml:space="preserve"> </v>
          </cell>
        </row>
        <row r="148">
          <cell r="A148" t="str">
            <v>6000-003-000</v>
          </cell>
          <cell r="B148" t="str">
            <v>Intereses Bancarios</v>
          </cell>
          <cell r="C148">
            <v>-3865.13</v>
          </cell>
          <cell r="D148" t="str">
            <v xml:space="preserve"> </v>
          </cell>
          <cell r="E148">
            <v>0</v>
          </cell>
          <cell r="F148">
            <v>725.47</v>
          </cell>
          <cell r="G148">
            <v>-4590.6000000000004</v>
          </cell>
          <cell r="H148" t="str">
            <v xml:space="preserve"> </v>
          </cell>
        </row>
        <row r="149">
          <cell r="A149" t="str">
            <v>6000-005-000</v>
          </cell>
          <cell r="B149" t="str">
            <v>Minor Dif</v>
          </cell>
          <cell r="C149">
            <v>0.3</v>
          </cell>
          <cell r="D149" t="str">
            <v xml:space="preserve"> </v>
          </cell>
          <cell r="E149">
            <v>0.04</v>
          </cell>
          <cell r="F149">
            <v>0.08</v>
          </cell>
          <cell r="G149">
            <v>0.26</v>
          </cell>
          <cell r="H149" t="str">
            <v xml:space="preserve"> </v>
          </cell>
        </row>
        <row r="150">
          <cell r="A150" t="str">
            <v xml:space="preserve"> </v>
          </cell>
        </row>
        <row r="151">
          <cell r="B151" t="str">
            <v>Total cuentas no impresas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B152" t="str">
            <v xml:space="preserve"> </v>
          </cell>
          <cell r="D152">
            <v>0</v>
          </cell>
          <cell r="H152">
            <v>0</v>
          </cell>
        </row>
        <row r="153">
          <cell r="A153" t="str">
            <v xml:space="preserve"> </v>
          </cell>
        </row>
        <row r="155">
          <cell r="B155" t="str">
            <v xml:space="preserve">Sumas Iguales: </v>
          </cell>
          <cell r="C155">
            <v>4879402.53</v>
          </cell>
          <cell r="E155">
            <v>2526071.15</v>
          </cell>
          <cell r="F155">
            <v>2526071.15</v>
          </cell>
          <cell r="G155">
            <v>5615033.3899999997</v>
          </cell>
        </row>
        <row r="156">
          <cell r="D156">
            <v>4879402.53</v>
          </cell>
          <cell r="H156">
            <v>5615033.3899999997</v>
          </cell>
        </row>
      </sheetData>
      <sheetData sheetId="52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30/Sep/2015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1072744.74</v>
          </cell>
          <cell r="D8" t="str">
            <v xml:space="preserve"> </v>
          </cell>
          <cell r="E8">
            <v>1365716.85</v>
          </cell>
          <cell r="F8">
            <v>1327537.74</v>
          </cell>
          <cell r="G8">
            <v>1110923.8500000001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876335.9</v>
          </cell>
          <cell r="D9" t="str">
            <v xml:space="preserve"> </v>
          </cell>
          <cell r="E9">
            <v>1358785.82</v>
          </cell>
          <cell r="F9">
            <v>1322320.94</v>
          </cell>
          <cell r="G9">
            <v>912800.78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649199.07999999996</v>
          </cell>
          <cell r="D10" t="str">
            <v xml:space="preserve"> </v>
          </cell>
          <cell r="E10">
            <v>656826.09</v>
          </cell>
          <cell r="F10">
            <v>619956.21</v>
          </cell>
          <cell r="G10">
            <v>686068.96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1426.35</v>
          </cell>
          <cell r="D11" t="str">
            <v xml:space="preserve"> </v>
          </cell>
          <cell r="E11">
            <v>5000</v>
          </cell>
          <cell r="F11">
            <v>6311.16</v>
          </cell>
          <cell r="G11">
            <v>115.19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144668.32</v>
          </cell>
          <cell r="D12" t="str">
            <v xml:space="preserve"> </v>
          </cell>
          <cell r="E12">
            <v>651278.86</v>
          </cell>
          <cell r="F12">
            <v>613645.05000000005</v>
          </cell>
          <cell r="G12">
            <v>182302.13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503104.41</v>
          </cell>
          <cell r="D13" t="str">
            <v xml:space="preserve"> </v>
          </cell>
          <cell r="E13">
            <v>547.23</v>
          </cell>
          <cell r="F13">
            <v>0</v>
          </cell>
          <cell r="G13">
            <v>503651.64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651278.86</v>
          </cell>
          <cell r="F14">
            <v>651278.86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651278.86</v>
          </cell>
          <cell r="F15">
            <v>651278.86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651278.86</v>
          </cell>
          <cell r="F16">
            <v>651278.86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50671.72</v>
          </cell>
          <cell r="D17" t="str">
            <v xml:space="preserve"> </v>
          </cell>
          <cell r="E17">
            <v>38741.26</v>
          </cell>
          <cell r="F17">
            <v>40966.89</v>
          </cell>
          <cell r="G17">
            <v>48446.09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18786.89</v>
          </cell>
          <cell r="F18">
            <v>18786.89</v>
          </cell>
          <cell r="G18">
            <v>0</v>
          </cell>
          <cell r="H18" t="str">
            <v xml:space="preserve"> </v>
          </cell>
        </row>
        <row r="19">
          <cell r="A19" t="str">
            <v>1105-004-000</v>
          </cell>
          <cell r="B19" t="str">
            <v>IVA Pendiente de Acreditar 16 %</v>
          </cell>
          <cell r="C19">
            <v>0</v>
          </cell>
          <cell r="D19" t="str">
            <v xml:space="preserve"> </v>
          </cell>
          <cell r="E19">
            <v>1200</v>
          </cell>
          <cell r="F19">
            <v>1200</v>
          </cell>
          <cell r="G19">
            <v>0</v>
          </cell>
          <cell r="H19" t="str">
            <v xml:space="preserve"> </v>
          </cell>
        </row>
        <row r="20">
          <cell r="A20" t="str">
            <v>1105-005-000</v>
          </cell>
          <cell r="B20" t="str">
            <v>Saldos a favor de IVA</v>
          </cell>
          <cell r="C20">
            <v>50671.72</v>
          </cell>
          <cell r="D20" t="str">
            <v xml:space="preserve"> </v>
          </cell>
          <cell r="E20">
            <v>18754.37</v>
          </cell>
          <cell r="F20">
            <v>20980</v>
          </cell>
          <cell r="G20">
            <v>48446.09</v>
          </cell>
          <cell r="H20" t="str">
            <v xml:space="preserve"> </v>
          </cell>
        </row>
        <row r="21">
          <cell r="A21" t="str">
            <v>1107-000-000</v>
          </cell>
          <cell r="B21" t="str">
            <v>Anticipo a Proveedores</v>
          </cell>
          <cell r="C21">
            <v>145</v>
          </cell>
          <cell r="D21" t="str">
            <v xml:space="preserve"> </v>
          </cell>
          <cell r="E21">
            <v>997.99</v>
          </cell>
          <cell r="F21">
            <v>0</v>
          </cell>
          <cell r="G21">
            <v>1142.99</v>
          </cell>
          <cell r="H21" t="str">
            <v xml:space="preserve"> </v>
          </cell>
        </row>
        <row r="22">
          <cell r="A22" t="str">
            <v>1107-000-001</v>
          </cell>
          <cell r="B22" t="str">
            <v>Anticipo-varios</v>
          </cell>
          <cell r="C22">
            <v>0</v>
          </cell>
          <cell r="D22" t="str">
            <v xml:space="preserve"> </v>
          </cell>
          <cell r="E22">
            <v>997.99</v>
          </cell>
          <cell r="F22">
            <v>0</v>
          </cell>
          <cell r="G22">
            <v>997.99</v>
          </cell>
          <cell r="H22" t="str">
            <v xml:space="preserve"> </v>
          </cell>
        </row>
        <row r="23">
          <cell r="A23" t="str">
            <v>1107-014-000</v>
          </cell>
          <cell r="B23" t="str">
            <v>N</v>
          </cell>
          <cell r="C23">
            <v>145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145</v>
          </cell>
          <cell r="H23" t="str">
            <v xml:space="preserve"> </v>
          </cell>
        </row>
        <row r="24">
          <cell r="A24" t="str">
            <v>1107-014-001</v>
          </cell>
          <cell r="B24" t="str">
            <v>Navarro Lozano y Compañia, S.C.</v>
          </cell>
          <cell r="C24">
            <v>145</v>
          </cell>
          <cell r="D24" t="str">
            <v xml:space="preserve"> </v>
          </cell>
          <cell r="E24">
            <v>0</v>
          </cell>
          <cell r="F24">
            <v>0</v>
          </cell>
          <cell r="G24">
            <v>145</v>
          </cell>
          <cell r="H24" t="str">
            <v xml:space="preserve"> </v>
          </cell>
        </row>
        <row r="25">
          <cell r="A25" t="str">
            <v>1108-000-000</v>
          </cell>
          <cell r="B25" t="str">
            <v>Pagos Anticipados</v>
          </cell>
          <cell r="C25">
            <v>72754.710000000006</v>
          </cell>
          <cell r="D25" t="str">
            <v xml:space="preserve"> </v>
          </cell>
          <cell r="E25">
            <v>10941.62</v>
          </cell>
          <cell r="F25">
            <v>0</v>
          </cell>
          <cell r="G25">
            <v>83696.33</v>
          </cell>
          <cell r="H25" t="str">
            <v xml:space="preserve"> </v>
          </cell>
        </row>
        <row r="26">
          <cell r="A26" t="str">
            <v>1108-001-000</v>
          </cell>
          <cell r="B26" t="str">
            <v>Pagos Provisionales ISR</v>
          </cell>
          <cell r="C26">
            <v>71181</v>
          </cell>
          <cell r="D26" t="str">
            <v xml:space="preserve"> </v>
          </cell>
          <cell r="E26">
            <v>10694</v>
          </cell>
          <cell r="F26">
            <v>0</v>
          </cell>
          <cell r="G26">
            <v>81875</v>
          </cell>
          <cell r="H26" t="str">
            <v xml:space="preserve"> </v>
          </cell>
        </row>
        <row r="27">
          <cell r="A27" t="str">
            <v>1108-004-000</v>
          </cell>
          <cell r="B27" t="str">
            <v>Retención de ISR Bancaria</v>
          </cell>
          <cell r="C27">
            <v>1573.49</v>
          </cell>
          <cell r="D27" t="str">
            <v xml:space="preserve"> </v>
          </cell>
          <cell r="E27">
            <v>247.62</v>
          </cell>
          <cell r="F27">
            <v>0</v>
          </cell>
          <cell r="G27">
            <v>1821.11</v>
          </cell>
          <cell r="H27" t="str">
            <v xml:space="preserve"> </v>
          </cell>
        </row>
        <row r="28">
          <cell r="A28" t="str">
            <v>1108-005-000</v>
          </cell>
          <cell r="B28" t="str">
            <v>Subsidio al Empleo</v>
          </cell>
          <cell r="C28">
            <v>0.22</v>
          </cell>
          <cell r="D28" t="str">
            <v xml:space="preserve"> </v>
          </cell>
          <cell r="E28">
            <v>0</v>
          </cell>
          <cell r="F28">
            <v>0</v>
          </cell>
          <cell r="G28">
            <v>0.22</v>
          </cell>
          <cell r="H28" t="str">
            <v xml:space="preserve"> </v>
          </cell>
        </row>
        <row r="29">
          <cell r="A29" t="str">
            <v>1109-000-000</v>
          </cell>
          <cell r="B29" t="str">
            <v>Depositos en Garantia</v>
          </cell>
          <cell r="C29">
            <v>24000</v>
          </cell>
          <cell r="D29" t="str">
            <v xml:space="preserve"> </v>
          </cell>
          <cell r="E29">
            <v>0</v>
          </cell>
          <cell r="F29">
            <v>0</v>
          </cell>
          <cell r="G29">
            <v>24000</v>
          </cell>
          <cell r="H29" t="str">
            <v xml:space="preserve"> </v>
          </cell>
        </row>
        <row r="30">
          <cell r="A30" t="str">
            <v>1109-001-000</v>
          </cell>
          <cell r="B30" t="str">
            <v>Depositos en Garantia</v>
          </cell>
          <cell r="C30">
            <v>24000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24000</v>
          </cell>
          <cell r="H30" t="str">
            <v xml:space="preserve"> </v>
          </cell>
        </row>
        <row r="31">
          <cell r="A31" t="str">
            <v>1110-000-000</v>
          </cell>
          <cell r="B31" t="str">
            <v>Seguros Pagados por anticipado</v>
          </cell>
          <cell r="C31">
            <v>79565.39</v>
          </cell>
          <cell r="D31" t="str">
            <v xml:space="preserve"> </v>
          </cell>
          <cell r="E31">
            <v>0</v>
          </cell>
          <cell r="F31">
            <v>10118.98</v>
          </cell>
          <cell r="G31">
            <v>69446.41</v>
          </cell>
          <cell r="H31" t="str">
            <v xml:space="preserve"> </v>
          </cell>
        </row>
        <row r="32">
          <cell r="A32" t="str">
            <v>1110-001-000</v>
          </cell>
          <cell r="B32" t="str">
            <v>Seguro Gastos Medicos</v>
          </cell>
          <cell r="C32">
            <v>77022.899999999994</v>
          </cell>
          <cell r="D32" t="str">
            <v xml:space="preserve"> </v>
          </cell>
          <cell r="E32">
            <v>0</v>
          </cell>
          <cell r="F32">
            <v>9483.3700000000008</v>
          </cell>
          <cell r="G32">
            <v>67539.53</v>
          </cell>
          <cell r="H32" t="str">
            <v xml:space="preserve"> </v>
          </cell>
        </row>
        <row r="33">
          <cell r="A33" t="str">
            <v>1110-002-000</v>
          </cell>
          <cell r="B33" t="str">
            <v>Seguro Local</v>
          </cell>
          <cell r="C33">
            <v>2542.4899999999998</v>
          </cell>
          <cell r="D33" t="str">
            <v xml:space="preserve"> </v>
          </cell>
          <cell r="E33">
            <v>0</v>
          </cell>
          <cell r="F33">
            <v>635.61</v>
          </cell>
          <cell r="G33">
            <v>1906.88</v>
          </cell>
          <cell r="H33" t="str">
            <v xml:space="preserve"> </v>
          </cell>
        </row>
        <row r="34">
          <cell r="A34" t="str">
            <v>1200-000-000</v>
          </cell>
          <cell r="B34" t="str">
            <v>ACTIVOS FIJOS</v>
          </cell>
          <cell r="C34">
            <v>196408.84</v>
          </cell>
          <cell r="D34" t="str">
            <v xml:space="preserve"> </v>
          </cell>
          <cell r="E34">
            <v>6931.03</v>
          </cell>
          <cell r="F34">
            <v>5216.8</v>
          </cell>
          <cell r="G34">
            <v>198123.07</v>
          </cell>
          <cell r="H34" t="str">
            <v xml:space="preserve"> </v>
          </cell>
        </row>
        <row r="35">
          <cell r="A35" t="str">
            <v>1208-000-000</v>
          </cell>
          <cell r="B35" t="str">
            <v>Mobiliario y Eq de oficina</v>
          </cell>
          <cell r="C35">
            <v>119535.31</v>
          </cell>
          <cell r="D35" t="str">
            <v xml:space="preserve"> </v>
          </cell>
          <cell r="E35">
            <v>6931.03</v>
          </cell>
          <cell r="F35">
            <v>0</v>
          </cell>
          <cell r="G35">
            <v>126466.34</v>
          </cell>
          <cell r="H35" t="str">
            <v xml:space="preserve"> </v>
          </cell>
        </row>
        <row r="36">
          <cell r="A36" t="str">
            <v>1208-001-000</v>
          </cell>
          <cell r="B36" t="str">
            <v>Mesa ejecutiva</v>
          </cell>
          <cell r="C36">
            <v>29827.439999999999</v>
          </cell>
          <cell r="D36" t="str">
            <v xml:space="preserve"> </v>
          </cell>
          <cell r="E36">
            <v>0</v>
          </cell>
          <cell r="F36">
            <v>0</v>
          </cell>
          <cell r="G36">
            <v>29827.439999999999</v>
          </cell>
          <cell r="H36" t="str">
            <v xml:space="preserve"> </v>
          </cell>
        </row>
        <row r="37">
          <cell r="A37" t="str">
            <v>1208-002-000</v>
          </cell>
          <cell r="B37" t="str">
            <v>Silla ejecutiva</v>
          </cell>
          <cell r="C37">
            <v>30890.81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30890.81</v>
          </cell>
          <cell r="H37" t="str">
            <v xml:space="preserve"> </v>
          </cell>
        </row>
        <row r="38">
          <cell r="A38" t="str">
            <v>1208-003-000</v>
          </cell>
          <cell r="B38" t="str">
            <v>Gabinete</v>
          </cell>
          <cell r="C38">
            <v>7500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7500</v>
          </cell>
          <cell r="H38" t="str">
            <v xml:space="preserve"> </v>
          </cell>
        </row>
        <row r="39">
          <cell r="A39" t="str">
            <v>1208-004-000</v>
          </cell>
          <cell r="B39" t="str">
            <v>Mesa de juntas</v>
          </cell>
          <cell r="C39">
            <v>8522.1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8522.1</v>
          </cell>
          <cell r="H39" t="str">
            <v xml:space="preserve"> </v>
          </cell>
        </row>
        <row r="40">
          <cell r="A40" t="str">
            <v>1208-005-000</v>
          </cell>
          <cell r="B40" t="str">
            <v>Calentador</v>
          </cell>
          <cell r="C40">
            <v>1415.23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1415.23</v>
          </cell>
          <cell r="H40" t="str">
            <v xml:space="preserve"> </v>
          </cell>
        </row>
        <row r="41">
          <cell r="A41" t="str">
            <v>1208-006-000</v>
          </cell>
          <cell r="B41" t="str">
            <v>Lámpara mesa</v>
          </cell>
          <cell r="C41">
            <v>11723.45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11723.45</v>
          </cell>
          <cell r="H41" t="str">
            <v xml:space="preserve"> </v>
          </cell>
        </row>
        <row r="42">
          <cell r="A42" t="str">
            <v>1208-007-000</v>
          </cell>
          <cell r="B42" t="str">
            <v>Sillón antenas piel vinil chocolate</v>
          </cell>
          <cell r="C42">
            <v>2113.79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2113.79</v>
          </cell>
          <cell r="H42" t="str">
            <v xml:space="preserve"> </v>
          </cell>
        </row>
        <row r="43">
          <cell r="A43" t="str">
            <v>1208-008-000</v>
          </cell>
          <cell r="B43" t="str">
            <v>Lámpara mesa</v>
          </cell>
          <cell r="C43">
            <v>12500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12500</v>
          </cell>
          <cell r="H43" t="str">
            <v xml:space="preserve"> </v>
          </cell>
        </row>
        <row r="44">
          <cell r="A44" t="str">
            <v>1208-009-000</v>
          </cell>
          <cell r="B44" t="str">
            <v>Comedor</v>
          </cell>
          <cell r="C44">
            <v>693.36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693.36</v>
          </cell>
          <cell r="H44" t="str">
            <v xml:space="preserve"> </v>
          </cell>
        </row>
        <row r="45">
          <cell r="A45" t="str">
            <v>1208-010-000</v>
          </cell>
          <cell r="B45" t="str">
            <v>Mesa de juntas ceniz</v>
          </cell>
          <cell r="C45">
            <v>1421.55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1421.55</v>
          </cell>
          <cell r="H45" t="str">
            <v xml:space="preserve"> </v>
          </cell>
        </row>
        <row r="46">
          <cell r="A46" t="str">
            <v>1208-011-000</v>
          </cell>
          <cell r="B46" t="str">
            <v>Escritorio Estudiante Vid Choc</v>
          </cell>
          <cell r="C46">
            <v>10343.1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10343.1</v>
          </cell>
          <cell r="H46" t="str">
            <v xml:space="preserve"> </v>
          </cell>
        </row>
        <row r="47">
          <cell r="A47" t="str">
            <v>1208-012-000</v>
          </cell>
          <cell r="B47" t="str">
            <v>Mesa de TV</v>
          </cell>
          <cell r="C47">
            <v>2584.48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2584.48</v>
          </cell>
          <cell r="H47" t="str">
            <v xml:space="preserve"> </v>
          </cell>
        </row>
        <row r="48">
          <cell r="A48" t="str">
            <v>1208-013-000</v>
          </cell>
          <cell r="B48" t="str">
            <v xml:space="preserve">Gabinetes Led 6 </v>
          </cell>
          <cell r="C48">
            <v>0</v>
          </cell>
          <cell r="D48" t="str">
            <v xml:space="preserve"> </v>
          </cell>
          <cell r="E48">
            <v>3879.31</v>
          </cell>
          <cell r="F48">
            <v>0</v>
          </cell>
          <cell r="G48">
            <v>3879.31</v>
          </cell>
          <cell r="H48" t="str">
            <v xml:space="preserve"> </v>
          </cell>
        </row>
        <row r="49">
          <cell r="A49" t="str">
            <v>1208-014-000</v>
          </cell>
          <cell r="B49" t="str">
            <v>Lum Lin Flour 6</v>
          </cell>
          <cell r="C49">
            <v>0</v>
          </cell>
          <cell r="D49" t="str">
            <v xml:space="preserve"> </v>
          </cell>
          <cell r="E49">
            <v>3051.72</v>
          </cell>
          <cell r="F49">
            <v>0</v>
          </cell>
          <cell r="G49">
            <v>3051.72</v>
          </cell>
          <cell r="H49" t="str">
            <v xml:space="preserve"> </v>
          </cell>
        </row>
        <row r="50">
          <cell r="A50" t="str">
            <v>1209-000-000</v>
          </cell>
          <cell r="B50" t="str">
            <v>Depreciacion acumulada Mob y Eq de oficina</v>
          </cell>
          <cell r="C50" t="str">
            <v xml:space="preserve"> </v>
          </cell>
          <cell r="D50">
            <v>14749.23</v>
          </cell>
          <cell r="E50">
            <v>0</v>
          </cell>
          <cell r="F50">
            <v>1247.2</v>
          </cell>
          <cell r="G50" t="str">
            <v xml:space="preserve"> </v>
          </cell>
          <cell r="H50">
            <v>15996.43</v>
          </cell>
        </row>
        <row r="51">
          <cell r="A51" t="str">
            <v>1210-000-000</v>
          </cell>
          <cell r="B51" t="str">
            <v>Equipo de Computo</v>
          </cell>
          <cell r="C51">
            <v>129721.04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129721.04</v>
          </cell>
          <cell r="H51" t="str">
            <v xml:space="preserve"> </v>
          </cell>
        </row>
        <row r="52">
          <cell r="A52" t="str">
            <v>1210-001-000</v>
          </cell>
          <cell r="B52" t="str">
            <v>Computer Elite 8300</v>
          </cell>
          <cell r="C52">
            <v>49350</v>
          </cell>
          <cell r="D52" t="str">
            <v xml:space="preserve"> </v>
          </cell>
          <cell r="E52">
            <v>0</v>
          </cell>
          <cell r="F52">
            <v>0</v>
          </cell>
          <cell r="G52">
            <v>49350</v>
          </cell>
          <cell r="H52" t="str">
            <v xml:space="preserve"> </v>
          </cell>
        </row>
        <row r="53">
          <cell r="A53" t="str">
            <v>1210-002-000</v>
          </cell>
          <cell r="B53" t="str">
            <v>Multi Brother</v>
          </cell>
          <cell r="C53">
            <v>3188.79</v>
          </cell>
          <cell r="D53" t="str">
            <v xml:space="preserve"> </v>
          </cell>
          <cell r="E53">
            <v>0</v>
          </cell>
          <cell r="F53">
            <v>0</v>
          </cell>
          <cell r="G53">
            <v>3188.79</v>
          </cell>
          <cell r="H53" t="str">
            <v xml:space="preserve"> </v>
          </cell>
        </row>
        <row r="54">
          <cell r="A54" t="str">
            <v>1210-003-000</v>
          </cell>
          <cell r="B54" t="str">
            <v>Sony Video Projector</v>
          </cell>
          <cell r="C54">
            <v>9007.7999999999993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9007.7999999999993</v>
          </cell>
          <cell r="H54" t="str">
            <v xml:space="preserve"> </v>
          </cell>
        </row>
        <row r="55">
          <cell r="A55" t="str">
            <v>1210-004-000</v>
          </cell>
          <cell r="B55" t="str">
            <v>Epson Multifunctional  XP-211</v>
          </cell>
          <cell r="C55">
            <v>991.38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991.38</v>
          </cell>
          <cell r="H55" t="str">
            <v xml:space="preserve"> </v>
          </cell>
        </row>
        <row r="56">
          <cell r="A56" t="str">
            <v>1210-005-000</v>
          </cell>
          <cell r="B56" t="str">
            <v>Combo Inalam desktop 5000 usb</v>
          </cell>
          <cell r="C56">
            <v>922.41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922.41</v>
          </cell>
          <cell r="H56" t="str">
            <v xml:space="preserve"> </v>
          </cell>
        </row>
        <row r="57">
          <cell r="A57" t="str">
            <v>1210-007-000</v>
          </cell>
          <cell r="B57" t="str">
            <v>Computadora de escritorio completa</v>
          </cell>
          <cell r="C57">
            <v>11474.33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11474.33</v>
          </cell>
          <cell r="H57" t="str">
            <v xml:space="preserve"> </v>
          </cell>
        </row>
        <row r="58">
          <cell r="A58" t="str">
            <v>1210-010-000</v>
          </cell>
          <cell r="B58" t="str">
            <v>Memorias RAM DDR3</v>
          </cell>
          <cell r="C58">
            <v>1797.41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1797.41</v>
          </cell>
          <cell r="H58" t="str">
            <v xml:space="preserve"> </v>
          </cell>
        </row>
        <row r="59">
          <cell r="A59" t="str">
            <v>1210-012-000</v>
          </cell>
          <cell r="B59" t="str">
            <v>Laptop V5 Touch</v>
          </cell>
          <cell r="C59">
            <v>9240.8700000000008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9240.8700000000008</v>
          </cell>
          <cell r="H59" t="str">
            <v xml:space="preserve"> </v>
          </cell>
        </row>
        <row r="60">
          <cell r="A60" t="str">
            <v>1210-013-000</v>
          </cell>
          <cell r="B60" t="str">
            <v>Laptop Acer VN7-571 UMACKKLL 3</v>
          </cell>
          <cell r="C60">
            <v>11783.62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11783.62</v>
          </cell>
          <cell r="H60" t="str">
            <v xml:space="preserve"> </v>
          </cell>
        </row>
        <row r="61">
          <cell r="A61" t="str">
            <v>1210-014-000</v>
          </cell>
          <cell r="B61" t="str">
            <v>Computadora de escritorio sin monitor</v>
          </cell>
          <cell r="C61">
            <v>13751.73</v>
          </cell>
          <cell r="D61" t="str">
            <v xml:space="preserve"> </v>
          </cell>
          <cell r="E61">
            <v>0</v>
          </cell>
          <cell r="F61">
            <v>0</v>
          </cell>
          <cell r="G61">
            <v>13751.73</v>
          </cell>
          <cell r="H61" t="str">
            <v xml:space="preserve"> </v>
          </cell>
        </row>
        <row r="62">
          <cell r="A62" t="str">
            <v>1210-015-000</v>
          </cell>
          <cell r="B62" t="str">
            <v>Laptop Acer Roja</v>
          </cell>
          <cell r="C62">
            <v>10140.94</v>
          </cell>
          <cell r="D62" t="str">
            <v xml:space="preserve"> </v>
          </cell>
          <cell r="E62">
            <v>0</v>
          </cell>
          <cell r="F62">
            <v>0</v>
          </cell>
          <cell r="G62">
            <v>10140.94</v>
          </cell>
          <cell r="H62" t="str">
            <v xml:space="preserve"> </v>
          </cell>
        </row>
        <row r="63">
          <cell r="A63" t="str">
            <v>1210-016-000</v>
          </cell>
          <cell r="B63" t="str">
            <v>Monitor HD LED Acer Modelo K242HL</v>
          </cell>
          <cell r="C63">
            <v>8071.76</v>
          </cell>
          <cell r="D63" t="str">
            <v xml:space="preserve"> </v>
          </cell>
          <cell r="E63">
            <v>0</v>
          </cell>
          <cell r="F63">
            <v>0</v>
          </cell>
          <cell r="G63">
            <v>8071.76</v>
          </cell>
          <cell r="H63" t="str">
            <v xml:space="preserve"> </v>
          </cell>
        </row>
        <row r="64">
          <cell r="A64" t="str">
            <v>1211-000-000</v>
          </cell>
          <cell r="B64" t="str">
            <v>Depreciacion acumulada Eq. de Computo</v>
          </cell>
          <cell r="C64" t="str">
            <v xml:space="preserve"> </v>
          </cell>
          <cell r="D64">
            <v>38098.28</v>
          </cell>
          <cell r="E64">
            <v>0</v>
          </cell>
          <cell r="F64">
            <v>3969.6</v>
          </cell>
          <cell r="G64" t="str">
            <v xml:space="preserve"> </v>
          </cell>
          <cell r="H64">
            <v>42067.88</v>
          </cell>
        </row>
        <row r="65">
          <cell r="A65" t="str">
            <v>0000-200-000</v>
          </cell>
          <cell r="B65" t="str">
            <v>PASIVOS</v>
          </cell>
          <cell r="C65" t="str">
            <v xml:space="preserve"> </v>
          </cell>
          <cell r="D65">
            <v>945842.72</v>
          </cell>
          <cell r="E65">
            <v>466624.65</v>
          </cell>
          <cell r="F65">
            <v>396642.76</v>
          </cell>
          <cell r="G65" t="str">
            <v xml:space="preserve"> </v>
          </cell>
          <cell r="H65">
            <v>875860.83</v>
          </cell>
        </row>
        <row r="66">
          <cell r="A66" t="str">
            <v>2100-000-000</v>
          </cell>
          <cell r="B66" t="str">
            <v>PASIVO CIRCULANTE</v>
          </cell>
          <cell r="C66" t="str">
            <v xml:space="preserve"> </v>
          </cell>
          <cell r="D66">
            <v>945842.72</v>
          </cell>
          <cell r="E66">
            <v>466624.65</v>
          </cell>
          <cell r="F66">
            <v>396642.76</v>
          </cell>
          <cell r="G66" t="str">
            <v xml:space="preserve"> </v>
          </cell>
          <cell r="H66">
            <v>875860.83</v>
          </cell>
        </row>
        <row r="67">
          <cell r="A67" t="str">
            <v>2103-000-000</v>
          </cell>
          <cell r="B67" t="str">
            <v>Proveedores</v>
          </cell>
          <cell r="C67" t="str">
            <v xml:space="preserve"> </v>
          </cell>
          <cell r="D67">
            <v>0</v>
          </cell>
          <cell r="E67">
            <v>8700</v>
          </cell>
          <cell r="F67">
            <v>8700</v>
          </cell>
          <cell r="G67" t="str">
            <v xml:space="preserve"> </v>
          </cell>
          <cell r="H67">
            <v>0</v>
          </cell>
        </row>
        <row r="68">
          <cell r="A68" t="str">
            <v>2103-007-000</v>
          </cell>
          <cell r="B68" t="str">
            <v>G</v>
          </cell>
          <cell r="C68" t="str">
            <v xml:space="preserve"> </v>
          </cell>
          <cell r="D68">
            <v>0</v>
          </cell>
          <cell r="E68">
            <v>8700</v>
          </cell>
          <cell r="F68">
            <v>8700</v>
          </cell>
          <cell r="G68" t="str">
            <v xml:space="preserve"> </v>
          </cell>
          <cell r="H68">
            <v>0</v>
          </cell>
        </row>
        <row r="69">
          <cell r="A69" t="str">
            <v>2103-007-001</v>
          </cell>
          <cell r="B69" t="str">
            <v>Galaz Yamazaki Ruiz Urquiza SC</v>
          </cell>
          <cell r="C69" t="str">
            <v xml:space="preserve"> </v>
          </cell>
          <cell r="D69">
            <v>0</v>
          </cell>
          <cell r="E69">
            <v>8700</v>
          </cell>
          <cell r="F69">
            <v>8700</v>
          </cell>
          <cell r="G69" t="str">
            <v xml:space="preserve"> </v>
          </cell>
          <cell r="H69">
            <v>0</v>
          </cell>
        </row>
        <row r="70">
          <cell r="A70" t="str">
            <v>2106-000-000</v>
          </cell>
          <cell r="B70" t="str">
            <v>Acreedores Diversos</v>
          </cell>
          <cell r="C70" t="str">
            <v xml:space="preserve"> </v>
          </cell>
          <cell r="D70">
            <v>761024.33</v>
          </cell>
          <cell r="E70">
            <v>273108.2</v>
          </cell>
          <cell r="F70">
            <v>273108.2</v>
          </cell>
          <cell r="G70" t="str">
            <v xml:space="preserve"> </v>
          </cell>
          <cell r="H70">
            <v>761024.33</v>
          </cell>
        </row>
        <row r="71">
          <cell r="A71" t="str">
            <v>2106-001-000</v>
          </cell>
          <cell r="B71" t="str">
            <v>A</v>
          </cell>
          <cell r="C71" t="str">
            <v xml:space="preserve"> </v>
          </cell>
          <cell r="D71">
            <v>761024.3</v>
          </cell>
          <cell r="E71">
            <v>0</v>
          </cell>
          <cell r="F71">
            <v>0</v>
          </cell>
          <cell r="G71" t="str">
            <v xml:space="preserve"> </v>
          </cell>
          <cell r="H71">
            <v>761024.3</v>
          </cell>
        </row>
        <row r="72">
          <cell r="A72" t="str">
            <v>2106-001-001</v>
          </cell>
          <cell r="B72" t="str">
            <v>1A Auto Inc.</v>
          </cell>
          <cell r="C72" t="str">
            <v xml:space="preserve"> </v>
          </cell>
          <cell r="D72">
            <v>761024.3</v>
          </cell>
          <cell r="E72">
            <v>0</v>
          </cell>
          <cell r="F72">
            <v>0</v>
          </cell>
          <cell r="G72" t="str">
            <v xml:space="preserve"> </v>
          </cell>
          <cell r="H72">
            <v>761024.3</v>
          </cell>
        </row>
        <row r="73">
          <cell r="A73" t="str">
            <v>2106-017-000</v>
          </cell>
          <cell r="B73" t="str">
            <v>P</v>
          </cell>
          <cell r="C73" t="str">
            <v xml:space="preserve"> </v>
          </cell>
          <cell r="D73">
            <v>0.03</v>
          </cell>
          <cell r="E73">
            <v>0</v>
          </cell>
          <cell r="F73">
            <v>0</v>
          </cell>
          <cell r="G73" t="str">
            <v xml:space="preserve"> </v>
          </cell>
          <cell r="H73">
            <v>0.03</v>
          </cell>
        </row>
        <row r="74">
          <cell r="A74" t="str">
            <v>2106-017-002</v>
          </cell>
          <cell r="B74" t="str">
            <v>PTU</v>
          </cell>
          <cell r="C74" t="str">
            <v xml:space="preserve"> </v>
          </cell>
          <cell r="D74">
            <v>0.03</v>
          </cell>
          <cell r="E74">
            <v>0</v>
          </cell>
          <cell r="F74">
            <v>0</v>
          </cell>
          <cell r="G74" t="str">
            <v xml:space="preserve"> </v>
          </cell>
          <cell r="H74">
            <v>0.03</v>
          </cell>
        </row>
        <row r="75">
          <cell r="A75" t="str">
            <v>2106-023-000</v>
          </cell>
          <cell r="B75" t="str">
            <v>V</v>
          </cell>
          <cell r="C75" t="str">
            <v xml:space="preserve"> </v>
          </cell>
          <cell r="D75">
            <v>0</v>
          </cell>
          <cell r="E75">
            <v>18150</v>
          </cell>
          <cell r="F75">
            <v>18150</v>
          </cell>
          <cell r="G75" t="str">
            <v xml:space="preserve"> </v>
          </cell>
          <cell r="H75">
            <v>0</v>
          </cell>
        </row>
        <row r="76">
          <cell r="A76" t="str">
            <v>2106-023-001</v>
          </cell>
          <cell r="B76" t="str">
            <v>Vales de despensa</v>
          </cell>
          <cell r="C76" t="str">
            <v xml:space="preserve"> </v>
          </cell>
          <cell r="D76">
            <v>0</v>
          </cell>
          <cell r="E76">
            <v>10800</v>
          </cell>
          <cell r="F76">
            <v>10800</v>
          </cell>
          <cell r="G76" t="str">
            <v xml:space="preserve"> </v>
          </cell>
          <cell r="H76">
            <v>0</v>
          </cell>
        </row>
        <row r="77">
          <cell r="A77" t="str">
            <v>2106-023-002</v>
          </cell>
          <cell r="B77" t="str">
            <v>Vales de gasolina</v>
          </cell>
          <cell r="C77" t="str">
            <v xml:space="preserve"> </v>
          </cell>
          <cell r="D77">
            <v>0</v>
          </cell>
          <cell r="E77">
            <v>7350</v>
          </cell>
          <cell r="F77">
            <v>7350</v>
          </cell>
          <cell r="G77" t="str">
            <v xml:space="preserve"> </v>
          </cell>
          <cell r="H77">
            <v>0</v>
          </cell>
        </row>
        <row r="78">
          <cell r="A78" t="str">
            <v>2106-100-000</v>
          </cell>
          <cell r="B78" t="str">
            <v>Sueldos por pagar</v>
          </cell>
          <cell r="C78" t="str">
            <v xml:space="preserve"> </v>
          </cell>
          <cell r="D78">
            <v>0</v>
          </cell>
          <cell r="E78">
            <v>254958.2</v>
          </cell>
          <cell r="F78">
            <v>254958.2</v>
          </cell>
          <cell r="G78" t="str">
            <v xml:space="preserve"> </v>
          </cell>
          <cell r="H78">
            <v>0</v>
          </cell>
        </row>
        <row r="79">
          <cell r="A79" t="str">
            <v>2108-000-000</v>
          </cell>
          <cell r="B79" t="str">
            <v>Impuestos por pagar</v>
          </cell>
          <cell r="C79" t="str">
            <v xml:space="preserve"> </v>
          </cell>
          <cell r="D79">
            <v>184818.39</v>
          </cell>
          <cell r="E79">
            <v>184816.45</v>
          </cell>
          <cell r="F79">
            <v>114834.56</v>
          </cell>
          <cell r="G79" t="str">
            <v xml:space="preserve"> </v>
          </cell>
          <cell r="H79">
            <v>114836.5</v>
          </cell>
        </row>
        <row r="80">
          <cell r="A80" t="str">
            <v>2108-001-000</v>
          </cell>
          <cell r="B80" t="str">
            <v>ISPT</v>
          </cell>
          <cell r="C80" t="str">
            <v xml:space="preserve"> </v>
          </cell>
          <cell r="D80">
            <v>72423.070000000007</v>
          </cell>
          <cell r="E80">
            <v>72421</v>
          </cell>
          <cell r="F80">
            <v>72923.94</v>
          </cell>
          <cell r="G80" t="str">
            <v xml:space="preserve"> </v>
          </cell>
          <cell r="H80">
            <v>72926.009999999995</v>
          </cell>
        </row>
        <row r="81">
          <cell r="A81" t="str">
            <v>2108-002-000</v>
          </cell>
          <cell r="B81" t="str">
            <v>ISN</v>
          </cell>
          <cell r="C81" t="str">
            <v xml:space="preserve"> </v>
          </cell>
          <cell r="D81">
            <v>7676</v>
          </cell>
          <cell r="E81">
            <v>7676</v>
          </cell>
          <cell r="F81">
            <v>7985</v>
          </cell>
          <cell r="G81" t="str">
            <v xml:space="preserve"> </v>
          </cell>
          <cell r="H81">
            <v>7985</v>
          </cell>
        </row>
        <row r="82">
          <cell r="A82" t="str">
            <v>2108-003-000</v>
          </cell>
          <cell r="B82" t="str">
            <v>IMSS</v>
          </cell>
          <cell r="C82" t="str">
            <v xml:space="preserve"> </v>
          </cell>
          <cell r="D82">
            <v>30947.99</v>
          </cell>
          <cell r="E82">
            <v>30947.99</v>
          </cell>
          <cell r="F82">
            <v>30187.54</v>
          </cell>
          <cell r="G82" t="str">
            <v xml:space="preserve"> </v>
          </cell>
          <cell r="H82">
            <v>30187.54</v>
          </cell>
        </row>
        <row r="83">
          <cell r="A83" t="str">
            <v>2108-004-000</v>
          </cell>
          <cell r="B83" t="str">
            <v>INFONAVIT</v>
          </cell>
          <cell r="C83" t="str">
            <v xml:space="preserve"> </v>
          </cell>
          <cell r="D83">
            <v>32714.63</v>
          </cell>
          <cell r="E83">
            <v>32714.63</v>
          </cell>
          <cell r="F83">
            <v>0</v>
          </cell>
          <cell r="G83" t="str">
            <v xml:space="preserve"> </v>
          </cell>
          <cell r="H83">
            <v>0</v>
          </cell>
        </row>
        <row r="84">
          <cell r="A84" t="str">
            <v>2108-005-000</v>
          </cell>
          <cell r="B84" t="str">
            <v>SAR</v>
          </cell>
          <cell r="C84" t="str">
            <v xml:space="preserve"> </v>
          </cell>
          <cell r="D84">
            <v>41056.83</v>
          </cell>
          <cell r="E84">
            <v>41056.83</v>
          </cell>
          <cell r="F84">
            <v>3738.08</v>
          </cell>
          <cell r="G84" t="str">
            <v xml:space="preserve"> </v>
          </cell>
          <cell r="H84">
            <v>3738.08</v>
          </cell>
        </row>
        <row r="85">
          <cell r="A85" t="str">
            <v>2108-008-000</v>
          </cell>
          <cell r="B85" t="str">
            <v>ISPT Assimilated</v>
          </cell>
          <cell r="C85" t="str">
            <v xml:space="preserve"> </v>
          </cell>
          <cell r="D85">
            <v>-0.14000000000000001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-0.14000000000000001</v>
          </cell>
        </row>
        <row r="86">
          <cell r="A86" t="str">
            <v>2108-020-000</v>
          </cell>
          <cell r="B86" t="str">
            <v>Infonavit creditos</v>
          </cell>
          <cell r="C86" t="str">
            <v xml:space="preserve"> </v>
          </cell>
          <cell r="D86">
            <v>0.01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0.01</v>
          </cell>
        </row>
        <row r="87">
          <cell r="A87" t="str">
            <v>0000-300-000</v>
          </cell>
          <cell r="B87" t="str">
            <v>CAPITAL</v>
          </cell>
          <cell r="C87" t="str">
            <v xml:space="preserve"> </v>
          </cell>
          <cell r="D87">
            <v>-221330.79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-221330.79</v>
          </cell>
        </row>
        <row r="88">
          <cell r="A88" t="str">
            <v>3100-000-000</v>
          </cell>
          <cell r="B88" t="str">
            <v>Aportaciones de Capital</v>
          </cell>
          <cell r="C88" t="str">
            <v xml:space="preserve"> </v>
          </cell>
          <cell r="D88">
            <v>3000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3000</v>
          </cell>
        </row>
        <row r="89">
          <cell r="A89" t="str">
            <v>3300-000-000</v>
          </cell>
          <cell r="B89" t="str">
            <v>Remanente de Ej anteriores</v>
          </cell>
          <cell r="C89" t="str">
            <v xml:space="preserve"> </v>
          </cell>
          <cell r="D89">
            <v>-224330.79</v>
          </cell>
          <cell r="E89">
            <v>0</v>
          </cell>
          <cell r="F89">
            <v>0</v>
          </cell>
          <cell r="G89" t="str">
            <v xml:space="preserve"> </v>
          </cell>
          <cell r="H89">
            <v>-224330.79</v>
          </cell>
        </row>
        <row r="90">
          <cell r="A90" t="str">
            <v>3300-001-000</v>
          </cell>
          <cell r="B90" t="str">
            <v>Resultado del Ejercicio 2013</v>
          </cell>
          <cell r="C90" t="str">
            <v xml:space="preserve"> </v>
          </cell>
          <cell r="D90">
            <v>-411059.15</v>
          </cell>
          <cell r="E90">
            <v>0</v>
          </cell>
          <cell r="F90">
            <v>0</v>
          </cell>
          <cell r="G90" t="str">
            <v xml:space="preserve"> </v>
          </cell>
          <cell r="H90">
            <v>-411059.15</v>
          </cell>
        </row>
        <row r="91">
          <cell r="A91" t="str">
            <v>3300-002-000</v>
          </cell>
          <cell r="B91" t="str">
            <v>Resultado del Ejercicio 2014</v>
          </cell>
          <cell r="C91" t="str">
            <v xml:space="preserve"> </v>
          </cell>
          <cell r="D91">
            <v>186728.36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186728.36</v>
          </cell>
        </row>
        <row r="92">
          <cell r="A92" t="str">
            <v>0000-400-000</v>
          </cell>
          <cell r="B92" t="str">
            <v>INGRESOS</v>
          </cell>
          <cell r="C92" t="str">
            <v xml:space="preserve"> </v>
          </cell>
          <cell r="D92">
            <v>4837661.9000000004</v>
          </cell>
          <cell r="E92">
            <v>0</v>
          </cell>
          <cell r="F92">
            <v>651482.25</v>
          </cell>
          <cell r="G92" t="str">
            <v xml:space="preserve"> </v>
          </cell>
          <cell r="H92">
            <v>5489144.1500000004</v>
          </cell>
        </row>
        <row r="93">
          <cell r="A93" t="str">
            <v>4100-002-000</v>
          </cell>
          <cell r="B93" t="str">
            <v>0% Ventas</v>
          </cell>
          <cell r="C93" t="str">
            <v xml:space="preserve"> </v>
          </cell>
          <cell r="D93">
            <v>4830651.34</v>
          </cell>
          <cell r="E93">
            <v>0</v>
          </cell>
          <cell r="F93">
            <v>651278.86</v>
          </cell>
          <cell r="G93" t="str">
            <v xml:space="preserve"> </v>
          </cell>
          <cell r="H93">
            <v>5481930.2000000002</v>
          </cell>
        </row>
        <row r="94">
          <cell r="A94" t="str">
            <v>4100-005-000</v>
          </cell>
          <cell r="B94" t="str">
            <v>Otros Ingresos</v>
          </cell>
          <cell r="C94" t="str">
            <v xml:space="preserve"> </v>
          </cell>
          <cell r="D94">
            <v>2437.8000000000002</v>
          </cell>
          <cell r="E94">
            <v>0</v>
          </cell>
          <cell r="F94">
            <v>0</v>
          </cell>
          <cell r="G94" t="str">
            <v xml:space="preserve"> </v>
          </cell>
          <cell r="H94">
            <v>2437.8000000000002</v>
          </cell>
        </row>
        <row r="95">
          <cell r="A95" t="str">
            <v>4100-005-002</v>
          </cell>
          <cell r="B95" t="str">
            <v>Reembolso de gastos medicos</v>
          </cell>
          <cell r="C95" t="str">
            <v xml:space="preserve"> </v>
          </cell>
          <cell r="D95">
            <v>2437.8000000000002</v>
          </cell>
          <cell r="E95">
            <v>0</v>
          </cell>
          <cell r="F95">
            <v>0</v>
          </cell>
          <cell r="G95" t="str">
            <v xml:space="preserve"> </v>
          </cell>
          <cell r="H95">
            <v>2437.8000000000002</v>
          </cell>
        </row>
        <row r="96">
          <cell r="A96" t="str">
            <v>4100-006-000</v>
          </cell>
          <cell r="B96" t="str">
            <v>Desc sobre Compras</v>
          </cell>
          <cell r="C96" t="str">
            <v xml:space="preserve"> </v>
          </cell>
          <cell r="D96">
            <v>4572.76</v>
          </cell>
          <cell r="E96">
            <v>0</v>
          </cell>
          <cell r="F96">
            <v>203.39</v>
          </cell>
          <cell r="G96" t="str">
            <v xml:space="preserve"> </v>
          </cell>
          <cell r="H96">
            <v>4776.1499999999996</v>
          </cell>
        </row>
        <row r="97">
          <cell r="A97" t="str">
            <v>0000-500-000</v>
          </cell>
          <cell r="B97" t="str">
            <v>GASTOS</v>
          </cell>
          <cell r="C97">
            <v>4491807.72</v>
          </cell>
          <cell r="D97" t="str">
            <v xml:space="preserve"> </v>
          </cell>
          <cell r="E97">
            <v>544116.07999999996</v>
          </cell>
          <cell r="F97">
            <v>0</v>
          </cell>
          <cell r="G97">
            <v>5035923.8</v>
          </cell>
          <cell r="H97" t="str">
            <v xml:space="preserve"> </v>
          </cell>
        </row>
        <row r="98">
          <cell r="A98" t="str">
            <v>5200-000-000</v>
          </cell>
          <cell r="B98" t="str">
            <v>GASTOS DE NOMINA</v>
          </cell>
          <cell r="C98">
            <v>3632585.23</v>
          </cell>
          <cell r="D98" t="str">
            <v xml:space="preserve"> </v>
          </cell>
          <cell r="E98">
            <v>388850.24</v>
          </cell>
          <cell r="F98">
            <v>0</v>
          </cell>
          <cell r="G98">
            <v>4021435.47</v>
          </cell>
          <cell r="H98" t="str">
            <v xml:space="preserve"> </v>
          </cell>
        </row>
        <row r="99">
          <cell r="A99" t="str">
            <v>5200-001-000</v>
          </cell>
          <cell r="B99" t="str">
            <v>Sueldos</v>
          </cell>
          <cell r="C99">
            <v>2797294.07</v>
          </cell>
          <cell r="D99" t="str">
            <v xml:space="preserve"> </v>
          </cell>
          <cell r="E99">
            <v>324498.98</v>
          </cell>
          <cell r="F99">
            <v>0</v>
          </cell>
          <cell r="G99">
            <v>3121793.05</v>
          </cell>
          <cell r="H99" t="str">
            <v xml:space="preserve"> </v>
          </cell>
        </row>
        <row r="100">
          <cell r="A100" t="str">
            <v>5200-004-000</v>
          </cell>
          <cell r="B100" t="str">
            <v>Vales de despensa</v>
          </cell>
          <cell r="C100">
            <v>93600</v>
          </cell>
          <cell r="D100" t="str">
            <v xml:space="preserve"> </v>
          </cell>
          <cell r="E100">
            <v>10800</v>
          </cell>
          <cell r="F100">
            <v>0</v>
          </cell>
          <cell r="G100">
            <v>104400</v>
          </cell>
          <cell r="H100" t="str">
            <v xml:space="preserve"> </v>
          </cell>
        </row>
        <row r="101">
          <cell r="A101" t="str">
            <v>5200-007-000</v>
          </cell>
          <cell r="B101" t="str">
            <v>IMSS</v>
          </cell>
          <cell r="C101">
            <v>175104.89</v>
          </cell>
          <cell r="D101" t="str">
            <v xml:space="preserve"> </v>
          </cell>
          <cell r="E101">
            <v>24881.599999999999</v>
          </cell>
          <cell r="F101">
            <v>0</v>
          </cell>
          <cell r="G101">
            <v>199986.49</v>
          </cell>
          <cell r="H101" t="str">
            <v xml:space="preserve"> </v>
          </cell>
        </row>
        <row r="102">
          <cell r="A102" t="str">
            <v>5200-008-000</v>
          </cell>
          <cell r="B102" t="str">
            <v>SAR</v>
          </cell>
          <cell r="C102">
            <v>152619.44</v>
          </cell>
          <cell r="D102" t="str">
            <v xml:space="preserve"> </v>
          </cell>
          <cell r="E102">
            <v>0</v>
          </cell>
          <cell r="F102">
            <v>0</v>
          </cell>
          <cell r="G102">
            <v>152619.44</v>
          </cell>
          <cell r="H102" t="str">
            <v xml:space="preserve"> </v>
          </cell>
        </row>
        <row r="103">
          <cell r="A103" t="str">
            <v>5200-009-000</v>
          </cell>
          <cell r="B103" t="str">
            <v>INFONAVIT</v>
          </cell>
          <cell r="C103">
            <v>127474.36</v>
          </cell>
          <cell r="D103" t="str">
            <v xml:space="preserve"> </v>
          </cell>
          <cell r="E103">
            <v>0</v>
          </cell>
          <cell r="F103">
            <v>0</v>
          </cell>
          <cell r="G103">
            <v>127474.36</v>
          </cell>
          <cell r="H103" t="str">
            <v xml:space="preserve"> </v>
          </cell>
        </row>
        <row r="104">
          <cell r="A104" t="str">
            <v>5200-010-000</v>
          </cell>
          <cell r="B104" t="str">
            <v>ISN</v>
          </cell>
          <cell r="C104">
            <v>70117</v>
          </cell>
          <cell r="D104" t="str">
            <v xml:space="preserve"> </v>
          </cell>
          <cell r="E104">
            <v>7985</v>
          </cell>
          <cell r="F104">
            <v>0</v>
          </cell>
          <cell r="G104">
            <v>78102</v>
          </cell>
          <cell r="H104" t="str">
            <v xml:space="preserve"> </v>
          </cell>
        </row>
        <row r="105">
          <cell r="A105" t="str">
            <v>5200-012-000</v>
          </cell>
          <cell r="B105" t="str">
            <v>Vacaciones</v>
          </cell>
          <cell r="C105">
            <v>116839.91</v>
          </cell>
          <cell r="D105" t="str">
            <v xml:space="preserve"> </v>
          </cell>
          <cell r="E105">
            <v>1533.82</v>
          </cell>
          <cell r="F105">
            <v>0</v>
          </cell>
          <cell r="G105">
            <v>118373.73</v>
          </cell>
          <cell r="H105" t="str">
            <v xml:space="preserve"> </v>
          </cell>
        </row>
        <row r="106">
          <cell r="A106" t="str">
            <v>5200-013-000</v>
          </cell>
          <cell r="B106" t="str">
            <v>Prima Vacacional</v>
          </cell>
          <cell r="C106">
            <v>13526.02</v>
          </cell>
          <cell r="D106" t="str">
            <v xml:space="preserve"> </v>
          </cell>
          <cell r="E106">
            <v>10893.34</v>
          </cell>
          <cell r="F106">
            <v>0</v>
          </cell>
          <cell r="G106">
            <v>24419.360000000001</v>
          </cell>
          <cell r="H106" t="str">
            <v xml:space="preserve"> </v>
          </cell>
        </row>
        <row r="107">
          <cell r="A107" t="str">
            <v>5200-014-000</v>
          </cell>
          <cell r="B107" t="str">
            <v>Aguinaldo</v>
          </cell>
          <cell r="C107">
            <v>20879.54</v>
          </cell>
          <cell r="D107" t="str">
            <v xml:space="preserve"> </v>
          </cell>
          <cell r="E107">
            <v>0</v>
          </cell>
          <cell r="F107">
            <v>0</v>
          </cell>
          <cell r="G107">
            <v>20879.54</v>
          </cell>
          <cell r="H107" t="str">
            <v xml:space="preserve"> </v>
          </cell>
        </row>
        <row r="108">
          <cell r="A108" t="str">
            <v>5200-021-000</v>
          </cell>
          <cell r="B108" t="str">
            <v>Comisiones Vales</v>
          </cell>
          <cell r="C108">
            <v>7730</v>
          </cell>
          <cell r="D108" t="str">
            <v xml:space="preserve"> </v>
          </cell>
          <cell r="E108">
            <v>907.5</v>
          </cell>
          <cell r="F108">
            <v>0</v>
          </cell>
          <cell r="G108">
            <v>8637.5</v>
          </cell>
          <cell r="H108" t="str">
            <v xml:space="preserve"> </v>
          </cell>
        </row>
        <row r="109">
          <cell r="A109" t="str">
            <v>5200-027-000</v>
          </cell>
          <cell r="B109" t="str">
            <v>Vales de gasolina</v>
          </cell>
          <cell r="C109">
            <v>57400</v>
          </cell>
          <cell r="D109" t="str">
            <v xml:space="preserve"> </v>
          </cell>
          <cell r="E109">
            <v>7350</v>
          </cell>
          <cell r="F109">
            <v>0</v>
          </cell>
          <cell r="G109">
            <v>64750</v>
          </cell>
          <cell r="H109" t="str">
            <v xml:space="preserve"> </v>
          </cell>
        </row>
        <row r="110">
          <cell r="A110" t="str">
            <v>5300-000-000</v>
          </cell>
          <cell r="B110" t="str">
            <v>GASTOS DE ADMINISTRACION</v>
          </cell>
          <cell r="C110">
            <v>719541.47</v>
          </cell>
          <cell r="D110" t="str">
            <v xml:space="preserve"> </v>
          </cell>
          <cell r="E110">
            <v>122049.04</v>
          </cell>
          <cell r="F110">
            <v>0</v>
          </cell>
          <cell r="G110">
            <v>841590.51</v>
          </cell>
          <cell r="H110" t="str">
            <v xml:space="preserve"> </v>
          </cell>
        </row>
        <row r="111">
          <cell r="A111" t="str">
            <v>5300-002-000</v>
          </cell>
          <cell r="B111" t="str">
            <v>Gastos de viaje</v>
          </cell>
          <cell r="C111">
            <v>99970.78</v>
          </cell>
          <cell r="D111" t="str">
            <v xml:space="preserve"> </v>
          </cell>
          <cell r="E111">
            <v>0</v>
          </cell>
          <cell r="F111">
            <v>0</v>
          </cell>
          <cell r="G111">
            <v>99970.78</v>
          </cell>
          <cell r="H111" t="str">
            <v xml:space="preserve"> </v>
          </cell>
        </row>
        <row r="112">
          <cell r="A112" t="str">
            <v>5300-003-000</v>
          </cell>
          <cell r="B112" t="str">
            <v>Eventos especiales</v>
          </cell>
          <cell r="C112">
            <v>30807.35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30807.35</v>
          </cell>
          <cell r="H112" t="str">
            <v xml:space="preserve"> </v>
          </cell>
        </row>
        <row r="113">
          <cell r="A113" t="str">
            <v>5300-004-000</v>
          </cell>
          <cell r="B113" t="str">
            <v>Consumo en Restaurantes</v>
          </cell>
          <cell r="C113">
            <v>325.27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325.27</v>
          </cell>
          <cell r="H113" t="str">
            <v xml:space="preserve"> </v>
          </cell>
        </row>
        <row r="114">
          <cell r="A114" t="str">
            <v>5300-006-000</v>
          </cell>
          <cell r="B114" t="str">
            <v>Comunicacion</v>
          </cell>
          <cell r="C114">
            <v>28378.78</v>
          </cell>
          <cell r="D114" t="str">
            <v xml:space="preserve"> </v>
          </cell>
          <cell r="E114">
            <v>3235.27</v>
          </cell>
          <cell r="F114">
            <v>0</v>
          </cell>
          <cell r="G114">
            <v>31614.05</v>
          </cell>
          <cell r="H114" t="str">
            <v xml:space="preserve"> </v>
          </cell>
        </row>
        <row r="115">
          <cell r="A115" t="str">
            <v>5300-007-000</v>
          </cell>
          <cell r="B115" t="str">
            <v>Honorarios</v>
          </cell>
          <cell r="C115">
            <v>124000</v>
          </cell>
          <cell r="D115" t="str">
            <v xml:space="preserve"> </v>
          </cell>
          <cell r="E115">
            <v>7500</v>
          </cell>
          <cell r="F115">
            <v>0</v>
          </cell>
          <cell r="G115">
            <v>131500</v>
          </cell>
          <cell r="H115" t="str">
            <v xml:space="preserve"> </v>
          </cell>
        </row>
        <row r="116">
          <cell r="A116" t="str">
            <v>5300-009-000</v>
          </cell>
          <cell r="B116" t="str">
            <v>Arrendamiento</v>
          </cell>
          <cell r="C116">
            <v>148350</v>
          </cell>
          <cell r="D116" t="str">
            <v xml:space="preserve"> </v>
          </cell>
          <cell r="E116">
            <v>28350</v>
          </cell>
          <cell r="F116">
            <v>0</v>
          </cell>
          <cell r="G116">
            <v>176700</v>
          </cell>
          <cell r="H116" t="str">
            <v xml:space="preserve"> </v>
          </cell>
        </row>
        <row r="117">
          <cell r="A117" t="str">
            <v>5300-013-000</v>
          </cell>
          <cell r="B117" t="str">
            <v>Seguros</v>
          </cell>
          <cell r="C117">
            <v>41862.46</v>
          </cell>
          <cell r="D117" t="str">
            <v xml:space="preserve"> </v>
          </cell>
          <cell r="E117">
            <v>10118.98</v>
          </cell>
          <cell r="F117">
            <v>0</v>
          </cell>
          <cell r="G117">
            <v>51981.440000000002</v>
          </cell>
          <cell r="H117" t="str">
            <v xml:space="preserve"> </v>
          </cell>
        </row>
        <row r="118">
          <cell r="A118" t="str">
            <v>5300-017-000</v>
          </cell>
          <cell r="B118" t="str">
            <v>Luz</v>
          </cell>
          <cell r="C118">
            <v>13564.99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13564.99</v>
          </cell>
          <cell r="H118" t="str">
            <v xml:space="preserve"> </v>
          </cell>
        </row>
        <row r="119">
          <cell r="A119" t="str">
            <v>5300-018-000</v>
          </cell>
          <cell r="B119" t="str">
            <v>Gas Natural</v>
          </cell>
          <cell r="C119">
            <v>5996.26</v>
          </cell>
          <cell r="D119" t="str">
            <v xml:space="preserve"> </v>
          </cell>
          <cell r="E119">
            <v>0</v>
          </cell>
          <cell r="F119">
            <v>0</v>
          </cell>
          <cell r="G119">
            <v>5996.26</v>
          </cell>
          <cell r="H119" t="str">
            <v xml:space="preserve"> </v>
          </cell>
        </row>
        <row r="120">
          <cell r="A120" t="str">
            <v>5300-019-000</v>
          </cell>
          <cell r="B120" t="str">
            <v>Agua</v>
          </cell>
          <cell r="C120">
            <v>1616.32</v>
          </cell>
          <cell r="D120" t="str">
            <v xml:space="preserve"> </v>
          </cell>
          <cell r="E120">
            <v>202.04</v>
          </cell>
          <cell r="F120">
            <v>0</v>
          </cell>
          <cell r="G120">
            <v>1818.36</v>
          </cell>
          <cell r="H120" t="str">
            <v xml:space="preserve"> </v>
          </cell>
        </row>
        <row r="121">
          <cell r="A121" t="str">
            <v>5300-022-000</v>
          </cell>
          <cell r="B121" t="str">
            <v>Papeleria</v>
          </cell>
          <cell r="C121">
            <v>111.21</v>
          </cell>
          <cell r="D121" t="str">
            <v xml:space="preserve"> </v>
          </cell>
          <cell r="E121">
            <v>0</v>
          </cell>
          <cell r="F121">
            <v>0</v>
          </cell>
          <cell r="G121">
            <v>111.21</v>
          </cell>
          <cell r="H121" t="str">
            <v xml:space="preserve"> </v>
          </cell>
        </row>
        <row r="122">
          <cell r="A122" t="str">
            <v>5300-027-000</v>
          </cell>
          <cell r="B122" t="str">
            <v>Seguridad e Higiene</v>
          </cell>
          <cell r="C122">
            <v>7200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7200</v>
          </cell>
          <cell r="H122" t="str">
            <v xml:space="preserve"> </v>
          </cell>
        </row>
        <row r="123">
          <cell r="A123" t="str">
            <v>5300-028-000</v>
          </cell>
          <cell r="B123" t="str">
            <v>Recolección de Basura</v>
          </cell>
          <cell r="C123">
            <v>806.4</v>
          </cell>
          <cell r="D123" t="str">
            <v xml:space="preserve"> </v>
          </cell>
          <cell r="E123">
            <v>134.4</v>
          </cell>
          <cell r="F123">
            <v>0</v>
          </cell>
          <cell r="G123">
            <v>940.8</v>
          </cell>
          <cell r="H123" t="str">
            <v xml:space="preserve"> </v>
          </cell>
        </row>
        <row r="124">
          <cell r="A124" t="str">
            <v>5300-029-000</v>
          </cell>
          <cell r="B124" t="str">
            <v>Sistemas de Alarma</v>
          </cell>
          <cell r="C124">
            <v>2700</v>
          </cell>
          <cell r="D124" t="str">
            <v xml:space="preserve"> </v>
          </cell>
          <cell r="E124">
            <v>0</v>
          </cell>
          <cell r="F124">
            <v>0</v>
          </cell>
          <cell r="G124">
            <v>2700</v>
          </cell>
          <cell r="H124" t="str">
            <v xml:space="preserve"> </v>
          </cell>
        </row>
        <row r="125">
          <cell r="A125" t="str">
            <v>5300-031-000</v>
          </cell>
          <cell r="B125" t="str">
            <v>Cuotas y Suscripciones</v>
          </cell>
          <cell r="C125">
            <v>180</v>
          </cell>
          <cell r="D125" t="str">
            <v xml:space="preserve"> </v>
          </cell>
          <cell r="E125">
            <v>0</v>
          </cell>
          <cell r="F125">
            <v>0</v>
          </cell>
          <cell r="G125">
            <v>180</v>
          </cell>
          <cell r="H125" t="str">
            <v xml:space="preserve"> </v>
          </cell>
        </row>
        <row r="126">
          <cell r="A126" t="str">
            <v>5300-032-000</v>
          </cell>
          <cell r="B126" t="str">
            <v>Otros impuestos y derechos</v>
          </cell>
          <cell r="C126">
            <v>1957.09</v>
          </cell>
          <cell r="D126" t="str">
            <v xml:space="preserve"> </v>
          </cell>
          <cell r="E126">
            <v>2.52</v>
          </cell>
          <cell r="F126">
            <v>0</v>
          </cell>
          <cell r="G126">
            <v>1959.61</v>
          </cell>
          <cell r="H126" t="str">
            <v xml:space="preserve"> </v>
          </cell>
        </row>
        <row r="127">
          <cell r="A127" t="str">
            <v>5300-035-000</v>
          </cell>
          <cell r="B127" t="str">
            <v>Mantenimiento Local</v>
          </cell>
          <cell r="C127">
            <v>34444.26</v>
          </cell>
          <cell r="D127" t="str">
            <v xml:space="preserve"> </v>
          </cell>
          <cell r="E127">
            <v>7462.39</v>
          </cell>
          <cell r="F127">
            <v>0</v>
          </cell>
          <cell r="G127">
            <v>41906.65</v>
          </cell>
          <cell r="H127" t="str">
            <v xml:space="preserve"> </v>
          </cell>
        </row>
        <row r="128">
          <cell r="A128" t="str">
            <v>5300-036-000</v>
          </cell>
          <cell r="B128" t="str">
            <v>Mantenimiento equipo de computo</v>
          </cell>
          <cell r="C128">
            <v>120555.87</v>
          </cell>
          <cell r="D128" t="str">
            <v xml:space="preserve"> </v>
          </cell>
          <cell r="E128">
            <v>61388.92</v>
          </cell>
          <cell r="F128">
            <v>0</v>
          </cell>
          <cell r="G128">
            <v>181944.79</v>
          </cell>
          <cell r="H128" t="str">
            <v xml:space="preserve"> </v>
          </cell>
        </row>
        <row r="129">
          <cell r="A129" t="str">
            <v>5300-038-000</v>
          </cell>
          <cell r="B129" t="str">
            <v>No deducibles</v>
          </cell>
          <cell r="C129">
            <v>46184.82</v>
          </cell>
          <cell r="D129" t="str">
            <v xml:space="preserve"> </v>
          </cell>
          <cell r="E129">
            <v>881</v>
          </cell>
          <cell r="F129">
            <v>0</v>
          </cell>
          <cell r="G129">
            <v>47065.82</v>
          </cell>
          <cell r="H129" t="str">
            <v xml:space="preserve"> </v>
          </cell>
        </row>
        <row r="130">
          <cell r="A130" t="str">
            <v>5300-039-000</v>
          </cell>
          <cell r="B130" t="str">
            <v>Comisiones bancarias</v>
          </cell>
          <cell r="C130">
            <v>1715</v>
          </cell>
          <cell r="D130" t="str">
            <v xml:space="preserve"> </v>
          </cell>
          <cell r="E130">
            <v>565</v>
          </cell>
          <cell r="F130">
            <v>0</v>
          </cell>
          <cell r="G130">
            <v>2280</v>
          </cell>
          <cell r="H130" t="str">
            <v xml:space="preserve"> </v>
          </cell>
        </row>
        <row r="131">
          <cell r="A131" t="str">
            <v>5300-040-000</v>
          </cell>
          <cell r="B131" t="str">
            <v>Actualizacion de contribuciones</v>
          </cell>
          <cell r="C131">
            <v>119.96</v>
          </cell>
          <cell r="D131" t="str">
            <v xml:space="preserve"> </v>
          </cell>
          <cell r="E131">
            <v>0</v>
          </cell>
          <cell r="F131">
            <v>0</v>
          </cell>
          <cell r="G131">
            <v>119.96</v>
          </cell>
          <cell r="H131" t="str">
            <v xml:space="preserve"> </v>
          </cell>
        </row>
        <row r="132">
          <cell r="A132" t="str">
            <v>5300-041-000</v>
          </cell>
          <cell r="B132" t="str">
            <v>Recargos</v>
          </cell>
          <cell r="C132">
            <v>304.3</v>
          </cell>
          <cell r="D132" t="str">
            <v xml:space="preserve"> </v>
          </cell>
          <cell r="E132">
            <v>0</v>
          </cell>
          <cell r="F132">
            <v>0</v>
          </cell>
          <cell r="G132">
            <v>304.3</v>
          </cell>
          <cell r="H132" t="str">
            <v xml:space="preserve"> </v>
          </cell>
        </row>
        <row r="133">
          <cell r="A133" t="str">
            <v>5300-042-000</v>
          </cell>
          <cell r="B133" t="str">
            <v>Diversos</v>
          </cell>
          <cell r="C133">
            <v>2786.9</v>
          </cell>
          <cell r="D133" t="str">
            <v xml:space="preserve"> </v>
          </cell>
          <cell r="E133">
            <v>2208.52</v>
          </cell>
          <cell r="F133">
            <v>0</v>
          </cell>
          <cell r="G133">
            <v>4995.42</v>
          </cell>
          <cell r="H133" t="str">
            <v xml:space="preserve"> </v>
          </cell>
        </row>
        <row r="134">
          <cell r="A134" t="str">
            <v>5300-046-000</v>
          </cell>
          <cell r="B134" t="str">
            <v>Honorarios legales</v>
          </cell>
          <cell r="C134">
            <v>5603.45</v>
          </cell>
          <cell r="D134" t="str">
            <v xml:space="preserve"> </v>
          </cell>
          <cell r="E134">
            <v>0</v>
          </cell>
          <cell r="F134">
            <v>0</v>
          </cell>
          <cell r="G134">
            <v>5603.45</v>
          </cell>
          <cell r="H134" t="str">
            <v xml:space="preserve"> </v>
          </cell>
        </row>
        <row r="135">
          <cell r="A135" t="str">
            <v>5400-000-000</v>
          </cell>
          <cell r="B135" t="str">
            <v>GASTOS DE OPERACION</v>
          </cell>
          <cell r="C135">
            <v>139681.01999999999</v>
          </cell>
          <cell r="D135" t="str">
            <v xml:space="preserve"> </v>
          </cell>
          <cell r="E135">
            <v>33216.800000000003</v>
          </cell>
          <cell r="F135">
            <v>0</v>
          </cell>
          <cell r="G135">
            <v>172897.82</v>
          </cell>
          <cell r="H135" t="str">
            <v xml:space="preserve"> </v>
          </cell>
        </row>
        <row r="136">
          <cell r="A136" t="str">
            <v>5400-001-000</v>
          </cell>
          <cell r="B136" t="str">
            <v>Depreciacion acumulada</v>
          </cell>
          <cell r="C136">
            <v>22467.87</v>
          </cell>
          <cell r="D136" t="str">
            <v xml:space="preserve"> </v>
          </cell>
          <cell r="E136">
            <v>5216.8</v>
          </cell>
          <cell r="F136">
            <v>0</v>
          </cell>
          <cell r="G136">
            <v>27684.67</v>
          </cell>
          <cell r="H136" t="str">
            <v xml:space="preserve"> </v>
          </cell>
        </row>
        <row r="137">
          <cell r="A137" t="str">
            <v>5400-001-004</v>
          </cell>
          <cell r="B137" t="str">
            <v>Machinery &amp; Equipment accumulated depreciation</v>
          </cell>
          <cell r="C137">
            <v>6454.68</v>
          </cell>
          <cell r="D137" t="str">
            <v xml:space="preserve"> </v>
          </cell>
          <cell r="E137">
            <v>1247.2</v>
          </cell>
          <cell r="F137">
            <v>0</v>
          </cell>
          <cell r="G137">
            <v>7701.88</v>
          </cell>
          <cell r="H137" t="str">
            <v xml:space="preserve"> </v>
          </cell>
        </row>
        <row r="138">
          <cell r="A138" t="str">
            <v>5400-001-005</v>
          </cell>
          <cell r="B138" t="str">
            <v>Computer Equipment accumulated depreciation</v>
          </cell>
          <cell r="C138">
            <v>16013.19</v>
          </cell>
          <cell r="D138" t="str">
            <v xml:space="preserve"> </v>
          </cell>
          <cell r="E138">
            <v>3969.6</v>
          </cell>
          <cell r="F138">
            <v>0</v>
          </cell>
          <cell r="G138">
            <v>19982.79</v>
          </cell>
          <cell r="H138" t="str">
            <v xml:space="preserve"> </v>
          </cell>
        </row>
        <row r="139">
          <cell r="A139" t="str">
            <v>5400-003-000</v>
          </cell>
          <cell r="B139" t="str">
            <v>Eventos Especiales</v>
          </cell>
          <cell r="C139">
            <v>1043.77</v>
          </cell>
          <cell r="D139" t="str">
            <v xml:space="preserve"> </v>
          </cell>
          <cell r="E139">
            <v>0</v>
          </cell>
          <cell r="F139">
            <v>0</v>
          </cell>
          <cell r="G139">
            <v>1043.77</v>
          </cell>
          <cell r="H139" t="str">
            <v xml:space="preserve"> </v>
          </cell>
        </row>
        <row r="140">
          <cell r="A140" t="str">
            <v>5400-004-000</v>
          </cell>
          <cell r="B140" t="str">
            <v>Consumo en Restaurantes</v>
          </cell>
          <cell r="C140">
            <v>89.83</v>
          </cell>
          <cell r="D140" t="str">
            <v xml:space="preserve"> </v>
          </cell>
          <cell r="E140">
            <v>0</v>
          </cell>
          <cell r="F140">
            <v>0</v>
          </cell>
          <cell r="G140">
            <v>89.83</v>
          </cell>
          <cell r="H140" t="str">
            <v xml:space="preserve"> </v>
          </cell>
        </row>
        <row r="141">
          <cell r="A141" t="str">
            <v>5400-006-000</v>
          </cell>
          <cell r="B141" t="str">
            <v>Comunicación</v>
          </cell>
          <cell r="C141">
            <v>6118.96</v>
          </cell>
          <cell r="D141" t="str">
            <v xml:space="preserve"> </v>
          </cell>
          <cell r="E141">
            <v>0</v>
          </cell>
          <cell r="F141">
            <v>0</v>
          </cell>
          <cell r="G141">
            <v>6118.96</v>
          </cell>
          <cell r="H141" t="str">
            <v xml:space="preserve"> </v>
          </cell>
        </row>
        <row r="142">
          <cell r="A142" t="str">
            <v>5400-007-000</v>
          </cell>
          <cell r="B142" t="str">
            <v>Honorarios</v>
          </cell>
          <cell r="C142">
            <v>48000</v>
          </cell>
          <cell r="D142" t="str">
            <v xml:space="preserve"> </v>
          </cell>
          <cell r="E142">
            <v>28000</v>
          </cell>
          <cell r="F142">
            <v>0</v>
          </cell>
          <cell r="G142">
            <v>76000</v>
          </cell>
          <cell r="H142" t="str">
            <v xml:space="preserve"> </v>
          </cell>
        </row>
        <row r="143">
          <cell r="A143" t="str">
            <v>5400-009-000</v>
          </cell>
          <cell r="B143" t="str">
            <v>Arrendamiento</v>
          </cell>
          <cell r="C143">
            <v>52350</v>
          </cell>
          <cell r="D143" t="str">
            <v xml:space="preserve"> </v>
          </cell>
          <cell r="E143">
            <v>0</v>
          </cell>
          <cell r="F143">
            <v>0</v>
          </cell>
          <cell r="G143">
            <v>52350</v>
          </cell>
          <cell r="H143" t="str">
            <v xml:space="preserve"> </v>
          </cell>
        </row>
        <row r="144">
          <cell r="A144" t="str">
            <v>5400-022-000</v>
          </cell>
          <cell r="B144" t="str">
            <v>Papelería y Artículos de Oficina</v>
          </cell>
          <cell r="C144">
            <v>5026.8999999999996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5026.8999999999996</v>
          </cell>
          <cell r="H144" t="str">
            <v xml:space="preserve"> </v>
          </cell>
        </row>
        <row r="145">
          <cell r="A145" t="str">
            <v>5400-028-000</v>
          </cell>
          <cell r="B145" t="str">
            <v>Recolección de Basura</v>
          </cell>
          <cell r="C145">
            <v>134.4</v>
          </cell>
          <cell r="D145" t="str">
            <v xml:space="preserve"> </v>
          </cell>
          <cell r="E145">
            <v>0</v>
          </cell>
          <cell r="F145">
            <v>0</v>
          </cell>
          <cell r="G145">
            <v>134.4</v>
          </cell>
          <cell r="H145" t="str">
            <v xml:space="preserve"> </v>
          </cell>
        </row>
        <row r="146">
          <cell r="A146" t="str">
            <v>5400-038-000</v>
          </cell>
          <cell r="B146" t="str">
            <v>No Deducibles</v>
          </cell>
          <cell r="C146">
            <v>3152.83</v>
          </cell>
          <cell r="D146" t="str">
            <v xml:space="preserve"> </v>
          </cell>
          <cell r="E146">
            <v>0</v>
          </cell>
          <cell r="F146">
            <v>0</v>
          </cell>
          <cell r="G146">
            <v>3152.83</v>
          </cell>
          <cell r="H146" t="str">
            <v xml:space="preserve"> </v>
          </cell>
        </row>
        <row r="147">
          <cell r="A147" t="str">
            <v>5400-046-000</v>
          </cell>
          <cell r="B147" t="str">
            <v>Multas</v>
          </cell>
          <cell r="C147">
            <v>1296.46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1296.46</v>
          </cell>
          <cell r="H147" t="str">
            <v xml:space="preserve"> </v>
          </cell>
        </row>
        <row r="148">
          <cell r="A148" t="str">
            <v>0000-600-000</v>
          </cell>
          <cell r="B148" t="str">
            <v>CIF</v>
          </cell>
          <cell r="C148">
            <v>-2378.63</v>
          </cell>
          <cell r="D148" t="str">
            <v xml:space="preserve"> </v>
          </cell>
          <cell r="E148">
            <v>0.02</v>
          </cell>
          <cell r="F148">
            <v>794.85</v>
          </cell>
          <cell r="G148">
            <v>-3173.46</v>
          </cell>
          <cell r="H148" t="str">
            <v xml:space="preserve"> </v>
          </cell>
        </row>
        <row r="149">
          <cell r="A149" t="str">
            <v>6000-001-000</v>
          </cell>
          <cell r="B149" t="str">
            <v>Utilidad en Cambios</v>
          </cell>
          <cell r="C149" t="str">
            <v xml:space="preserve"> </v>
          </cell>
          <cell r="D149">
            <v>12.05</v>
          </cell>
          <cell r="E149">
            <v>0</v>
          </cell>
          <cell r="F149">
            <v>0</v>
          </cell>
          <cell r="G149" t="str">
            <v xml:space="preserve"> </v>
          </cell>
          <cell r="H149">
            <v>12.05</v>
          </cell>
        </row>
        <row r="150">
          <cell r="A150" t="str">
            <v>6000-002-000</v>
          </cell>
          <cell r="B150" t="str">
            <v>Pérdida en Cambios</v>
          </cell>
          <cell r="C150">
            <v>2223.7600000000002</v>
          </cell>
          <cell r="D150" t="str">
            <v xml:space="preserve"> </v>
          </cell>
          <cell r="E150">
            <v>0</v>
          </cell>
          <cell r="F150">
            <v>0</v>
          </cell>
          <cell r="G150">
            <v>2223.7600000000002</v>
          </cell>
          <cell r="H150" t="str">
            <v xml:space="preserve"> </v>
          </cell>
        </row>
        <row r="151">
          <cell r="A151" t="str">
            <v>6000-003-000</v>
          </cell>
          <cell r="B151" t="str">
            <v>Intereses Bancarios</v>
          </cell>
          <cell r="C151">
            <v>-4590.6000000000004</v>
          </cell>
          <cell r="D151" t="str">
            <v xml:space="preserve"> </v>
          </cell>
          <cell r="E151">
            <v>0</v>
          </cell>
          <cell r="F151">
            <v>794.85</v>
          </cell>
          <cell r="G151">
            <v>-5385.45</v>
          </cell>
          <cell r="H151" t="str">
            <v xml:space="preserve"> </v>
          </cell>
        </row>
        <row r="152">
          <cell r="A152" t="str">
            <v>6000-005-000</v>
          </cell>
          <cell r="B152" t="str">
            <v>Minor Dif</v>
          </cell>
          <cell r="C152">
            <v>0.26</v>
          </cell>
          <cell r="D152" t="str">
            <v xml:space="preserve"> </v>
          </cell>
          <cell r="E152">
            <v>0.02</v>
          </cell>
          <cell r="F152">
            <v>0</v>
          </cell>
          <cell r="G152">
            <v>0.28000000000000003</v>
          </cell>
          <cell r="H152" t="str">
            <v xml:space="preserve"> </v>
          </cell>
        </row>
        <row r="153">
          <cell r="A153" t="str">
            <v xml:space="preserve"> </v>
          </cell>
        </row>
        <row r="154">
          <cell r="B154" t="str">
            <v>Total cuentas no impresas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B155" t="str">
            <v xml:space="preserve"> </v>
          </cell>
          <cell r="D155">
            <v>0</v>
          </cell>
          <cell r="H155">
            <v>0</v>
          </cell>
        </row>
        <row r="156">
          <cell r="A156" t="str">
            <v xml:space="preserve"> </v>
          </cell>
        </row>
        <row r="158">
          <cell r="B158" t="str">
            <v xml:space="preserve">Sumas Iguales: </v>
          </cell>
          <cell r="C158">
            <v>5615033.3899999997</v>
          </cell>
          <cell r="E158">
            <v>2376457.6</v>
          </cell>
          <cell r="F158">
            <v>2376457.6</v>
          </cell>
          <cell r="G158">
            <v>6201750.5499999998</v>
          </cell>
        </row>
        <row r="159">
          <cell r="D159">
            <v>5615033.3899999997</v>
          </cell>
          <cell r="H159">
            <v>6201750.5499999998</v>
          </cell>
        </row>
      </sheetData>
      <sheetData sheetId="53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31/Oct/2015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1110923.8500000001</v>
          </cell>
          <cell r="D8" t="str">
            <v xml:space="preserve"> </v>
          </cell>
          <cell r="E8">
            <v>1426893.91</v>
          </cell>
          <cell r="F8">
            <v>1358713.09</v>
          </cell>
          <cell r="G8">
            <v>1179104.67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912800.78</v>
          </cell>
          <cell r="D9" t="str">
            <v xml:space="preserve"> </v>
          </cell>
          <cell r="E9">
            <v>1405987.85</v>
          </cell>
          <cell r="F9">
            <v>1353496.29</v>
          </cell>
          <cell r="G9">
            <v>965292.34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686068.96</v>
          </cell>
          <cell r="D10" t="str">
            <v xml:space="preserve"> </v>
          </cell>
          <cell r="E10">
            <v>681096.83</v>
          </cell>
          <cell r="F10">
            <v>634039.1</v>
          </cell>
          <cell r="G10">
            <v>733126.69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115.19</v>
          </cell>
          <cell r="D11" t="str">
            <v xml:space="preserve"> </v>
          </cell>
          <cell r="E11">
            <v>30000</v>
          </cell>
          <cell r="F11">
            <v>9763.8700000000008</v>
          </cell>
          <cell r="G11">
            <v>20351.32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182302.13</v>
          </cell>
          <cell r="D12" t="str">
            <v xml:space="preserve"> </v>
          </cell>
          <cell r="E12">
            <v>650623.67000000004</v>
          </cell>
          <cell r="F12">
            <v>624275.23</v>
          </cell>
          <cell r="G12">
            <v>208650.57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503651.64</v>
          </cell>
          <cell r="D13" t="str">
            <v xml:space="preserve"> </v>
          </cell>
          <cell r="E13">
            <v>473.16</v>
          </cell>
          <cell r="F13">
            <v>0</v>
          </cell>
          <cell r="G13">
            <v>504124.8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650623.67000000004</v>
          </cell>
          <cell r="F14">
            <v>650623.67000000004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650623.67000000004</v>
          </cell>
          <cell r="F15">
            <v>650623.67000000004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650623.67000000004</v>
          </cell>
          <cell r="F16">
            <v>650623.67000000004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48446.09</v>
          </cell>
          <cell r="D17" t="str">
            <v xml:space="preserve"> </v>
          </cell>
          <cell r="E17">
            <v>57533.49</v>
          </cell>
          <cell r="F17">
            <v>58714.54</v>
          </cell>
          <cell r="G17">
            <v>47265.04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28780.54</v>
          </cell>
          <cell r="F18">
            <v>28780.54</v>
          </cell>
          <cell r="G18">
            <v>0</v>
          </cell>
          <cell r="H18" t="str">
            <v xml:space="preserve"> </v>
          </cell>
        </row>
        <row r="19">
          <cell r="A19" t="str">
            <v>1105-005-000</v>
          </cell>
          <cell r="B19" t="str">
            <v>Saldos a favor de IVA</v>
          </cell>
          <cell r="C19">
            <v>48446.09</v>
          </cell>
          <cell r="D19" t="str">
            <v xml:space="preserve"> </v>
          </cell>
          <cell r="E19">
            <v>28752.95</v>
          </cell>
          <cell r="F19">
            <v>29934</v>
          </cell>
          <cell r="G19">
            <v>47265.04</v>
          </cell>
          <cell r="H19" t="str">
            <v xml:space="preserve"> </v>
          </cell>
        </row>
        <row r="20">
          <cell r="A20" t="str">
            <v>1106-000-000</v>
          </cell>
          <cell r="B20" t="str">
            <v>Deudores Diversos</v>
          </cell>
          <cell r="C20">
            <v>0</v>
          </cell>
          <cell r="D20" t="str">
            <v xml:space="preserve"> </v>
          </cell>
          <cell r="E20">
            <v>5996.02</v>
          </cell>
          <cell r="F20">
            <v>0</v>
          </cell>
          <cell r="G20">
            <v>5996.02</v>
          </cell>
          <cell r="H20" t="str">
            <v xml:space="preserve"> </v>
          </cell>
        </row>
        <row r="21">
          <cell r="A21" t="str">
            <v>1106-020-000</v>
          </cell>
          <cell r="B21" t="str">
            <v>S</v>
          </cell>
          <cell r="C21">
            <v>0</v>
          </cell>
          <cell r="D21" t="str">
            <v xml:space="preserve"> </v>
          </cell>
          <cell r="E21">
            <v>5996.02</v>
          </cell>
          <cell r="F21">
            <v>0</v>
          </cell>
          <cell r="G21">
            <v>5996.02</v>
          </cell>
          <cell r="H21" t="str">
            <v xml:space="preserve"> </v>
          </cell>
        </row>
        <row r="22">
          <cell r="A22" t="str">
            <v>1106-020-001</v>
          </cell>
          <cell r="B22" t="str">
            <v>Stephanie Tillman</v>
          </cell>
          <cell r="C22">
            <v>0</v>
          </cell>
          <cell r="D22" t="str">
            <v xml:space="preserve"> </v>
          </cell>
          <cell r="E22">
            <v>5996.02</v>
          </cell>
          <cell r="F22">
            <v>0</v>
          </cell>
          <cell r="G22">
            <v>5996.02</v>
          </cell>
          <cell r="H22" t="str">
            <v xml:space="preserve"> </v>
          </cell>
        </row>
        <row r="23">
          <cell r="A23" t="str">
            <v>1107-000-000</v>
          </cell>
          <cell r="B23" t="str">
            <v>Anticipo a Proveedores</v>
          </cell>
          <cell r="C23">
            <v>1142.99</v>
          </cell>
          <cell r="D23" t="str">
            <v xml:space="preserve"> </v>
          </cell>
          <cell r="E23">
            <v>0</v>
          </cell>
          <cell r="F23">
            <v>0</v>
          </cell>
          <cell r="G23">
            <v>1142.99</v>
          </cell>
          <cell r="H23" t="str">
            <v xml:space="preserve"> </v>
          </cell>
        </row>
        <row r="24">
          <cell r="A24" t="str">
            <v>1107-000-001</v>
          </cell>
          <cell r="B24" t="str">
            <v>Anticipo-varios</v>
          </cell>
          <cell r="C24">
            <v>997.99</v>
          </cell>
          <cell r="D24" t="str">
            <v xml:space="preserve"> </v>
          </cell>
          <cell r="E24">
            <v>0</v>
          </cell>
          <cell r="F24">
            <v>0</v>
          </cell>
          <cell r="G24">
            <v>997.99</v>
          </cell>
          <cell r="H24" t="str">
            <v xml:space="preserve"> </v>
          </cell>
        </row>
        <row r="25">
          <cell r="A25" t="str">
            <v>1107-014-000</v>
          </cell>
          <cell r="B25" t="str">
            <v>N</v>
          </cell>
          <cell r="C25">
            <v>145</v>
          </cell>
          <cell r="D25" t="str">
            <v xml:space="preserve"> </v>
          </cell>
          <cell r="E25">
            <v>0</v>
          </cell>
          <cell r="F25">
            <v>0</v>
          </cell>
          <cell r="G25">
            <v>145</v>
          </cell>
          <cell r="H25" t="str">
            <v xml:space="preserve"> </v>
          </cell>
        </row>
        <row r="26">
          <cell r="A26" t="str">
            <v>1107-014-001</v>
          </cell>
          <cell r="B26" t="str">
            <v>Navarro Lozano y Compañia, S.C.</v>
          </cell>
          <cell r="C26">
            <v>145</v>
          </cell>
          <cell r="D26" t="str">
            <v xml:space="preserve"> </v>
          </cell>
          <cell r="E26">
            <v>0</v>
          </cell>
          <cell r="F26">
            <v>0</v>
          </cell>
          <cell r="G26">
            <v>145</v>
          </cell>
          <cell r="H26" t="str">
            <v xml:space="preserve"> </v>
          </cell>
        </row>
        <row r="27">
          <cell r="A27" t="str">
            <v>1108-000-000</v>
          </cell>
          <cell r="B27" t="str">
            <v>Pagos Anticipados</v>
          </cell>
          <cell r="C27">
            <v>83696.33</v>
          </cell>
          <cell r="D27" t="str">
            <v xml:space="preserve"> </v>
          </cell>
          <cell r="E27">
            <v>10737.84</v>
          </cell>
          <cell r="F27">
            <v>0</v>
          </cell>
          <cell r="G27">
            <v>94434.17</v>
          </cell>
          <cell r="H27" t="str">
            <v xml:space="preserve"> </v>
          </cell>
        </row>
        <row r="28">
          <cell r="A28" t="str">
            <v>1108-001-000</v>
          </cell>
          <cell r="B28" t="str">
            <v>Pagos Provisionales ISR</v>
          </cell>
          <cell r="C28">
            <v>81875</v>
          </cell>
          <cell r="D28" t="str">
            <v xml:space="preserve"> </v>
          </cell>
          <cell r="E28">
            <v>10465</v>
          </cell>
          <cell r="F28">
            <v>0</v>
          </cell>
          <cell r="G28">
            <v>92340</v>
          </cell>
          <cell r="H28" t="str">
            <v xml:space="preserve"> </v>
          </cell>
        </row>
        <row r="29">
          <cell r="A29" t="str">
            <v>1108-004-000</v>
          </cell>
          <cell r="B29" t="str">
            <v>Retención de ISR Bancaria</v>
          </cell>
          <cell r="C29">
            <v>1821.11</v>
          </cell>
          <cell r="D29" t="str">
            <v xml:space="preserve"> </v>
          </cell>
          <cell r="E29">
            <v>272.83999999999997</v>
          </cell>
          <cell r="F29">
            <v>0</v>
          </cell>
          <cell r="G29">
            <v>2093.9499999999998</v>
          </cell>
          <cell r="H29" t="str">
            <v xml:space="preserve"> </v>
          </cell>
        </row>
        <row r="30">
          <cell r="A30" t="str">
            <v>1108-005-000</v>
          </cell>
          <cell r="B30" t="str">
            <v>Subsidio al Empleo</v>
          </cell>
          <cell r="C30">
            <v>0.22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0.22</v>
          </cell>
          <cell r="H30" t="str">
            <v xml:space="preserve"> </v>
          </cell>
        </row>
        <row r="31">
          <cell r="A31" t="str">
            <v>1109-000-000</v>
          </cell>
          <cell r="B31" t="str">
            <v>Depositos en Garantia</v>
          </cell>
          <cell r="C31">
            <v>24000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24000</v>
          </cell>
          <cell r="H31" t="str">
            <v xml:space="preserve"> </v>
          </cell>
        </row>
        <row r="32">
          <cell r="A32" t="str">
            <v>1109-001-000</v>
          </cell>
          <cell r="B32" t="str">
            <v>Depositos en Garantia</v>
          </cell>
          <cell r="C32">
            <v>24000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24000</v>
          </cell>
          <cell r="H32" t="str">
            <v xml:space="preserve"> </v>
          </cell>
        </row>
        <row r="33">
          <cell r="A33" t="str">
            <v>1110-000-000</v>
          </cell>
          <cell r="B33" t="str">
            <v>Seguros Pagados por anticipado</v>
          </cell>
          <cell r="C33">
            <v>69446.41</v>
          </cell>
          <cell r="D33" t="str">
            <v xml:space="preserve"> </v>
          </cell>
          <cell r="E33">
            <v>0</v>
          </cell>
          <cell r="F33">
            <v>10118.98</v>
          </cell>
          <cell r="G33">
            <v>59327.43</v>
          </cell>
          <cell r="H33" t="str">
            <v xml:space="preserve"> </v>
          </cell>
        </row>
        <row r="34">
          <cell r="A34" t="str">
            <v>1110-001-000</v>
          </cell>
          <cell r="B34" t="str">
            <v>Seguro Gastos Medicos</v>
          </cell>
          <cell r="C34">
            <v>67539.53</v>
          </cell>
          <cell r="D34" t="str">
            <v xml:space="preserve"> </v>
          </cell>
          <cell r="E34">
            <v>0</v>
          </cell>
          <cell r="F34">
            <v>9483.3700000000008</v>
          </cell>
          <cell r="G34">
            <v>58056.160000000003</v>
          </cell>
          <cell r="H34" t="str">
            <v xml:space="preserve"> </v>
          </cell>
        </row>
        <row r="35">
          <cell r="A35" t="str">
            <v>1110-002-000</v>
          </cell>
          <cell r="B35" t="str">
            <v>Seguro Local</v>
          </cell>
          <cell r="C35">
            <v>1906.88</v>
          </cell>
          <cell r="D35" t="str">
            <v xml:space="preserve"> </v>
          </cell>
          <cell r="E35">
            <v>0</v>
          </cell>
          <cell r="F35">
            <v>635.61</v>
          </cell>
          <cell r="G35">
            <v>1271.27</v>
          </cell>
          <cell r="H35" t="str">
            <v xml:space="preserve"> </v>
          </cell>
        </row>
        <row r="36">
          <cell r="A36" t="str">
            <v>1200-000-000</v>
          </cell>
          <cell r="B36" t="str">
            <v>ACTIVOS FIJOS</v>
          </cell>
          <cell r="C36">
            <v>198123.07</v>
          </cell>
          <cell r="D36" t="str">
            <v xml:space="preserve"> </v>
          </cell>
          <cell r="E36">
            <v>20906.060000000001</v>
          </cell>
          <cell r="F36">
            <v>5216.8</v>
          </cell>
          <cell r="G36">
            <v>213812.33</v>
          </cell>
          <cell r="H36" t="str">
            <v xml:space="preserve"> </v>
          </cell>
        </row>
        <row r="37">
          <cell r="A37" t="str">
            <v>1208-000-000</v>
          </cell>
          <cell r="B37" t="str">
            <v>Mobiliario y Eq de oficina</v>
          </cell>
          <cell r="C37">
            <v>126466.34</v>
          </cell>
          <cell r="D37" t="str">
            <v xml:space="preserve"> </v>
          </cell>
          <cell r="E37">
            <v>0</v>
          </cell>
          <cell r="F37">
            <v>0</v>
          </cell>
          <cell r="G37">
            <v>126466.34</v>
          </cell>
          <cell r="H37" t="str">
            <v xml:space="preserve"> </v>
          </cell>
        </row>
        <row r="38">
          <cell r="A38" t="str">
            <v>1208-001-000</v>
          </cell>
          <cell r="B38" t="str">
            <v>Mesa ejecutiva</v>
          </cell>
          <cell r="C38">
            <v>29827.439999999999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29827.439999999999</v>
          </cell>
          <cell r="H38" t="str">
            <v xml:space="preserve"> </v>
          </cell>
        </row>
        <row r="39">
          <cell r="A39" t="str">
            <v>1208-002-000</v>
          </cell>
          <cell r="B39" t="str">
            <v>Silla ejecutiva</v>
          </cell>
          <cell r="C39">
            <v>30890.81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30890.81</v>
          </cell>
          <cell r="H39" t="str">
            <v xml:space="preserve"> </v>
          </cell>
        </row>
        <row r="40">
          <cell r="A40" t="str">
            <v>1208-003-000</v>
          </cell>
          <cell r="B40" t="str">
            <v>Gabinete</v>
          </cell>
          <cell r="C40">
            <v>7500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7500</v>
          </cell>
          <cell r="H40" t="str">
            <v xml:space="preserve"> </v>
          </cell>
        </row>
        <row r="41">
          <cell r="A41" t="str">
            <v>1208-004-000</v>
          </cell>
          <cell r="B41" t="str">
            <v>Mesa de juntas</v>
          </cell>
          <cell r="C41">
            <v>8522.1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8522.1</v>
          </cell>
          <cell r="H41" t="str">
            <v xml:space="preserve"> </v>
          </cell>
        </row>
        <row r="42">
          <cell r="A42" t="str">
            <v>1208-005-000</v>
          </cell>
          <cell r="B42" t="str">
            <v>Calentador</v>
          </cell>
          <cell r="C42">
            <v>1415.23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1415.23</v>
          </cell>
          <cell r="H42" t="str">
            <v xml:space="preserve"> </v>
          </cell>
        </row>
        <row r="43">
          <cell r="A43" t="str">
            <v>1208-006-000</v>
          </cell>
          <cell r="B43" t="str">
            <v>Lámpara mesa</v>
          </cell>
          <cell r="C43">
            <v>11723.45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11723.45</v>
          </cell>
          <cell r="H43" t="str">
            <v xml:space="preserve"> </v>
          </cell>
        </row>
        <row r="44">
          <cell r="A44" t="str">
            <v>1208-007-000</v>
          </cell>
          <cell r="B44" t="str">
            <v>Sillón antenas piel vinil chocolate</v>
          </cell>
          <cell r="C44">
            <v>2113.79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2113.79</v>
          </cell>
          <cell r="H44" t="str">
            <v xml:space="preserve"> </v>
          </cell>
        </row>
        <row r="45">
          <cell r="A45" t="str">
            <v>1208-008-000</v>
          </cell>
          <cell r="B45" t="str">
            <v>Lámpara mesa</v>
          </cell>
          <cell r="C45">
            <v>12500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12500</v>
          </cell>
          <cell r="H45" t="str">
            <v xml:space="preserve"> </v>
          </cell>
        </row>
        <row r="46">
          <cell r="A46" t="str">
            <v>1208-009-000</v>
          </cell>
          <cell r="B46" t="str">
            <v>Comedor</v>
          </cell>
          <cell r="C46">
            <v>693.36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693.36</v>
          </cell>
          <cell r="H46" t="str">
            <v xml:space="preserve"> </v>
          </cell>
        </row>
        <row r="47">
          <cell r="A47" t="str">
            <v>1208-010-000</v>
          </cell>
          <cell r="B47" t="str">
            <v>Mesa de juntas ceniz</v>
          </cell>
          <cell r="C47">
            <v>1421.55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1421.55</v>
          </cell>
          <cell r="H47" t="str">
            <v xml:space="preserve"> </v>
          </cell>
        </row>
        <row r="48">
          <cell r="A48" t="str">
            <v>1208-011-000</v>
          </cell>
          <cell r="B48" t="str">
            <v>Escritorio Estudiante Vid Choc</v>
          </cell>
          <cell r="C48">
            <v>10343.1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10343.1</v>
          </cell>
          <cell r="H48" t="str">
            <v xml:space="preserve"> </v>
          </cell>
        </row>
        <row r="49">
          <cell r="A49" t="str">
            <v>1208-012-000</v>
          </cell>
          <cell r="B49" t="str">
            <v>Mesa de TV</v>
          </cell>
          <cell r="C49">
            <v>2584.48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2584.48</v>
          </cell>
          <cell r="H49" t="str">
            <v xml:space="preserve"> </v>
          </cell>
        </row>
        <row r="50">
          <cell r="A50" t="str">
            <v>1208-013-000</v>
          </cell>
          <cell r="B50" t="str">
            <v xml:space="preserve">Gabinetes Led 6 </v>
          </cell>
          <cell r="C50">
            <v>3879.31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3879.31</v>
          </cell>
          <cell r="H50" t="str">
            <v xml:space="preserve"> </v>
          </cell>
        </row>
        <row r="51">
          <cell r="A51" t="str">
            <v>1208-014-000</v>
          </cell>
          <cell r="B51" t="str">
            <v>Lum Lin Flour 6</v>
          </cell>
          <cell r="C51">
            <v>3051.72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3051.72</v>
          </cell>
          <cell r="H51" t="str">
            <v xml:space="preserve"> </v>
          </cell>
        </row>
        <row r="52">
          <cell r="A52" t="str">
            <v>1209-000-000</v>
          </cell>
          <cell r="B52" t="str">
            <v>Depreciacion acumulada Mob y Eq de oficina</v>
          </cell>
          <cell r="C52" t="str">
            <v xml:space="preserve"> </v>
          </cell>
          <cell r="D52">
            <v>15996.43</v>
          </cell>
          <cell r="E52">
            <v>0</v>
          </cell>
          <cell r="F52">
            <v>1247.2</v>
          </cell>
          <cell r="G52" t="str">
            <v xml:space="preserve"> </v>
          </cell>
          <cell r="H52">
            <v>17243.63</v>
          </cell>
        </row>
        <row r="53">
          <cell r="A53" t="str">
            <v>1210-000-000</v>
          </cell>
          <cell r="B53" t="str">
            <v>Equipo de Computo</v>
          </cell>
          <cell r="C53">
            <v>129721.04</v>
          </cell>
          <cell r="D53" t="str">
            <v xml:space="preserve"> </v>
          </cell>
          <cell r="E53">
            <v>20906.060000000001</v>
          </cell>
          <cell r="F53">
            <v>0</v>
          </cell>
          <cell r="G53">
            <v>150627.1</v>
          </cell>
          <cell r="H53" t="str">
            <v xml:space="preserve"> </v>
          </cell>
        </row>
        <row r="54">
          <cell r="A54" t="str">
            <v>1210-001-000</v>
          </cell>
          <cell r="B54" t="str">
            <v>Computer Elite 8300</v>
          </cell>
          <cell r="C54">
            <v>49350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49350</v>
          </cell>
          <cell r="H54" t="str">
            <v xml:space="preserve"> </v>
          </cell>
        </row>
        <row r="55">
          <cell r="A55" t="str">
            <v>1210-002-000</v>
          </cell>
          <cell r="B55" t="str">
            <v>Multi Brother</v>
          </cell>
          <cell r="C55">
            <v>3188.79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3188.79</v>
          </cell>
          <cell r="H55" t="str">
            <v xml:space="preserve"> </v>
          </cell>
        </row>
        <row r="56">
          <cell r="A56" t="str">
            <v>1210-003-000</v>
          </cell>
          <cell r="B56" t="str">
            <v>Sony Video Projector</v>
          </cell>
          <cell r="C56">
            <v>9007.7999999999993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9007.7999999999993</v>
          </cell>
          <cell r="H56" t="str">
            <v xml:space="preserve"> </v>
          </cell>
        </row>
        <row r="57">
          <cell r="A57" t="str">
            <v>1210-004-000</v>
          </cell>
          <cell r="B57" t="str">
            <v>Epson Multifunctional  XP-211</v>
          </cell>
          <cell r="C57">
            <v>991.38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991.38</v>
          </cell>
          <cell r="H57" t="str">
            <v xml:space="preserve"> </v>
          </cell>
        </row>
        <row r="58">
          <cell r="A58" t="str">
            <v>1210-005-000</v>
          </cell>
          <cell r="B58" t="str">
            <v>Combo Inalam desktop 5000 usb</v>
          </cell>
          <cell r="C58">
            <v>922.41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922.41</v>
          </cell>
          <cell r="H58" t="str">
            <v xml:space="preserve"> </v>
          </cell>
        </row>
        <row r="59">
          <cell r="A59" t="str">
            <v>1210-007-000</v>
          </cell>
          <cell r="B59" t="str">
            <v>Computadora de escritorio completa</v>
          </cell>
          <cell r="C59">
            <v>11474.33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11474.33</v>
          </cell>
          <cell r="H59" t="str">
            <v xml:space="preserve"> </v>
          </cell>
        </row>
        <row r="60">
          <cell r="A60" t="str">
            <v>1210-010-000</v>
          </cell>
          <cell r="B60" t="str">
            <v>Memorias RAM DDR3</v>
          </cell>
          <cell r="C60">
            <v>1797.41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1797.41</v>
          </cell>
          <cell r="H60" t="str">
            <v xml:space="preserve"> </v>
          </cell>
        </row>
        <row r="61">
          <cell r="A61" t="str">
            <v>1210-011-000</v>
          </cell>
          <cell r="B61" t="str">
            <v>Laptop NP37</v>
          </cell>
          <cell r="C61">
            <v>0</v>
          </cell>
          <cell r="D61" t="str">
            <v xml:space="preserve"> </v>
          </cell>
          <cell r="E61">
            <v>15737.08</v>
          </cell>
          <cell r="F61">
            <v>0</v>
          </cell>
          <cell r="G61">
            <v>15737.08</v>
          </cell>
          <cell r="H61" t="str">
            <v xml:space="preserve"> </v>
          </cell>
        </row>
        <row r="62">
          <cell r="A62" t="str">
            <v>1210-012-000</v>
          </cell>
          <cell r="B62" t="str">
            <v>Laptop V5 Touch</v>
          </cell>
          <cell r="C62">
            <v>9240.8700000000008</v>
          </cell>
          <cell r="D62" t="str">
            <v xml:space="preserve"> </v>
          </cell>
          <cell r="E62">
            <v>0</v>
          </cell>
          <cell r="F62">
            <v>0</v>
          </cell>
          <cell r="G62">
            <v>9240.8700000000008</v>
          </cell>
          <cell r="H62" t="str">
            <v xml:space="preserve"> </v>
          </cell>
        </row>
        <row r="63">
          <cell r="A63" t="str">
            <v>1210-013-000</v>
          </cell>
          <cell r="B63" t="str">
            <v>Laptop Acer VN7-571 UMACKKLL 3</v>
          </cell>
          <cell r="C63">
            <v>11783.62</v>
          </cell>
          <cell r="D63" t="str">
            <v xml:space="preserve"> </v>
          </cell>
          <cell r="E63">
            <v>0</v>
          </cell>
          <cell r="F63">
            <v>0</v>
          </cell>
          <cell r="G63">
            <v>11783.62</v>
          </cell>
          <cell r="H63" t="str">
            <v xml:space="preserve"> </v>
          </cell>
        </row>
        <row r="64">
          <cell r="A64" t="str">
            <v>1210-014-000</v>
          </cell>
          <cell r="B64" t="str">
            <v>Computadora de escritorio sin monitor</v>
          </cell>
          <cell r="C64">
            <v>13751.73</v>
          </cell>
          <cell r="D64" t="str">
            <v xml:space="preserve"> </v>
          </cell>
          <cell r="E64">
            <v>0</v>
          </cell>
          <cell r="F64">
            <v>0</v>
          </cell>
          <cell r="G64">
            <v>13751.73</v>
          </cell>
          <cell r="H64" t="str">
            <v xml:space="preserve"> </v>
          </cell>
        </row>
        <row r="65">
          <cell r="A65" t="str">
            <v>1210-015-000</v>
          </cell>
          <cell r="B65" t="str">
            <v>Laptop Acer Roja</v>
          </cell>
          <cell r="C65">
            <v>10140.94</v>
          </cell>
          <cell r="D65" t="str">
            <v xml:space="preserve"> </v>
          </cell>
          <cell r="E65">
            <v>0</v>
          </cell>
          <cell r="F65">
            <v>0</v>
          </cell>
          <cell r="G65">
            <v>10140.94</v>
          </cell>
          <cell r="H65" t="str">
            <v xml:space="preserve"> </v>
          </cell>
        </row>
        <row r="66">
          <cell r="A66" t="str">
            <v>1210-016-000</v>
          </cell>
          <cell r="B66" t="str">
            <v>Monitor HD LED Acer Modelo K242HL</v>
          </cell>
          <cell r="C66">
            <v>8071.76</v>
          </cell>
          <cell r="D66" t="str">
            <v xml:space="preserve"> </v>
          </cell>
          <cell r="E66">
            <v>5168.9799999999996</v>
          </cell>
          <cell r="F66">
            <v>0</v>
          </cell>
          <cell r="G66">
            <v>13240.74</v>
          </cell>
          <cell r="H66" t="str">
            <v xml:space="preserve"> </v>
          </cell>
        </row>
        <row r="67">
          <cell r="A67" t="str">
            <v>1211-000-000</v>
          </cell>
          <cell r="B67" t="str">
            <v>Depreciacion acumulada Eq. de Computo</v>
          </cell>
          <cell r="C67" t="str">
            <v xml:space="preserve"> </v>
          </cell>
          <cell r="D67">
            <v>42067.88</v>
          </cell>
          <cell r="E67">
            <v>0</v>
          </cell>
          <cell r="F67">
            <v>3969.6</v>
          </cell>
          <cell r="G67" t="str">
            <v xml:space="preserve"> </v>
          </cell>
          <cell r="H67">
            <v>46037.48</v>
          </cell>
        </row>
        <row r="68">
          <cell r="A68" t="str">
            <v>0000-200-000</v>
          </cell>
          <cell r="B68" t="str">
            <v>PASIVOS</v>
          </cell>
          <cell r="C68" t="str">
            <v xml:space="preserve"> </v>
          </cell>
          <cell r="D68">
            <v>875860.83</v>
          </cell>
          <cell r="E68">
            <v>378345.34</v>
          </cell>
          <cell r="F68">
            <v>453538.68</v>
          </cell>
          <cell r="G68" t="str">
            <v xml:space="preserve"> </v>
          </cell>
          <cell r="H68">
            <v>951054.17</v>
          </cell>
        </row>
        <row r="69">
          <cell r="A69" t="str">
            <v>2100-000-000</v>
          </cell>
          <cell r="B69" t="str">
            <v>PASIVO CIRCULANTE</v>
          </cell>
          <cell r="C69" t="str">
            <v xml:space="preserve"> </v>
          </cell>
          <cell r="D69">
            <v>875860.83</v>
          </cell>
          <cell r="E69">
            <v>378345.34</v>
          </cell>
          <cell r="F69">
            <v>453538.68</v>
          </cell>
          <cell r="G69" t="str">
            <v xml:space="preserve"> </v>
          </cell>
          <cell r="H69">
            <v>951054.17</v>
          </cell>
        </row>
        <row r="70">
          <cell r="A70" t="str">
            <v>2106-000-000</v>
          </cell>
          <cell r="B70" t="str">
            <v>Acreedores Diversos</v>
          </cell>
          <cell r="C70" t="str">
            <v xml:space="preserve"> </v>
          </cell>
          <cell r="D70">
            <v>761024.33</v>
          </cell>
          <cell r="E70">
            <v>267248.8</v>
          </cell>
          <cell r="F70">
            <v>267248.8</v>
          </cell>
          <cell r="G70" t="str">
            <v xml:space="preserve"> </v>
          </cell>
          <cell r="H70">
            <v>761024.33</v>
          </cell>
        </row>
        <row r="71">
          <cell r="A71" t="str">
            <v>2106-001-000</v>
          </cell>
          <cell r="B71" t="str">
            <v>A</v>
          </cell>
          <cell r="C71" t="str">
            <v xml:space="preserve"> </v>
          </cell>
          <cell r="D71">
            <v>761024.3</v>
          </cell>
          <cell r="E71">
            <v>0</v>
          </cell>
          <cell r="F71">
            <v>0</v>
          </cell>
          <cell r="G71" t="str">
            <v xml:space="preserve"> </v>
          </cell>
          <cell r="H71">
            <v>761024.3</v>
          </cell>
        </row>
        <row r="72">
          <cell r="A72" t="str">
            <v>2106-001-001</v>
          </cell>
          <cell r="B72" t="str">
            <v>1A Auto Inc.</v>
          </cell>
          <cell r="C72" t="str">
            <v xml:space="preserve"> </v>
          </cell>
          <cell r="D72">
            <v>761024.3</v>
          </cell>
          <cell r="E72">
            <v>0</v>
          </cell>
          <cell r="F72">
            <v>0</v>
          </cell>
          <cell r="G72" t="str">
            <v xml:space="preserve"> </v>
          </cell>
          <cell r="H72">
            <v>761024.3</v>
          </cell>
        </row>
        <row r="73">
          <cell r="A73" t="str">
            <v>2106-017-000</v>
          </cell>
          <cell r="B73" t="str">
            <v>P</v>
          </cell>
          <cell r="C73" t="str">
            <v xml:space="preserve"> </v>
          </cell>
          <cell r="D73">
            <v>0.03</v>
          </cell>
          <cell r="E73">
            <v>0</v>
          </cell>
          <cell r="F73">
            <v>0</v>
          </cell>
          <cell r="G73" t="str">
            <v xml:space="preserve"> </v>
          </cell>
          <cell r="H73">
            <v>0.03</v>
          </cell>
        </row>
        <row r="74">
          <cell r="A74" t="str">
            <v>2106-017-002</v>
          </cell>
          <cell r="B74" t="str">
            <v>PTU</v>
          </cell>
          <cell r="C74" t="str">
            <v xml:space="preserve"> </v>
          </cell>
          <cell r="D74">
            <v>0.03</v>
          </cell>
          <cell r="E74">
            <v>0</v>
          </cell>
          <cell r="F74">
            <v>0</v>
          </cell>
          <cell r="G74" t="str">
            <v xml:space="preserve"> </v>
          </cell>
          <cell r="H74">
            <v>0.03</v>
          </cell>
        </row>
        <row r="75">
          <cell r="A75" t="str">
            <v>2106-023-000</v>
          </cell>
          <cell r="B75" t="str">
            <v>V</v>
          </cell>
          <cell r="C75" t="str">
            <v xml:space="preserve"> </v>
          </cell>
          <cell r="D75">
            <v>0</v>
          </cell>
          <cell r="E75">
            <v>18150</v>
          </cell>
          <cell r="F75">
            <v>18150</v>
          </cell>
          <cell r="G75" t="str">
            <v xml:space="preserve"> </v>
          </cell>
          <cell r="H75">
            <v>0</v>
          </cell>
        </row>
        <row r="76">
          <cell r="A76" t="str">
            <v>2106-023-001</v>
          </cell>
          <cell r="B76" t="str">
            <v>Vales de despensa</v>
          </cell>
          <cell r="C76" t="str">
            <v xml:space="preserve"> </v>
          </cell>
          <cell r="D76">
            <v>0</v>
          </cell>
          <cell r="E76">
            <v>10800</v>
          </cell>
          <cell r="F76">
            <v>10800</v>
          </cell>
          <cell r="G76" t="str">
            <v xml:space="preserve"> </v>
          </cell>
          <cell r="H76">
            <v>0</v>
          </cell>
        </row>
        <row r="77">
          <cell r="A77" t="str">
            <v>2106-023-002</v>
          </cell>
          <cell r="B77" t="str">
            <v>Vales de gasolina</v>
          </cell>
          <cell r="C77" t="str">
            <v xml:space="preserve"> </v>
          </cell>
          <cell r="D77">
            <v>0</v>
          </cell>
          <cell r="E77">
            <v>7350</v>
          </cell>
          <cell r="F77">
            <v>7350</v>
          </cell>
          <cell r="G77" t="str">
            <v xml:space="preserve"> </v>
          </cell>
          <cell r="H77">
            <v>0</v>
          </cell>
        </row>
        <row r="78">
          <cell r="A78" t="str">
            <v>2106-100-000</v>
          </cell>
          <cell r="B78" t="str">
            <v>Sueldos por pagar</v>
          </cell>
          <cell r="C78" t="str">
            <v xml:space="preserve"> </v>
          </cell>
          <cell r="D78">
            <v>0</v>
          </cell>
          <cell r="E78">
            <v>249098.8</v>
          </cell>
          <cell r="F78">
            <v>249098.8</v>
          </cell>
          <cell r="G78" t="str">
            <v xml:space="preserve"> </v>
          </cell>
          <cell r="H78">
            <v>0</v>
          </cell>
        </row>
        <row r="79">
          <cell r="A79" t="str">
            <v>2108-000-000</v>
          </cell>
          <cell r="B79" t="str">
            <v>Impuestos por pagar</v>
          </cell>
          <cell r="C79" t="str">
            <v xml:space="preserve"> </v>
          </cell>
          <cell r="D79">
            <v>114836.5</v>
          </cell>
          <cell r="E79">
            <v>111096.54</v>
          </cell>
          <cell r="F79">
            <v>186289.88</v>
          </cell>
          <cell r="G79" t="str">
            <v xml:space="preserve"> </v>
          </cell>
          <cell r="H79">
            <v>190029.84</v>
          </cell>
        </row>
        <row r="80">
          <cell r="A80" t="str">
            <v>2108-001-000</v>
          </cell>
          <cell r="B80" t="str">
            <v>ISPT</v>
          </cell>
          <cell r="C80" t="str">
            <v xml:space="preserve"> </v>
          </cell>
          <cell r="D80">
            <v>72926.009999999995</v>
          </cell>
          <cell r="E80">
            <v>72924</v>
          </cell>
          <cell r="F80">
            <v>74760.08</v>
          </cell>
          <cell r="G80" t="str">
            <v xml:space="preserve"> </v>
          </cell>
          <cell r="H80">
            <v>74762.09</v>
          </cell>
        </row>
        <row r="81">
          <cell r="A81" t="str">
            <v>2108-002-000</v>
          </cell>
          <cell r="B81" t="str">
            <v>ISN</v>
          </cell>
          <cell r="C81" t="str">
            <v xml:space="preserve"> </v>
          </cell>
          <cell r="D81">
            <v>7985</v>
          </cell>
          <cell r="E81">
            <v>7985</v>
          </cell>
          <cell r="F81">
            <v>7897</v>
          </cell>
          <cell r="G81" t="str">
            <v xml:space="preserve"> </v>
          </cell>
          <cell r="H81">
            <v>7897</v>
          </cell>
        </row>
        <row r="82">
          <cell r="A82" t="str">
            <v>2108-003-000</v>
          </cell>
          <cell r="B82" t="str">
            <v>IMSS</v>
          </cell>
          <cell r="C82" t="str">
            <v xml:space="preserve"> </v>
          </cell>
          <cell r="D82">
            <v>30187.54</v>
          </cell>
          <cell r="E82">
            <v>30187.54</v>
          </cell>
          <cell r="F82">
            <v>31193.79</v>
          </cell>
          <cell r="G82" t="str">
            <v xml:space="preserve"> </v>
          </cell>
          <cell r="H82">
            <v>31193.79</v>
          </cell>
        </row>
        <row r="83">
          <cell r="A83" t="str">
            <v>2108-004-000</v>
          </cell>
          <cell r="B83" t="str">
            <v>INFONAVIT</v>
          </cell>
          <cell r="C83" t="str">
            <v xml:space="preserve"> </v>
          </cell>
          <cell r="D83">
            <v>0</v>
          </cell>
          <cell r="E83">
            <v>0</v>
          </cell>
          <cell r="F83">
            <v>33781.43</v>
          </cell>
          <cell r="G83" t="str">
            <v xml:space="preserve"> </v>
          </cell>
          <cell r="H83">
            <v>33781.43</v>
          </cell>
        </row>
        <row r="84">
          <cell r="A84" t="str">
            <v>2108-005-000</v>
          </cell>
          <cell r="B84" t="str">
            <v>SAR</v>
          </cell>
          <cell r="C84" t="str">
            <v xml:space="preserve"> </v>
          </cell>
          <cell r="D84">
            <v>3738.08</v>
          </cell>
          <cell r="E84">
            <v>0</v>
          </cell>
          <cell r="F84">
            <v>38657.58</v>
          </cell>
          <cell r="G84" t="str">
            <v xml:space="preserve"> </v>
          </cell>
          <cell r="H84">
            <v>42395.66</v>
          </cell>
        </row>
        <row r="85">
          <cell r="A85" t="str">
            <v>2108-008-000</v>
          </cell>
          <cell r="B85" t="str">
            <v>ISPT Assimilated</v>
          </cell>
          <cell r="C85" t="str">
            <v xml:space="preserve"> </v>
          </cell>
          <cell r="D85">
            <v>-0.14000000000000001</v>
          </cell>
          <cell r="E85">
            <v>0</v>
          </cell>
          <cell r="F85">
            <v>0</v>
          </cell>
          <cell r="G85" t="str">
            <v xml:space="preserve"> </v>
          </cell>
          <cell r="H85">
            <v>-0.14000000000000001</v>
          </cell>
        </row>
        <row r="86">
          <cell r="A86" t="str">
            <v>2108-020-000</v>
          </cell>
          <cell r="B86" t="str">
            <v>Infonavit creditos</v>
          </cell>
          <cell r="C86" t="str">
            <v xml:space="preserve"> </v>
          </cell>
          <cell r="D86">
            <v>0.01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0.01</v>
          </cell>
        </row>
        <row r="87">
          <cell r="A87" t="str">
            <v>0000-300-000</v>
          </cell>
          <cell r="B87" t="str">
            <v>CAPITAL</v>
          </cell>
          <cell r="C87" t="str">
            <v xml:space="preserve"> </v>
          </cell>
          <cell r="D87">
            <v>-221330.79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-221330.79</v>
          </cell>
        </row>
        <row r="88">
          <cell r="A88" t="str">
            <v>3100-000-000</v>
          </cell>
          <cell r="B88" t="str">
            <v>Aportaciones de Capital</v>
          </cell>
          <cell r="C88" t="str">
            <v xml:space="preserve"> </v>
          </cell>
          <cell r="D88">
            <v>3000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3000</v>
          </cell>
        </row>
        <row r="89">
          <cell r="A89" t="str">
            <v>3300-000-000</v>
          </cell>
          <cell r="B89" t="str">
            <v>Remanente de Ej anteriores</v>
          </cell>
          <cell r="C89" t="str">
            <v xml:space="preserve"> </v>
          </cell>
          <cell r="D89">
            <v>-224330.79</v>
          </cell>
          <cell r="E89">
            <v>0</v>
          </cell>
          <cell r="F89">
            <v>0</v>
          </cell>
          <cell r="G89" t="str">
            <v xml:space="preserve"> </v>
          </cell>
          <cell r="H89">
            <v>-224330.79</v>
          </cell>
        </row>
        <row r="90">
          <cell r="A90" t="str">
            <v>3300-001-000</v>
          </cell>
          <cell r="B90" t="str">
            <v>Resultado del Ejercicio 2013</v>
          </cell>
          <cell r="C90" t="str">
            <v xml:space="preserve"> </v>
          </cell>
          <cell r="D90">
            <v>-411059.15</v>
          </cell>
          <cell r="E90">
            <v>0</v>
          </cell>
          <cell r="F90">
            <v>0</v>
          </cell>
          <cell r="G90" t="str">
            <v xml:space="preserve"> </v>
          </cell>
          <cell r="H90">
            <v>-411059.15</v>
          </cell>
        </row>
        <row r="91">
          <cell r="A91" t="str">
            <v>3300-002-000</v>
          </cell>
          <cell r="B91" t="str">
            <v>Resultado del Ejercicio 2014</v>
          </cell>
          <cell r="C91" t="str">
            <v xml:space="preserve"> </v>
          </cell>
          <cell r="D91">
            <v>186728.36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186728.36</v>
          </cell>
        </row>
        <row r="92">
          <cell r="A92" t="str">
            <v>0000-400-000</v>
          </cell>
          <cell r="B92" t="str">
            <v>INGRESOS</v>
          </cell>
          <cell r="C92" t="str">
            <v xml:space="preserve"> </v>
          </cell>
          <cell r="D92">
            <v>5489144.1500000004</v>
          </cell>
          <cell r="E92">
            <v>0</v>
          </cell>
          <cell r="F92">
            <v>650796.07999999996</v>
          </cell>
          <cell r="G92" t="str">
            <v xml:space="preserve"> </v>
          </cell>
          <cell r="H92">
            <v>6139940.2300000004</v>
          </cell>
        </row>
        <row r="93">
          <cell r="A93" t="str">
            <v>4100-002-000</v>
          </cell>
          <cell r="B93" t="str">
            <v>0% Ventas</v>
          </cell>
          <cell r="C93" t="str">
            <v xml:space="preserve"> </v>
          </cell>
          <cell r="D93">
            <v>5481930.2000000002</v>
          </cell>
          <cell r="E93">
            <v>0</v>
          </cell>
          <cell r="F93">
            <v>650623.67000000004</v>
          </cell>
          <cell r="G93" t="str">
            <v xml:space="preserve"> </v>
          </cell>
          <cell r="H93">
            <v>6132553.8700000001</v>
          </cell>
        </row>
        <row r="94">
          <cell r="A94" t="str">
            <v>4100-005-000</v>
          </cell>
          <cell r="B94" t="str">
            <v>Otros Ingresos</v>
          </cell>
          <cell r="C94" t="str">
            <v xml:space="preserve"> </v>
          </cell>
          <cell r="D94">
            <v>2437.8000000000002</v>
          </cell>
          <cell r="E94">
            <v>0</v>
          </cell>
          <cell r="F94">
            <v>0</v>
          </cell>
          <cell r="G94" t="str">
            <v xml:space="preserve"> </v>
          </cell>
          <cell r="H94">
            <v>2437.8000000000002</v>
          </cell>
        </row>
        <row r="95">
          <cell r="A95" t="str">
            <v>4100-005-002</v>
          </cell>
          <cell r="B95" t="str">
            <v>Reembolso de gastos medicos</v>
          </cell>
          <cell r="C95" t="str">
            <v xml:space="preserve"> </v>
          </cell>
          <cell r="D95">
            <v>2437.8000000000002</v>
          </cell>
          <cell r="E95">
            <v>0</v>
          </cell>
          <cell r="F95">
            <v>0</v>
          </cell>
          <cell r="G95" t="str">
            <v xml:space="preserve"> </v>
          </cell>
          <cell r="H95">
            <v>2437.8000000000002</v>
          </cell>
        </row>
        <row r="96">
          <cell r="A96" t="str">
            <v>4100-006-000</v>
          </cell>
          <cell r="B96" t="str">
            <v>Desc sobre Compras</v>
          </cell>
          <cell r="C96" t="str">
            <v xml:space="preserve"> </v>
          </cell>
          <cell r="D96">
            <v>4776.1499999999996</v>
          </cell>
          <cell r="E96">
            <v>0</v>
          </cell>
          <cell r="F96">
            <v>172.41</v>
          </cell>
          <cell r="G96" t="str">
            <v xml:space="preserve"> </v>
          </cell>
          <cell r="H96">
            <v>4948.5600000000004</v>
          </cell>
        </row>
        <row r="97">
          <cell r="A97" t="str">
            <v>0000-500-000</v>
          </cell>
          <cell r="B97" t="str">
            <v>GASTOS</v>
          </cell>
          <cell r="C97">
            <v>5035923.8</v>
          </cell>
          <cell r="D97" t="str">
            <v xml:space="preserve"> </v>
          </cell>
          <cell r="E97">
            <v>658554.99</v>
          </cell>
          <cell r="F97">
            <v>0</v>
          </cell>
          <cell r="G97">
            <v>5694478.79</v>
          </cell>
          <cell r="H97" t="str">
            <v xml:space="preserve"> </v>
          </cell>
        </row>
        <row r="98">
          <cell r="A98" t="str">
            <v>5200-000-000</v>
          </cell>
          <cell r="B98" t="str">
            <v>GASTOS DE NOMINA</v>
          </cell>
          <cell r="C98">
            <v>4021435.47</v>
          </cell>
          <cell r="D98" t="str">
            <v xml:space="preserve"> </v>
          </cell>
          <cell r="E98">
            <v>454446.57</v>
          </cell>
          <cell r="F98">
            <v>0</v>
          </cell>
          <cell r="G98">
            <v>4475882.04</v>
          </cell>
          <cell r="H98" t="str">
            <v xml:space="preserve"> </v>
          </cell>
        </row>
        <row r="99">
          <cell r="A99" t="str">
            <v>5200-001-000</v>
          </cell>
          <cell r="B99" t="str">
            <v>Sueldos</v>
          </cell>
          <cell r="C99">
            <v>3121793.05</v>
          </cell>
          <cell r="D99" t="str">
            <v xml:space="preserve"> </v>
          </cell>
          <cell r="E99">
            <v>308712.19</v>
          </cell>
          <cell r="F99">
            <v>0</v>
          </cell>
          <cell r="G99">
            <v>3430505.24</v>
          </cell>
          <cell r="H99" t="str">
            <v xml:space="preserve"> </v>
          </cell>
        </row>
        <row r="100">
          <cell r="A100" t="str">
            <v>5200-004-000</v>
          </cell>
          <cell r="B100" t="str">
            <v>Vales de despensa</v>
          </cell>
          <cell r="C100">
            <v>104400</v>
          </cell>
          <cell r="D100" t="str">
            <v xml:space="preserve"> </v>
          </cell>
          <cell r="E100">
            <v>10800</v>
          </cell>
          <cell r="F100">
            <v>0</v>
          </cell>
          <cell r="G100">
            <v>115200</v>
          </cell>
          <cell r="H100" t="str">
            <v xml:space="preserve"> </v>
          </cell>
        </row>
        <row r="101">
          <cell r="A101" t="str">
            <v>5200-007-000</v>
          </cell>
          <cell r="B101" t="str">
            <v>IMSS</v>
          </cell>
          <cell r="C101">
            <v>199986.49</v>
          </cell>
          <cell r="D101" t="str">
            <v xml:space="preserve"> </v>
          </cell>
          <cell r="E101">
            <v>25711.01</v>
          </cell>
          <cell r="F101">
            <v>0</v>
          </cell>
          <cell r="G101">
            <v>225697.5</v>
          </cell>
          <cell r="H101" t="str">
            <v xml:space="preserve"> </v>
          </cell>
        </row>
        <row r="102">
          <cell r="A102" t="str">
            <v>5200-008-000</v>
          </cell>
          <cell r="B102" t="str">
            <v>SAR</v>
          </cell>
          <cell r="C102">
            <v>152619.44</v>
          </cell>
          <cell r="D102" t="str">
            <v xml:space="preserve"> </v>
          </cell>
          <cell r="E102">
            <v>34794.879999999997</v>
          </cell>
          <cell r="F102">
            <v>0</v>
          </cell>
          <cell r="G102">
            <v>187414.32</v>
          </cell>
          <cell r="H102" t="str">
            <v xml:space="preserve"> </v>
          </cell>
        </row>
        <row r="103">
          <cell r="A103" t="str">
            <v>5200-009-000</v>
          </cell>
          <cell r="B103" t="str">
            <v>INFONAVIT</v>
          </cell>
          <cell r="C103">
            <v>127474.36</v>
          </cell>
          <cell r="D103" t="str">
            <v xml:space="preserve"> </v>
          </cell>
          <cell r="E103">
            <v>33781.43</v>
          </cell>
          <cell r="F103">
            <v>0</v>
          </cell>
          <cell r="G103">
            <v>161255.79</v>
          </cell>
          <cell r="H103" t="str">
            <v xml:space="preserve"> </v>
          </cell>
        </row>
        <row r="104">
          <cell r="A104" t="str">
            <v>5200-010-000</v>
          </cell>
          <cell r="B104" t="str">
            <v>ISN</v>
          </cell>
          <cell r="C104">
            <v>78102</v>
          </cell>
          <cell r="D104" t="str">
            <v xml:space="preserve"> </v>
          </cell>
          <cell r="E104">
            <v>7897</v>
          </cell>
          <cell r="F104">
            <v>0</v>
          </cell>
          <cell r="G104">
            <v>85999</v>
          </cell>
          <cell r="H104" t="str">
            <v xml:space="preserve"> </v>
          </cell>
        </row>
        <row r="105">
          <cell r="A105" t="str">
            <v>5200-012-000</v>
          </cell>
          <cell r="B105" t="str">
            <v>Vacaciones</v>
          </cell>
          <cell r="C105">
            <v>118373.73</v>
          </cell>
          <cell r="D105" t="str">
            <v xml:space="preserve"> </v>
          </cell>
          <cell r="E105">
            <v>17320.61</v>
          </cell>
          <cell r="F105">
            <v>0</v>
          </cell>
          <cell r="G105">
            <v>135694.34</v>
          </cell>
          <cell r="H105" t="str">
            <v xml:space="preserve"> </v>
          </cell>
        </row>
        <row r="106">
          <cell r="A106" t="str">
            <v>5200-013-000</v>
          </cell>
          <cell r="B106" t="str">
            <v>Prima Vacacional</v>
          </cell>
          <cell r="C106">
            <v>24419.360000000001</v>
          </cell>
          <cell r="D106" t="str">
            <v xml:space="preserve"> </v>
          </cell>
          <cell r="E106">
            <v>7171.95</v>
          </cell>
          <cell r="F106">
            <v>0</v>
          </cell>
          <cell r="G106">
            <v>31591.31</v>
          </cell>
          <cell r="H106" t="str">
            <v xml:space="preserve"> </v>
          </cell>
        </row>
        <row r="107">
          <cell r="A107" t="str">
            <v>5200-014-000</v>
          </cell>
          <cell r="B107" t="str">
            <v>Aguinaldo</v>
          </cell>
          <cell r="C107">
            <v>20879.54</v>
          </cell>
          <cell r="D107" t="str">
            <v xml:space="preserve"> </v>
          </cell>
          <cell r="E107">
            <v>0</v>
          </cell>
          <cell r="F107">
            <v>0</v>
          </cell>
          <cell r="G107">
            <v>20879.54</v>
          </cell>
          <cell r="H107" t="str">
            <v xml:space="preserve"> </v>
          </cell>
        </row>
        <row r="108">
          <cell r="A108" t="str">
            <v>5200-021-000</v>
          </cell>
          <cell r="B108" t="str">
            <v>Comisiones Vales</v>
          </cell>
          <cell r="C108">
            <v>8637.5</v>
          </cell>
          <cell r="D108" t="str">
            <v xml:space="preserve"> </v>
          </cell>
          <cell r="E108">
            <v>907.5</v>
          </cell>
          <cell r="F108">
            <v>0</v>
          </cell>
          <cell r="G108">
            <v>9545</v>
          </cell>
          <cell r="H108" t="str">
            <v xml:space="preserve"> </v>
          </cell>
        </row>
        <row r="109">
          <cell r="A109" t="str">
            <v>5200-027-000</v>
          </cell>
          <cell r="B109" t="str">
            <v>Vales de gasolina</v>
          </cell>
          <cell r="C109">
            <v>64750</v>
          </cell>
          <cell r="D109" t="str">
            <v xml:space="preserve"> </v>
          </cell>
          <cell r="E109">
            <v>7350</v>
          </cell>
          <cell r="F109">
            <v>0</v>
          </cell>
          <cell r="G109">
            <v>72100</v>
          </cell>
          <cell r="H109" t="str">
            <v xml:space="preserve"> </v>
          </cell>
        </row>
        <row r="110">
          <cell r="A110" t="str">
            <v>5300-000-000</v>
          </cell>
          <cell r="B110" t="str">
            <v>GASTOS DE ADMINISTRACION</v>
          </cell>
          <cell r="C110">
            <v>841590.51</v>
          </cell>
          <cell r="D110" t="str">
            <v xml:space="preserve"> </v>
          </cell>
          <cell r="E110">
            <v>169711.62</v>
          </cell>
          <cell r="F110">
            <v>0</v>
          </cell>
          <cell r="G110">
            <v>1011302.13</v>
          </cell>
          <cell r="H110" t="str">
            <v xml:space="preserve"> </v>
          </cell>
        </row>
        <row r="111">
          <cell r="A111" t="str">
            <v>5300-002-000</v>
          </cell>
          <cell r="B111" t="str">
            <v>Gastos de viaje</v>
          </cell>
          <cell r="C111">
            <v>99970.78</v>
          </cell>
          <cell r="D111" t="str">
            <v xml:space="preserve"> </v>
          </cell>
          <cell r="E111">
            <v>0</v>
          </cell>
          <cell r="F111">
            <v>0</v>
          </cell>
          <cell r="G111">
            <v>99970.78</v>
          </cell>
          <cell r="H111" t="str">
            <v xml:space="preserve"> </v>
          </cell>
        </row>
        <row r="112">
          <cell r="A112" t="str">
            <v>5300-003-000</v>
          </cell>
          <cell r="B112" t="str">
            <v>Eventos especiales</v>
          </cell>
          <cell r="C112">
            <v>30807.35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30807.35</v>
          </cell>
          <cell r="H112" t="str">
            <v xml:space="preserve"> </v>
          </cell>
        </row>
        <row r="113">
          <cell r="A113" t="str">
            <v>5300-004-000</v>
          </cell>
          <cell r="B113" t="str">
            <v>Consumo en Restaurantes</v>
          </cell>
          <cell r="C113">
            <v>325.27</v>
          </cell>
          <cell r="D113" t="str">
            <v xml:space="preserve"> </v>
          </cell>
          <cell r="E113">
            <v>42.2</v>
          </cell>
          <cell r="F113">
            <v>0</v>
          </cell>
          <cell r="G113">
            <v>367.47</v>
          </cell>
          <cell r="H113" t="str">
            <v xml:space="preserve"> </v>
          </cell>
        </row>
        <row r="114">
          <cell r="A114" t="str">
            <v>5300-006-000</v>
          </cell>
          <cell r="B114" t="str">
            <v>Comunicacion</v>
          </cell>
          <cell r="C114">
            <v>31614.05</v>
          </cell>
          <cell r="D114" t="str">
            <v xml:space="preserve"> </v>
          </cell>
          <cell r="E114">
            <v>3447.02</v>
          </cell>
          <cell r="F114">
            <v>0</v>
          </cell>
          <cell r="G114">
            <v>35061.07</v>
          </cell>
          <cell r="H114" t="str">
            <v xml:space="preserve"> </v>
          </cell>
        </row>
        <row r="115">
          <cell r="A115" t="str">
            <v>5300-007-000</v>
          </cell>
          <cell r="B115" t="str">
            <v>Honorarios</v>
          </cell>
          <cell r="C115">
            <v>131500</v>
          </cell>
          <cell r="D115" t="str">
            <v xml:space="preserve"> </v>
          </cell>
          <cell r="E115">
            <v>7500</v>
          </cell>
          <cell r="F115">
            <v>0</v>
          </cell>
          <cell r="G115">
            <v>139000</v>
          </cell>
          <cell r="H115" t="str">
            <v xml:space="preserve"> </v>
          </cell>
        </row>
        <row r="116">
          <cell r="A116" t="str">
            <v>5300-008-000</v>
          </cell>
          <cell r="B116" t="str">
            <v>Servicios Profesionales</v>
          </cell>
          <cell r="C116">
            <v>0</v>
          </cell>
          <cell r="D116" t="str">
            <v xml:space="preserve"> </v>
          </cell>
          <cell r="E116">
            <v>45663</v>
          </cell>
          <cell r="F116">
            <v>0</v>
          </cell>
          <cell r="G116">
            <v>45663</v>
          </cell>
          <cell r="H116" t="str">
            <v xml:space="preserve"> </v>
          </cell>
        </row>
        <row r="117">
          <cell r="A117" t="str">
            <v>5300-009-000</v>
          </cell>
          <cell r="B117" t="str">
            <v>Arrendamiento</v>
          </cell>
          <cell r="C117">
            <v>176700</v>
          </cell>
          <cell r="D117" t="str">
            <v xml:space="preserve"> </v>
          </cell>
          <cell r="E117">
            <v>28350</v>
          </cell>
          <cell r="F117">
            <v>0</v>
          </cell>
          <cell r="G117">
            <v>205050</v>
          </cell>
          <cell r="H117" t="str">
            <v xml:space="preserve"> </v>
          </cell>
        </row>
        <row r="118">
          <cell r="A118" t="str">
            <v>5300-013-000</v>
          </cell>
          <cell r="B118" t="str">
            <v>Seguros</v>
          </cell>
          <cell r="C118">
            <v>51981.440000000002</v>
          </cell>
          <cell r="D118" t="str">
            <v xml:space="preserve"> </v>
          </cell>
          <cell r="E118">
            <v>10118.98</v>
          </cell>
          <cell r="F118">
            <v>0</v>
          </cell>
          <cell r="G118">
            <v>62100.42</v>
          </cell>
          <cell r="H118" t="str">
            <v xml:space="preserve"> </v>
          </cell>
        </row>
        <row r="119">
          <cell r="A119" t="str">
            <v>5300-017-000</v>
          </cell>
          <cell r="B119" t="str">
            <v>Luz</v>
          </cell>
          <cell r="C119">
            <v>13564.99</v>
          </cell>
          <cell r="D119" t="str">
            <v xml:space="preserve"> </v>
          </cell>
          <cell r="E119">
            <v>4303.9399999999996</v>
          </cell>
          <cell r="F119">
            <v>0</v>
          </cell>
          <cell r="G119">
            <v>17868.93</v>
          </cell>
          <cell r="H119" t="str">
            <v xml:space="preserve"> </v>
          </cell>
        </row>
        <row r="120">
          <cell r="A120" t="str">
            <v>5300-018-000</v>
          </cell>
          <cell r="B120" t="str">
            <v>Gas Natural</v>
          </cell>
          <cell r="C120">
            <v>5996.26</v>
          </cell>
          <cell r="D120" t="str">
            <v xml:space="preserve"> </v>
          </cell>
          <cell r="E120">
            <v>0</v>
          </cell>
          <cell r="F120">
            <v>0</v>
          </cell>
          <cell r="G120">
            <v>5996.26</v>
          </cell>
          <cell r="H120" t="str">
            <v xml:space="preserve"> </v>
          </cell>
        </row>
        <row r="121">
          <cell r="A121" t="str">
            <v>5300-019-000</v>
          </cell>
          <cell r="B121" t="str">
            <v>Agua</v>
          </cell>
          <cell r="C121">
            <v>1818.36</v>
          </cell>
          <cell r="D121" t="str">
            <v xml:space="preserve"> </v>
          </cell>
          <cell r="E121">
            <v>202.04</v>
          </cell>
          <cell r="F121">
            <v>0</v>
          </cell>
          <cell r="G121">
            <v>2020.4</v>
          </cell>
          <cell r="H121" t="str">
            <v xml:space="preserve"> </v>
          </cell>
        </row>
        <row r="122">
          <cell r="A122" t="str">
            <v>5300-022-000</v>
          </cell>
          <cell r="B122" t="str">
            <v>Papeleria</v>
          </cell>
          <cell r="C122">
            <v>111.21</v>
          </cell>
          <cell r="D122" t="str">
            <v xml:space="preserve"> </v>
          </cell>
          <cell r="E122">
            <v>0</v>
          </cell>
          <cell r="F122">
            <v>0</v>
          </cell>
          <cell r="G122">
            <v>111.21</v>
          </cell>
          <cell r="H122" t="str">
            <v xml:space="preserve"> </v>
          </cell>
        </row>
        <row r="123">
          <cell r="A123" t="str">
            <v>5300-027-000</v>
          </cell>
          <cell r="B123" t="str">
            <v>Seguridad e Higiene</v>
          </cell>
          <cell r="C123">
            <v>7200</v>
          </cell>
          <cell r="D123" t="str">
            <v xml:space="preserve"> </v>
          </cell>
          <cell r="E123">
            <v>0</v>
          </cell>
          <cell r="F123">
            <v>0</v>
          </cell>
          <cell r="G123">
            <v>7200</v>
          </cell>
          <cell r="H123" t="str">
            <v xml:space="preserve"> </v>
          </cell>
        </row>
        <row r="124">
          <cell r="A124" t="str">
            <v>5300-028-000</v>
          </cell>
          <cell r="B124" t="str">
            <v>Recolección de Basura</v>
          </cell>
          <cell r="C124">
            <v>940.8</v>
          </cell>
          <cell r="D124" t="str">
            <v xml:space="preserve"> </v>
          </cell>
          <cell r="E124">
            <v>134.4</v>
          </cell>
          <cell r="F124">
            <v>0</v>
          </cell>
          <cell r="G124">
            <v>1075.2</v>
          </cell>
          <cell r="H124" t="str">
            <v xml:space="preserve"> </v>
          </cell>
        </row>
        <row r="125">
          <cell r="A125" t="str">
            <v>5300-029-000</v>
          </cell>
          <cell r="B125" t="str">
            <v>Sistemas de Alarma</v>
          </cell>
          <cell r="C125">
            <v>2700</v>
          </cell>
          <cell r="D125" t="str">
            <v xml:space="preserve"> </v>
          </cell>
          <cell r="E125">
            <v>0</v>
          </cell>
          <cell r="F125">
            <v>0</v>
          </cell>
          <cell r="G125">
            <v>2700</v>
          </cell>
          <cell r="H125" t="str">
            <v xml:space="preserve"> </v>
          </cell>
        </row>
        <row r="126">
          <cell r="A126" t="str">
            <v>5300-031-000</v>
          </cell>
          <cell r="B126" t="str">
            <v>Cuotas y Suscripciones</v>
          </cell>
          <cell r="C126">
            <v>180</v>
          </cell>
          <cell r="D126" t="str">
            <v xml:space="preserve"> </v>
          </cell>
          <cell r="E126">
            <v>0</v>
          </cell>
          <cell r="F126">
            <v>0</v>
          </cell>
          <cell r="G126">
            <v>180</v>
          </cell>
          <cell r="H126" t="str">
            <v xml:space="preserve"> </v>
          </cell>
        </row>
        <row r="127">
          <cell r="A127" t="str">
            <v>5300-032-000</v>
          </cell>
          <cell r="B127" t="str">
            <v>Otros impuestos y derechos</v>
          </cell>
          <cell r="C127">
            <v>1959.61</v>
          </cell>
          <cell r="D127" t="str">
            <v xml:space="preserve"> </v>
          </cell>
          <cell r="E127">
            <v>427.01</v>
          </cell>
          <cell r="F127">
            <v>0</v>
          </cell>
          <cell r="G127">
            <v>2386.62</v>
          </cell>
          <cell r="H127" t="str">
            <v xml:space="preserve"> </v>
          </cell>
        </row>
        <row r="128">
          <cell r="A128" t="str">
            <v>5300-035-000</v>
          </cell>
          <cell r="B128" t="str">
            <v>Mantenimiento Local</v>
          </cell>
          <cell r="C128">
            <v>41906.65</v>
          </cell>
          <cell r="D128" t="str">
            <v xml:space="preserve"> </v>
          </cell>
          <cell r="E128">
            <v>4500</v>
          </cell>
          <cell r="F128">
            <v>0</v>
          </cell>
          <cell r="G128">
            <v>46406.65</v>
          </cell>
          <cell r="H128" t="str">
            <v xml:space="preserve"> </v>
          </cell>
        </row>
        <row r="129">
          <cell r="A129" t="str">
            <v>5300-036-000</v>
          </cell>
          <cell r="B129" t="str">
            <v>Mantenimiento equipo de computo</v>
          </cell>
          <cell r="C129">
            <v>181944.79</v>
          </cell>
          <cell r="D129" t="str">
            <v xml:space="preserve"> </v>
          </cell>
          <cell r="E129">
            <v>61230</v>
          </cell>
          <cell r="F129">
            <v>0</v>
          </cell>
          <cell r="G129">
            <v>243174.79</v>
          </cell>
          <cell r="H129" t="str">
            <v xml:space="preserve"> </v>
          </cell>
        </row>
        <row r="130">
          <cell r="A130" t="str">
            <v>5300-038-000</v>
          </cell>
          <cell r="B130" t="str">
            <v>No deducibles</v>
          </cell>
          <cell r="C130">
            <v>47065.82</v>
          </cell>
          <cell r="D130" t="str">
            <v xml:space="preserve"> </v>
          </cell>
          <cell r="E130">
            <v>527.04999999999995</v>
          </cell>
          <cell r="F130">
            <v>0</v>
          </cell>
          <cell r="G130">
            <v>47592.87</v>
          </cell>
          <cell r="H130" t="str">
            <v xml:space="preserve"> </v>
          </cell>
        </row>
        <row r="131">
          <cell r="A131" t="str">
            <v>5300-039-000</v>
          </cell>
          <cell r="B131" t="str">
            <v>Comisiones bancarias</v>
          </cell>
          <cell r="C131">
            <v>2280</v>
          </cell>
          <cell r="D131" t="str">
            <v xml:space="preserve"> </v>
          </cell>
          <cell r="E131">
            <v>270</v>
          </cell>
          <cell r="F131">
            <v>0</v>
          </cell>
          <cell r="G131">
            <v>2550</v>
          </cell>
          <cell r="H131" t="str">
            <v xml:space="preserve"> </v>
          </cell>
        </row>
        <row r="132">
          <cell r="A132" t="str">
            <v>5300-040-000</v>
          </cell>
          <cell r="B132" t="str">
            <v>Actualizacion de contribuciones</v>
          </cell>
          <cell r="C132">
            <v>119.96</v>
          </cell>
          <cell r="D132" t="str">
            <v xml:space="preserve"> </v>
          </cell>
          <cell r="E132">
            <v>0</v>
          </cell>
          <cell r="F132">
            <v>0</v>
          </cell>
          <cell r="G132">
            <v>119.96</v>
          </cell>
          <cell r="H132" t="str">
            <v xml:space="preserve"> </v>
          </cell>
        </row>
        <row r="133">
          <cell r="A133" t="str">
            <v>5300-041-000</v>
          </cell>
          <cell r="B133" t="str">
            <v>Recargos</v>
          </cell>
          <cell r="C133">
            <v>304.3</v>
          </cell>
          <cell r="D133" t="str">
            <v xml:space="preserve"> </v>
          </cell>
          <cell r="E133">
            <v>0</v>
          </cell>
          <cell r="F133">
            <v>0</v>
          </cell>
          <cell r="G133">
            <v>304.3</v>
          </cell>
          <cell r="H133" t="str">
            <v xml:space="preserve"> </v>
          </cell>
        </row>
        <row r="134">
          <cell r="A134" t="str">
            <v>5300-042-000</v>
          </cell>
          <cell r="B134" t="str">
            <v>Diversos</v>
          </cell>
          <cell r="C134">
            <v>4995.42</v>
          </cell>
          <cell r="D134" t="str">
            <v xml:space="preserve"> </v>
          </cell>
          <cell r="E134">
            <v>2995.98</v>
          </cell>
          <cell r="F134">
            <v>0</v>
          </cell>
          <cell r="G134">
            <v>7991.4</v>
          </cell>
          <cell r="H134" t="str">
            <v xml:space="preserve"> </v>
          </cell>
        </row>
        <row r="135">
          <cell r="A135" t="str">
            <v>5300-046-000</v>
          </cell>
          <cell r="B135" t="str">
            <v>Honorarios legales</v>
          </cell>
          <cell r="C135">
            <v>5603.45</v>
          </cell>
          <cell r="D135" t="str">
            <v xml:space="preserve"> </v>
          </cell>
          <cell r="E135">
            <v>0</v>
          </cell>
          <cell r="F135">
            <v>0</v>
          </cell>
          <cell r="G135">
            <v>5603.45</v>
          </cell>
          <cell r="H135" t="str">
            <v xml:space="preserve"> </v>
          </cell>
        </row>
        <row r="136">
          <cell r="A136" t="str">
            <v>5400-000-000</v>
          </cell>
          <cell r="B136" t="str">
            <v>GASTOS DE OPERACION</v>
          </cell>
          <cell r="C136">
            <v>172897.82</v>
          </cell>
          <cell r="D136" t="str">
            <v xml:space="preserve"> </v>
          </cell>
          <cell r="E136">
            <v>34396.800000000003</v>
          </cell>
          <cell r="F136">
            <v>0</v>
          </cell>
          <cell r="G136">
            <v>207294.62</v>
          </cell>
          <cell r="H136" t="str">
            <v xml:space="preserve"> </v>
          </cell>
        </row>
        <row r="137">
          <cell r="A137" t="str">
            <v>5400-001-000</v>
          </cell>
          <cell r="B137" t="str">
            <v>Depreciacion acumulada</v>
          </cell>
          <cell r="C137">
            <v>27684.67</v>
          </cell>
          <cell r="D137" t="str">
            <v xml:space="preserve"> </v>
          </cell>
          <cell r="E137">
            <v>5216.8</v>
          </cell>
          <cell r="F137">
            <v>0</v>
          </cell>
          <cell r="G137">
            <v>32901.47</v>
          </cell>
          <cell r="H137" t="str">
            <v xml:space="preserve"> </v>
          </cell>
        </row>
        <row r="138">
          <cell r="A138" t="str">
            <v>5400-001-004</v>
          </cell>
          <cell r="B138" t="str">
            <v>Machinery &amp; Equipment accumulated depreciation</v>
          </cell>
          <cell r="C138">
            <v>7701.88</v>
          </cell>
          <cell r="D138" t="str">
            <v xml:space="preserve"> </v>
          </cell>
          <cell r="E138">
            <v>1247.2</v>
          </cell>
          <cell r="F138">
            <v>0</v>
          </cell>
          <cell r="G138">
            <v>8949.08</v>
          </cell>
          <cell r="H138" t="str">
            <v xml:space="preserve"> </v>
          </cell>
        </row>
        <row r="139">
          <cell r="A139" t="str">
            <v>5400-001-005</v>
          </cell>
          <cell r="B139" t="str">
            <v>Computer Equipment accumulated depreciation</v>
          </cell>
          <cell r="C139">
            <v>19982.79</v>
          </cell>
          <cell r="D139" t="str">
            <v xml:space="preserve"> </v>
          </cell>
          <cell r="E139">
            <v>3969.6</v>
          </cell>
          <cell r="F139">
            <v>0</v>
          </cell>
          <cell r="G139">
            <v>23952.39</v>
          </cell>
          <cell r="H139" t="str">
            <v xml:space="preserve"> </v>
          </cell>
        </row>
        <row r="140">
          <cell r="A140" t="str">
            <v>5400-003-000</v>
          </cell>
          <cell r="B140" t="str">
            <v>Eventos Especiales</v>
          </cell>
          <cell r="C140">
            <v>1043.77</v>
          </cell>
          <cell r="D140" t="str">
            <v xml:space="preserve"> </v>
          </cell>
          <cell r="E140">
            <v>0</v>
          </cell>
          <cell r="F140">
            <v>0</v>
          </cell>
          <cell r="G140">
            <v>1043.77</v>
          </cell>
          <cell r="H140" t="str">
            <v xml:space="preserve"> </v>
          </cell>
        </row>
        <row r="141">
          <cell r="A141" t="str">
            <v>5400-004-000</v>
          </cell>
          <cell r="B141" t="str">
            <v>Consumo en Restaurantes</v>
          </cell>
          <cell r="C141">
            <v>89.83</v>
          </cell>
          <cell r="D141" t="str">
            <v xml:space="preserve"> </v>
          </cell>
          <cell r="E141">
            <v>0</v>
          </cell>
          <cell r="F141">
            <v>0</v>
          </cell>
          <cell r="G141">
            <v>89.83</v>
          </cell>
          <cell r="H141" t="str">
            <v xml:space="preserve"> </v>
          </cell>
        </row>
        <row r="142">
          <cell r="A142" t="str">
            <v>5400-006-000</v>
          </cell>
          <cell r="B142" t="str">
            <v>Comunicación</v>
          </cell>
          <cell r="C142">
            <v>6118.96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6118.96</v>
          </cell>
          <cell r="H142" t="str">
            <v xml:space="preserve"> </v>
          </cell>
        </row>
        <row r="143">
          <cell r="A143" t="str">
            <v>5400-007-000</v>
          </cell>
          <cell r="B143" t="str">
            <v>Honorarios</v>
          </cell>
          <cell r="C143">
            <v>76000</v>
          </cell>
          <cell r="D143" t="str">
            <v xml:space="preserve"> </v>
          </cell>
          <cell r="E143">
            <v>28000</v>
          </cell>
          <cell r="F143">
            <v>0</v>
          </cell>
          <cell r="G143">
            <v>104000</v>
          </cell>
          <cell r="H143" t="str">
            <v xml:space="preserve"> </v>
          </cell>
        </row>
        <row r="144">
          <cell r="A144" t="str">
            <v>5400-009-000</v>
          </cell>
          <cell r="B144" t="str">
            <v>Arrendamiento</v>
          </cell>
          <cell r="C144">
            <v>52350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52350</v>
          </cell>
          <cell r="H144" t="str">
            <v xml:space="preserve"> </v>
          </cell>
        </row>
        <row r="145">
          <cell r="A145" t="str">
            <v>5400-014-000</v>
          </cell>
          <cell r="B145" t="str">
            <v>Reclutamiento al Personal</v>
          </cell>
          <cell r="C145">
            <v>0</v>
          </cell>
          <cell r="D145" t="str">
            <v xml:space="preserve"> </v>
          </cell>
          <cell r="E145">
            <v>1180</v>
          </cell>
          <cell r="F145">
            <v>0</v>
          </cell>
          <cell r="G145">
            <v>1180</v>
          </cell>
          <cell r="H145" t="str">
            <v xml:space="preserve"> </v>
          </cell>
        </row>
        <row r="146">
          <cell r="A146" t="str">
            <v>5400-022-000</v>
          </cell>
          <cell r="B146" t="str">
            <v>Papelería y Artículos de Oficina</v>
          </cell>
          <cell r="C146">
            <v>5026.8999999999996</v>
          </cell>
          <cell r="D146" t="str">
            <v xml:space="preserve"> </v>
          </cell>
          <cell r="E146">
            <v>0</v>
          </cell>
          <cell r="F146">
            <v>0</v>
          </cell>
          <cell r="G146">
            <v>5026.8999999999996</v>
          </cell>
          <cell r="H146" t="str">
            <v xml:space="preserve"> </v>
          </cell>
        </row>
        <row r="147">
          <cell r="A147" t="str">
            <v>5400-028-000</v>
          </cell>
          <cell r="B147" t="str">
            <v>Recolección de Basura</v>
          </cell>
          <cell r="C147">
            <v>134.4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134.4</v>
          </cell>
          <cell r="H147" t="str">
            <v xml:space="preserve"> </v>
          </cell>
        </row>
        <row r="148">
          <cell r="A148" t="str">
            <v>5400-038-000</v>
          </cell>
          <cell r="B148" t="str">
            <v>No Deducibles</v>
          </cell>
          <cell r="C148">
            <v>3152.83</v>
          </cell>
          <cell r="D148" t="str">
            <v xml:space="preserve"> </v>
          </cell>
          <cell r="E148">
            <v>0</v>
          </cell>
          <cell r="F148">
            <v>0</v>
          </cell>
          <cell r="G148">
            <v>3152.83</v>
          </cell>
          <cell r="H148" t="str">
            <v xml:space="preserve"> </v>
          </cell>
        </row>
        <row r="149">
          <cell r="A149" t="str">
            <v>5400-046-000</v>
          </cell>
          <cell r="B149" t="str">
            <v>Multas</v>
          </cell>
          <cell r="C149">
            <v>1296.46</v>
          </cell>
          <cell r="D149" t="str">
            <v xml:space="preserve"> </v>
          </cell>
          <cell r="E149">
            <v>0</v>
          </cell>
          <cell r="F149">
            <v>0</v>
          </cell>
          <cell r="G149">
            <v>1296.46</v>
          </cell>
          <cell r="H149" t="str">
            <v xml:space="preserve"> </v>
          </cell>
        </row>
        <row r="150">
          <cell r="A150" t="str">
            <v>0000-600-000</v>
          </cell>
          <cell r="B150" t="str">
            <v>CIF</v>
          </cell>
          <cell r="C150">
            <v>-3173.46</v>
          </cell>
          <cell r="D150" t="str">
            <v xml:space="preserve"> </v>
          </cell>
          <cell r="E150">
            <v>0.04</v>
          </cell>
          <cell r="F150">
            <v>746.43</v>
          </cell>
          <cell r="G150">
            <v>-3919.85</v>
          </cell>
          <cell r="H150" t="str">
            <v xml:space="preserve"> </v>
          </cell>
        </row>
        <row r="151">
          <cell r="A151" t="str">
            <v>6000-001-000</v>
          </cell>
          <cell r="B151" t="str">
            <v>Utilidad en Cambios</v>
          </cell>
          <cell r="C151" t="str">
            <v xml:space="preserve"> </v>
          </cell>
          <cell r="D151">
            <v>12.05</v>
          </cell>
          <cell r="E151">
            <v>0</v>
          </cell>
          <cell r="F151">
            <v>0</v>
          </cell>
          <cell r="G151" t="str">
            <v xml:space="preserve"> </v>
          </cell>
          <cell r="H151">
            <v>12.05</v>
          </cell>
        </row>
        <row r="152">
          <cell r="A152" t="str">
            <v>6000-002-000</v>
          </cell>
          <cell r="B152" t="str">
            <v>Pérdida en Cambios</v>
          </cell>
          <cell r="C152">
            <v>2223.7600000000002</v>
          </cell>
          <cell r="D152" t="str">
            <v xml:space="preserve"> </v>
          </cell>
          <cell r="E152">
            <v>0</v>
          </cell>
          <cell r="F152">
            <v>0</v>
          </cell>
          <cell r="G152">
            <v>2223.7600000000002</v>
          </cell>
          <cell r="H152" t="str">
            <v xml:space="preserve"> </v>
          </cell>
        </row>
        <row r="153">
          <cell r="A153" t="str">
            <v>6000-003-000</v>
          </cell>
          <cell r="B153" t="str">
            <v>Intereses Bancarios</v>
          </cell>
          <cell r="C153">
            <v>-5385.45</v>
          </cell>
          <cell r="D153" t="str">
            <v xml:space="preserve"> </v>
          </cell>
          <cell r="E153">
            <v>0</v>
          </cell>
          <cell r="F153">
            <v>746</v>
          </cell>
          <cell r="G153">
            <v>-6131.45</v>
          </cell>
          <cell r="H153" t="str">
            <v xml:space="preserve"> </v>
          </cell>
        </row>
        <row r="154">
          <cell r="A154" t="str">
            <v>6000-005-000</v>
          </cell>
          <cell r="B154" t="str">
            <v>Minor Dif</v>
          </cell>
          <cell r="C154">
            <v>0.28000000000000003</v>
          </cell>
          <cell r="D154" t="str">
            <v xml:space="preserve"> </v>
          </cell>
          <cell r="E154">
            <v>0.04</v>
          </cell>
          <cell r="F154">
            <v>0.43</v>
          </cell>
          <cell r="G154">
            <v>-0.11</v>
          </cell>
          <cell r="H154" t="str">
            <v xml:space="preserve"> </v>
          </cell>
        </row>
        <row r="155">
          <cell r="A155" t="str">
            <v xml:space="preserve"> </v>
          </cell>
        </row>
        <row r="156">
          <cell r="B156" t="str">
            <v>Total cuentas no impresas</v>
          </cell>
          <cell r="C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B157" t="str">
            <v xml:space="preserve"> </v>
          </cell>
          <cell r="D157">
            <v>0</v>
          </cell>
          <cell r="H157">
            <v>0</v>
          </cell>
        </row>
        <row r="158">
          <cell r="A158" t="str">
            <v xml:space="preserve"> </v>
          </cell>
        </row>
        <row r="160">
          <cell r="B160" t="str">
            <v xml:space="preserve">Sumas Iguales: </v>
          </cell>
          <cell r="C160">
            <v>6201750.5499999998</v>
          </cell>
          <cell r="E160">
            <v>2463794.2799999998</v>
          </cell>
          <cell r="F160">
            <v>2463794.2799999998</v>
          </cell>
          <cell r="G160">
            <v>6932956.7699999996</v>
          </cell>
        </row>
        <row r="161">
          <cell r="D161">
            <v>6201750.5499999998</v>
          </cell>
          <cell r="H161">
            <v>6932956.7699999996</v>
          </cell>
        </row>
      </sheetData>
      <sheetData sheetId="54" refreshError="1">
        <row r="1">
          <cell r="A1" t="str">
            <v>CONTPAQ i</v>
          </cell>
          <cell r="D1" t="str">
            <v>'1a Auto de Mexico...</v>
          </cell>
          <cell r="H1" t="str">
            <v>Hoja:      1</v>
          </cell>
        </row>
        <row r="2">
          <cell r="A2" t="str">
            <v>Balanza de comprobación al 30/Nov/2015</v>
          </cell>
          <cell r="H2" t="str">
            <v>Fecha: 25/Feb/2016</v>
          </cell>
        </row>
        <row r="5">
          <cell r="A5" t="str">
            <v>C u e n t a</v>
          </cell>
          <cell r="B5" t="str">
            <v>N o m b r e</v>
          </cell>
          <cell r="C5" t="str">
            <v xml:space="preserve">Saldos </v>
          </cell>
          <cell r="D5" t="str">
            <v>Iniciales</v>
          </cell>
          <cell r="G5" t="str">
            <v xml:space="preserve">Saldos </v>
          </cell>
          <cell r="H5" t="str">
            <v>Actuales</v>
          </cell>
        </row>
        <row r="6">
          <cell r="C6" t="str">
            <v>Deudor</v>
          </cell>
          <cell r="D6" t="str">
            <v>Acreedor</v>
          </cell>
          <cell r="E6" t="str">
            <v>Cargos</v>
          </cell>
          <cell r="F6" t="str">
            <v>Abonos</v>
          </cell>
          <cell r="G6" t="str">
            <v>Deudor</v>
          </cell>
          <cell r="H6" t="str">
            <v>Acreedor</v>
          </cell>
        </row>
        <row r="8">
          <cell r="A8" t="str">
            <v>0000-100-000</v>
          </cell>
          <cell r="B8" t="str">
            <v>ACTIVO</v>
          </cell>
          <cell r="C8">
            <v>1179104.67</v>
          </cell>
          <cell r="D8" t="str">
            <v xml:space="preserve"> </v>
          </cell>
          <cell r="E8">
            <v>1314367.6000000001</v>
          </cell>
          <cell r="F8">
            <v>1402777.47</v>
          </cell>
          <cell r="G8">
            <v>1090694.8</v>
          </cell>
          <cell r="H8" t="str">
            <v xml:space="preserve"> </v>
          </cell>
        </row>
        <row r="9">
          <cell r="A9" t="str">
            <v>1100-000-000</v>
          </cell>
          <cell r="B9" t="str">
            <v>ACTIVO CIRCULANTE</v>
          </cell>
          <cell r="C9">
            <v>965292.34</v>
          </cell>
          <cell r="D9" t="str">
            <v xml:space="preserve"> </v>
          </cell>
          <cell r="E9">
            <v>1313247.77</v>
          </cell>
          <cell r="F9">
            <v>1399188.1</v>
          </cell>
          <cell r="G9">
            <v>879352.01</v>
          </cell>
          <cell r="H9" t="str">
            <v xml:space="preserve"> </v>
          </cell>
        </row>
        <row r="10">
          <cell r="A10" t="str">
            <v>1102-000-000</v>
          </cell>
          <cell r="B10" t="str">
            <v>Bancos</v>
          </cell>
          <cell r="C10">
            <v>733126.69</v>
          </cell>
          <cell r="D10" t="str">
            <v xml:space="preserve"> </v>
          </cell>
          <cell r="E10">
            <v>633525.24</v>
          </cell>
          <cell r="F10">
            <v>718232.69</v>
          </cell>
          <cell r="G10">
            <v>648419.24</v>
          </cell>
          <cell r="H10" t="str">
            <v xml:space="preserve"> </v>
          </cell>
        </row>
        <row r="11">
          <cell r="A11" t="str">
            <v>1102-001-000</v>
          </cell>
          <cell r="B11" t="str">
            <v>SCOTIABANK 21505269881</v>
          </cell>
          <cell r="C11">
            <v>20351.32</v>
          </cell>
          <cell r="D11" t="str">
            <v xml:space="preserve"> </v>
          </cell>
          <cell r="E11">
            <v>0</v>
          </cell>
          <cell r="F11">
            <v>11698.75</v>
          </cell>
          <cell r="G11">
            <v>8652.57</v>
          </cell>
          <cell r="H11" t="str">
            <v xml:space="preserve"> </v>
          </cell>
        </row>
        <row r="12">
          <cell r="A12" t="str">
            <v>1102-002-000</v>
          </cell>
          <cell r="B12" t="str">
            <v>SCOTIABANK 21505229294</v>
          </cell>
          <cell r="C12">
            <v>208650.57</v>
          </cell>
          <cell r="D12" t="str">
            <v xml:space="preserve"> </v>
          </cell>
          <cell r="E12">
            <v>633077.34</v>
          </cell>
          <cell r="F12">
            <v>706533.94</v>
          </cell>
          <cell r="G12">
            <v>135193.97</v>
          </cell>
          <cell r="H12" t="str">
            <v xml:space="preserve"> </v>
          </cell>
        </row>
        <row r="13">
          <cell r="A13" t="str">
            <v>1102-003-000</v>
          </cell>
          <cell r="B13" t="str">
            <v>Scotiabank Inversion 70263479</v>
          </cell>
          <cell r="C13">
            <v>504124.8</v>
          </cell>
          <cell r="D13" t="str">
            <v xml:space="preserve"> </v>
          </cell>
          <cell r="E13">
            <v>447.9</v>
          </cell>
          <cell r="F13">
            <v>0</v>
          </cell>
          <cell r="G13">
            <v>504572.7</v>
          </cell>
          <cell r="H13" t="str">
            <v xml:space="preserve"> </v>
          </cell>
        </row>
        <row r="14">
          <cell r="A14" t="str">
            <v>1103-000-000</v>
          </cell>
          <cell r="B14" t="str">
            <v>Cuentas por cobrar</v>
          </cell>
          <cell r="C14">
            <v>0</v>
          </cell>
          <cell r="D14" t="str">
            <v xml:space="preserve"> </v>
          </cell>
          <cell r="E14">
            <v>633077.34</v>
          </cell>
          <cell r="F14">
            <v>633077.34</v>
          </cell>
          <cell r="G14">
            <v>0</v>
          </cell>
          <cell r="H14" t="str">
            <v xml:space="preserve"> </v>
          </cell>
        </row>
        <row r="15">
          <cell r="A15" t="str">
            <v>1103-001-000</v>
          </cell>
          <cell r="B15" t="str">
            <v>A</v>
          </cell>
          <cell r="C15">
            <v>0</v>
          </cell>
          <cell r="D15" t="str">
            <v xml:space="preserve"> </v>
          </cell>
          <cell r="E15">
            <v>633077.34</v>
          </cell>
          <cell r="F15">
            <v>633077.34</v>
          </cell>
          <cell r="G15">
            <v>0</v>
          </cell>
          <cell r="H15" t="str">
            <v xml:space="preserve"> </v>
          </cell>
        </row>
        <row r="16">
          <cell r="A16" t="str">
            <v>1103-001-001</v>
          </cell>
          <cell r="B16" t="str">
            <v>1A Auto inc</v>
          </cell>
          <cell r="C16">
            <v>0</v>
          </cell>
          <cell r="D16" t="str">
            <v xml:space="preserve"> </v>
          </cell>
          <cell r="E16">
            <v>633077.34</v>
          </cell>
          <cell r="F16">
            <v>633077.34</v>
          </cell>
          <cell r="G16">
            <v>0</v>
          </cell>
          <cell r="H16" t="str">
            <v xml:space="preserve"> </v>
          </cell>
        </row>
        <row r="17">
          <cell r="A17" t="str">
            <v>1105-000-000</v>
          </cell>
          <cell r="B17" t="str">
            <v>IVA Acreditable</v>
          </cell>
          <cell r="C17">
            <v>47265.04</v>
          </cell>
          <cell r="D17" t="str">
            <v xml:space="preserve"> </v>
          </cell>
          <cell r="E17">
            <v>35986.61</v>
          </cell>
          <cell r="F17">
            <v>36761.1</v>
          </cell>
          <cell r="G17">
            <v>46490.55</v>
          </cell>
          <cell r="H17" t="str">
            <v xml:space="preserve"> </v>
          </cell>
        </row>
        <row r="18">
          <cell r="A18" t="str">
            <v>1105-002-000</v>
          </cell>
          <cell r="B18" t="str">
            <v>IVA Acreditable 16 %</v>
          </cell>
          <cell r="C18">
            <v>0</v>
          </cell>
          <cell r="D18" t="str">
            <v xml:space="preserve"> </v>
          </cell>
          <cell r="E18">
            <v>18007.099999999999</v>
          </cell>
          <cell r="F18">
            <v>18007.099999999999</v>
          </cell>
          <cell r="G18">
            <v>0</v>
          </cell>
          <cell r="H18" t="str">
            <v xml:space="preserve"> </v>
          </cell>
        </row>
        <row r="19">
          <cell r="A19" t="str">
            <v>1105-005-000</v>
          </cell>
          <cell r="B19" t="str">
            <v>Saldos a favor de IVA</v>
          </cell>
          <cell r="C19">
            <v>47265.04</v>
          </cell>
          <cell r="D19" t="str">
            <v xml:space="preserve"> </v>
          </cell>
          <cell r="E19">
            <v>17979.509999999998</v>
          </cell>
          <cell r="F19">
            <v>18754</v>
          </cell>
          <cell r="G19">
            <v>46490.55</v>
          </cell>
          <cell r="H19" t="str">
            <v xml:space="preserve"> </v>
          </cell>
        </row>
        <row r="20">
          <cell r="A20" t="str">
            <v>1106-000-000</v>
          </cell>
          <cell r="B20" t="str">
            <v>Deudores Diversos</v>
          </cell>
          <cell r="C20">
            <v>5996.02</v>
          </cell>
          <cell r="D20" t="str">
            <v xml:space="preserve"> </v>
          </cell>
          <cell r="E20">
            <v>0</v>
          </cell>
          <cell r="F20">
            <v>0</v>
          </cell>
          <cell r="G20">
            <v>5996.02</v>
          </cell>
          <cell r="H20" t="str">
            <v xml:space="preserve"> </v>
          </cell>
        </row>
        <row r="21">
          <cell r="A21" t="str">
            <v>1106-020-000</v>
          </cell>
          <cell r="B21" t="str">
            <v>S</v>
          </cell>
          <cell r="C21">
            <v>5996.02</v>
          </cell>
          <cell r="D21" t="str">
            <v xml:space="preserve"> </v>
          </cell>
          <cell r="E21">
            <v>0</v>
          </cell>
          <cell r="F21">
            <v>0</v>
          </cell>
          <cell r="G21">
            <v>5996.02</v>
          </cell>
          <cell r="H21" t="str">
            <v xml:space="preserve"> </v>
          </cell>
        </row>
        <row r="22">
          <cell r="A22" t="str">
            <v>1106-020-001</v>
          </cell>
          <cell r="B22" t="str">
            <v>Stephanie Tillman</v>
          </cell>
          <cell r="C22">
            <v>5996.02</v>
          </cell>
          <cell r="D22" t="str">
            <v xml:space="preserve"> </v>
          </cell>
          <cell r="E22">
            <v>0</v>
          </cell>
          <cell r="F22">
            <v>0</v>
          </cell>
          <cell r="G22">
            <v>5996.02</v>
          </cell>
          <cell r="H22" t="str">
            <v xml:space="preserve"> </v>
          </cell>
        </row>
        <row r="23">
          <cell r="A23" t="str">
            <v>1107-000-000</v>
          </cell>
          <cell r="B23" t="str">
            <v>Anticipo a Proveedores</v>
          </cell>
          <cell r="C23">
            <v>1142.99</v>
          </cell>
          <cell r="D23" t="str">
            <v xml:space="preserve"> </v>
          </cell>
          <cell r="E23">
            <v>0</v>
          </cell>
          <cell r="F23">
            <v>997.99</v>
          </cell>
          <cell r="G23">
            <v>145</v>
          </cell>
          <cell r="H23" t="str">
            <v xml:space="preserve"> </v>
          </cell>
        </row>
        <row r="24">
          <cell r="A24" t="str">
            <v>1107-000-001</v>
          </cell>
          <cell r="B24" t="str">
            <v>Anticipo-varios</v>
          </cell>
          <cell r="C24">
            <v>997.99</v>
          </cell>
          <cell r="D24" t="str">
            <v xml:space="preserve"> </v>
          </cell>
          <cell r="E24">
            <v>0</v>
          </cell>
          <cell r="F24">
            <v>997.99</v>
          </cell>
          <cell r="G24">
            <v>0</v>
          </cell>
          <cell r="H24" t="str">
            <v xml:space="preserve"> </v>
          </cell>
        </row>
        <row r="25">
          <cell r="A25" t="str">
            <v>1107-014-000</v>
          </cell>
          <cell r="B25" t="str">
            <v>N</v>
          </cell>
          <cell r="C25">
            <v>145</v>
          </cell>
          <cell r="D25" t="str">
            <v xml:space="preserve"> </v>
          </cell>
          <cell r="E25">
            <v>0</v>
          </cell>
          <cell r="F25">
            <v>0</v>
          </cell>
          <cell r="G25">
            <v>145</v>
          </cell>
          <cell r="H25" t="str">
            <v xml:space="preserve"> </v>
          </cell>
        </row>
        <row r="26">
          <cell r="A26" t="str">
            <v>1107-014-001</v>
          </cell>
          <cell r="B26" t="str">
            <v>Navarro Lozano y Compañia, S.C.</v>
          </cell>
          <cell r="C26">
            <v>145</v>
          </cell>
          <cell r="D26" t="str">
            <v xml:space="preserve"> </v>
          </cell>
          <cell r="E26">
            <v>0</v>
          </cell>
          <cell r="F26">
            <v>0</v>
          </cell>
          <cell r="G26">
            <v>145</v>
          </cell>
          <cell r="H26" t="str">
            <v xml:space="preserve"> </v>
          </cell>
        </row>
        <row r="27">
          <cell r="A27" t="str">
            <v>1108-000-000</v>
          </cell>
          <cell r="B27" t="str">
            <v>Pagos Anticipados</v>
          </cell>
          <cell r="C27">
            <v>94434.17</v>
          </cell>
          <cell r="D27" t="str">
            <v xml:space="preserve"> </v>
          </cell>
          <cell r="E27">
            <v>10658.58</v>
          </cell>
          <cell r="F27">
            <v>0</v>
          </cell>
          <cell r="G27">
            <v>105092.75</v>
          </cell>
          <cell r="H27" t="str">
            <v xml:space="preserve"> </v>
          </cell>
        </row>
        <row r="28">
          <cell r="A28" t="str">
            <v>1108-001-000</v>
          </cell>
          <cell r="B28" t="str">
            <v>Pagos Provisionales ISR</v>
          </cell>
          <cell r="C28">
            <v>92340</v>
          </cell>
          <cell r="D28" t="str">
            <v xml:space="preserve"> </v>
          </cell>
          <cell r="E28">
            <v>10427</v>
          </cell>
          <cell r="F28">
            <v>0</v>
          </cell>
          <cell r="G28">
            <v>102767</v>
          </cell>
          <cell r="H28" t="str">
            <v xml:space="preserve"> </v>
          </cell>
        </row>
        <row r="29">
          <cell r="A29" t="str">
            <v>1108-004-000</v>
          </cell>
          <cell r="B29" t="str">
            <v>Retención de ISR Bancaria</v>
          </cell>
          <cell r="C29">
            <v>2093.9499999999998</v>
          </cell>
          <cell r="D29" t="str">
            <v xml:space="preserve"> </v>
          </cell>
          <cell r="E29">
            <v>231.58</v>
          </cell>
          <cell r="F29">
            <v>0</v>
          </cell>
          <cell r="G29">
            <v>2325.5300000000002</v>
          </cell>
          <cell r="H29" t="str">
            <v xml:space="preserve"> </v>
          </cell>
        </row>
        <row r="30">
          <cell r="A30" t="str">
            <v>1108-005-000</v>
          </cell>
          <cell r="B30" t="str">
            <v>Subsidio al Empleo</v>
          </cell>
          <cell r="C30">
            <v>0.22</v>
          </cell>
          <cell r="D30" t="str">
            <v xml:space="preserve"> </v>
          </cell>
          <cell r="E30">
            <v>0</v>
          </cell>
          <cell r="F30">
            <v>0</v>
          </cell>
          <cell r="G30">
            <v>0.22</v>
          </cell>
          <cell r="H30" t="str">
            <v xml:space="preserve"> </v>
          </cell>
        </row>
        <row r="31">
          <cell r="A31" t="str">
            <v>1109-000-000</v>
          </cell>
          <cell r="B31" t="str">
            <v>Depositos en Garantia</v>
          </cell>
          <cell r="C31">
            <v>24000</v>
          </cell>
          <cell r="D31" t="str">
            <v xml:space="preserve"> </v>
          </cell>
          <cell r="E31">
            <v>0</v>
          </cell>
          <cell r="F31">
            <v>0</v>
          </cell>
          <cell r="G31">
            <v>24000</v>
          </cell>
          <cell r="H31" t="str">
            <v xml:space="preserve"> </v>
          </cell>
        </row>
        <row r="32">
          <cell r="A32" t="str">
            <v>1109-001-000</v>
          </cell>
          <cell r="B32" t="str">
            <v>Depositos en Garantia</v>
          </cell>
          <cell r="C32">
            <v>24000</v>
          </cell>
          <cell r="D32" t="str">
            <v xml:space="preserve"> </v>
          </cell>
          <cell r="E32">
            <v>0</v>
          </cell>
          <cell r="F32">
            <v>0</v>
          </cell>
          <cell r="G32">
            <v>24000</v>
          </cell>
          <cell r="H32" t="str">
            <v xml:space="preserve"> </v>
          </cell>
        </row>
        <row r="33">
          <cell r="A33" t="str">
            <v>1110-000-000</v>
          </cell>
          <cell r="B33" t="str">
            <v>Seguros Pagados por anticipado</v>
          </cell>
          <cell r="C33">
            <v>59327.43</v>
          </cell>
          <cell r="D33" t="str">
            <v xml:space="preserve"> </v>
          </cell>
          <cell r="E33">
            <v>0</v>
          </cell>
          <cell r="F33">
            <v>10118.98</v>
          </cell>
          <cell r="G33">
            <v>49208.45</v>
          </cell>
          <cell r="H33" t="str">
            <v xml:space="preserve"> </v>
          </cell>
        </row>
        <row r="34">
          <cell r="A34" t="str">
            <v>1110-001-000</v>
          </cell>
          <cell r="B34" t="str">
            <v>Seguro Gastos Medicos</v>
          </cell>
          <cell r="C34">
            <v>58056.160000000003</v>
          </cell>
          <cell r="D34" t="str">
            <v xml:space="preserve"> </v>
          </cell>
          <cell r="E34">
            <v>0</v>
          </cell>
          <cell r="F34">
            <v>9483.3700000000008</v>
          </cell>
          <cell r="G34">
            <v>48572.79</v>
          </cell>
          <cell r="H34" t="str">
            <v xml:space="preserve"> </v>
          </cell>
        </row>
        <row r="35">
          <cell r="A35" t="str">
            <v>1110-002-000</v>
          </cell>
          <cell r="B35" t="str">
            <v>Seguro Local</v>
          </cell>
          <cell r="C35">
            <v>1271.27</v>
          </cell>
          <cell r="D35" t="str">
            <v xml:space="preserve"> </v>
          </cell>
          <cell r="E35">
            <v>0</v>
          </cell>
          <cell r="F35">
            <v>635.61</v>
          </cell>
          <cell r="G35">
            <v>635.66</v>
          </cell>
          <cell r="H35" t="str">
            <v xml:space="preserve"> </v>
          </cell>
        </row>
        <row r="36">
          <cell r="A36" t="str">
            <v>1200-000-000</v>
          </cell>
          <cell r="B36" t="str">
            <v>ACTIVOS FIJOS</v>
          </cell>
          <cell r="C36">
            <v>213812.33</v>
          </cell>
          <cell r="D36" t="str">
            <v xml:space="preserve"> </v>
          </cell>
          <cell r="E36">
            <v>1119.83</v>
          </cell>
          <cell r="F36">
            <v>3589.37</v>
          </cell>
          <cell r="G36">
            <v>211342.79</v>
          </cell>
          <cell r="H36" t="str">
            <v xml:space="preserve"> </v>
          </cell>
        </row>
        <row r="37">
          <cell r="A37" t="str">
            <v>1208-000-000</v>
          </cell>
          <cell r="B37" t="str">
            <v>Mobiliario y Eq de oficina</v>
          </cell>
          <cell r="C37">
            <v>126466.34</v>
          </cell>
          <cell r="D37" t="str">
            <v xml:space="preserve"> </v>
          </cell>
          <cell r="E37">
            <v>1119.83</v>
          </cell>
          <cell r="F37">
            <v>0</v>
          </cell>
          <cell r="G37">
            <v>127586.17</v>
          </cell>
          <cell r="H37" t="str">
            <v xml:space="preserve"> </v>
          </cell>
        </row>
        <row r="38">
          <cell r="A38" t="str">
            <v>1208-001-000</v>
          </cell>
          <cell r="B38" t="str">
            <v>Mesa ejecutiva</v>
          </cell>
          <cell r="C38">
            <v>29827.439999999999</v>
          </cell>
          <cell r="D38" t="str">
            <v xml:space="preserve"> </v>
          </cell>
          <cell r="E38">
            <v>0</v>
          </cell>
          <cell r="F38">
            <v>0</v>
          </cell>
          <cell r="G38">
            <v>29827.439999999999</v>
          </cell>
          <cell r="H38" t="str">
            <v xml:space="preserve"> </v>
          </cell>
        </row>
        <row r="39">
          <cell r="A39" t="str">
            <v>1208-002-000</v>
          </cell>
          <cell r="B39" t="str">
            <v>Silla ejecutiva</v>
          </cell>
          <cell r="C39">
            <v>30890.81</v>
          </cell>
          <cell r="D39" t="str">
            <v xml:space="preserve"> </v>
          </cell>
          <cell r="E39">
            <v>0</v>
          </cell>
          <cell r="F39">
            <v>0</v>
          </cell>
          <cell r="G39">
            <v>30890.81</v>
          </cell>
          <cell r="H39" t="str">
            <v xml:space="preserve"> </v>
          </cell>
        </row>
        <row r="40">
          <cell r="A40" t="str">
            <v>1208-003-000</v>
          </cell>
          <cell r="B40" t="str">
            <v>Gabinete</v>
          </cell>
          <cell r="C40">
            <v>7500</v>
          </cell>
          <cell r="D40" t="str">
            <v xml:space="preserve"> </v>
          </cell>
          <cell r="E40">
            <v>0</v>
          </cell>
          <cell r="F40">
            <v>0</v>
          </cell>
          <cell r="G40">
            <v>7500</v>
          </cell>
          <cell r="H40" t="str">
            <v xml:space="preserve"> </v>
          </cell>
        </row>
        <row r="41">
          <cell r="A41" t="str">
            <v>1208-004-000</v>
          </cell>
          <cell r="B41" t="str">
            <v>Mesa de juntas</v>
          </cell>
          <cell r="C41">
            <v>8522.1</v>
          </cell>
          <cell r="D41" t="str">
            <v xml:space="preserve"> </v>
          </cell>
          <cell r="E41">
            <v>0</v>
          </cell>
          <cell r="F41">
            <v>0</v>
          </cell>
          <cell r="G41">
            <v>8522.1</v>
          </cell>
          <cell r="H41" t="str">
            <v xml:space="preserve"> </v>
          </cell>
        </row>
        <row r="42">
          <cell r="A42" t="str">
            <v>1208-005-000</v>
          </cell>
          <cell r="B42" t="str">
            <v>Calentador</v>
          </cell>
          <cell r="C42">
            <v>1415.23</v>
          </cell>
          <cell r="D42" t="str">
            <v xml:space="preserve"> </v>
          </cell>
          <cell r="E42">
            <v>0</v>
          </cell>
          <cell r="F42">
            <v>0</v>
          </cell>
          <cell r="G42">
            <v>1415.23</v>
          </cell>
          <cell r="H42" t="str">
            <v xml:space="preserve"> </v>
          </cell>
        </row>
        <row r="43">
          <cell r="A43" t="str">
            <v>1208-006-000</v>
          </cell>
          <cell r="B43" t="str">
            <v>Lámpara mesa</v>
          </cell>
          <cell r="C43">
            <v>11723.45</v>
          </cell>
          <cell r="D43" t="str">
            <v xml:space="preserve"> </v>
          </cell>
          <cell r="E43">
            <v>0</v>
          </cell>
          <cell r="F43">
            <v>0</v>
          </cell>
          <cell r="G43">
            <v>11723.45</v>
          </cell>
          <cell r="H43" t="str">
            <v xml:space="preserve"> </v>
          </cell>
        </row>
        <row r="44">
          <cell r="A44" t="str">
            <v>1208-007-000</v>
          </cell>
          <cell r="B44" t="str">
            <v>Sillón antenas piel vinil chocolate</v>
          </cell>
          <cell r="C44">
            <v>2113.79</v>
          </cell>
          <cell r="D44" t="str">
            <v xml:space="preserve"> </v>
          </cell>
          <cell r="E44">
            <v>0</v>
          </cell>
          <cell r="F44">
            <v>0</v>
          </cell>
          <cell r="G44">
            <v>2113.79</v>
          </cell>
          <cell r="H44" t="str">
            <v xml:space="preserve"> </v>
          </cell>
        </row>
        <row r="45">
          <cell r="A45" t="str">
            <v>1208-008-000</v>
          </cell>
          <cell r="B45" t="str">
            <v>Lámpara mesa</v>
          </cell>
          <cell r="C45">
            <v>12500</v>
          </cell>
          <cell r="D45" t="str">
            <v xml:space="preserve"> </v>
          </cell>
          <cell r="E45">
            <v>0</v>
          </cell>
          <cell r="F45">
            <v>0</v>
          </cell>
          <cell r="G45">
            <v>12500</v>
          </cell>
          <cell r="H45" t="str">
            <v xml:space="preserve"> </v>
          </cell>
        </row>
        <row r="46">
          <cell r="A46" t="str">
            <v>1208-009-000</v>
          </cell>
          <cell r="B46" t="str">
            <v>Comedor</v>
          </cell>
          <cell r="C46">
            <v>693.36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693.36</v>
          </cell>
          <cell r="H46" t="str">
            <v xml:space="preserve"> </v>
          </cell>
        </row>
        <row r="47">
          <cell r="A47" t="str">
            <v>1208-010-000</v>
          </cell>
          <cell r="B47" t="str">
            <v>Mesa de juntas ceniz</v>
          </cell>
          <cell r="C47">
            <v>1421.55</v>
          </cell>
          <cell r="D47" t="str">
            <v xml:space="preserve"> </v>
          </cell>
          <cell r="E47">
            <v>0</v>
          </cell>
          <cell r="F47">
            <v>0</v>
          </cell>
          <cell r="G47">
            <v>1421.55</v>
          </cell>
          <cell r="H47" t="str">
            <v xml:space="preserve"> </v>
          </cell>
        </row>
        <row r="48">
          <cell r="A48" t="str">
            <v>1208-011-000</v>
          </cell>
          <cell r="B48" t="str">
            <v>Escritorio Estudiante Vid Choc</v>
          </cell>
          <cell r="C48">
            <v>10343.1</v>
          </cell>
          <cell r="D48" t="str">
            <v xml:space="preserve"> </v>
          </cell>
          <cell r="E48">
            <v>0</v>
          </cell>
          <cell r="F48">
            <v>0</v>
          </cell>
          <cell r="G48">
            <v>10343.1</v>
          </cell>
          <cell r="H48" t="str">
            <v xml:space="preserve"> </v>
          </cell>
        </row>
        <row r="49">
          <cell r="A49" t="str">
            <v>1208-012-000</v>
          </cell>
          <cell r="B49" t="str">
            <v>Mesa de TV</v>
          </cell>
          <cell r="C49">
            <v>2584.48</v>
          </cell>
          <cell r="D49" t="str">
            <v xml:space="preserve"> </v>
          </cell>
          <cell r="E49">
            <v>0</v>
          </cell>
          <cell r="F49">
            <v>0</v>
          </cell>
          <cell r="G49">
            <v>2584.48</v>
          </cell>
          <cell r="H49" t="str">
            <v xml:space="preserve"> </v>
          </cell>
        </row>
        <row r="50">
          <cell r="A50" t="str">
            <v>1208-013-000</v>
          </cell>
          <cell r="B50" t="str">
            <v xml:space="preserve">Gabinetes Led 6 </v>
          </cell>
          <cell r="C50">
            <v>3879.31</v>
          </cell>
          <cell r="D50" t="str">
            <v xml:space="preserve"> </v>
          </cell>
          <cell r="E50">
            <v>0</v>
          </cell>
          <cell r="F50">
            <v>0</v>
          </cell>
          <cell r="G50">
            <v>3879.31</v>
          </cell>
          <cell r="H50" t="str">
            <v xml:space="preserve"> </v>
          </cell>
        </row>
        <row r="51">
          <cell r="A51" t="str">
            <v>1208-014-000</v>
          </cell>
          <cell r="B51" t="str">
            <v>Lum Lin Flour 6</v>
          </cell>
          <cell r="C51">
            <v>3051.72</v>
          </cell>
          <cell r="D51" t="str">
            <v xml:space="preserve"> </v>
          </cell>
          <cell r="E51">
            <v>0</v>
          </cell>
          <cell r="F51">
            <v>0</v>
          </cell>
          <cell r="G51">
            <v>3051.72</v>
          </cell>
          <cell r="H51" t="str">
            <v xml:space="preserve"> </v>
          </cell>
        </row>
        <row r="52">
          <cell r="A52" t="str">
            <v>1208-015-000</v>
          </cell>
          <cell r="B52" t="str">
            <v>Escritorio en L serie Lines</v>
          </cell>
          <cell r="C52">
            <v>0</v>
          </cell>
          <cell r="D52" t="str">
            <v xml:space="preserve"> </v>
          </cell>
          <cell r="E52">
            <v>1119.83</v>
          </cell>
          <cell r="F52">
            <v>0</v>
          </cell>
          <cell r="G52">
            <v>1119.83</v>
          </cell>
          <cell r="H52" t="str">
            <v xml:space="preserve"> </v>
          </cell>
        </row>
        <row r="53">
          <cell r="A53" t="str">
            <v>1209-000-000</v>
          </cell>
          <cell r="B53" t="str">
            <v>Depreciacion acumulada Mob y Eq de oficina</v>
          </cell>
          <cell r="C53" t="str">
            <v xml:space="preserve"> </v>
          </cell>
          <cell r="D53">
            <v>17243.63</v>
          </cell>
          <cell r="E53">
            <v>0</v>
          </cell>
          <cell r="F53">
            <v>953.88</v>
          </cell>
          <cell r="G53" t="str">
            <v xml:space="preserve"> </v>
          </cell>
          <cell r="H53">
            <v>18197.509999999998</v>
          </cell>
        </row>
        <row r="54">
          <cell r="A54" t="str">
            <v>1210-000-000</v>
          </cell>
          <cell r="B54" t="str">
            <v>Equipo de Computo</v>
          </cell>
          <cell r="C54">
            <v>150627.1</v>
          </cell>
          <cell r="D54" t="str">
            <v xml:space="preserve"> </v>
          </cell>
          <cell r="E54">
            <v>0</v>
          </cell>
          <cell r="F54">
            <v>0</v>
          </cell>
          <cell r="G54">
            <v>150627.1</v>
          </cell>
          <cell r="H54" t="str">
            <v xml:space="preserve"> </v>
          </cell>
        </row>
        <row r="55">
          <cell r="A55" t="str">
            <v>1210-001-000</v>
          </cell>
          <cell r="B55" t="str">
            <v>Computer Elite 8300</v>
          </cell>
          <cell r="C55">
            <v>49350</v>
          </cell>
          <cell r="D55" t="str">
            <v xml:space="preserve"> </v>
          </cell>
          <cell r="E55">
            <v>0</v>
          </cell>
          <cell r="F55">
            <v>0</v>
          </cell>
          <cell r="G55">
            <v>49350</v>
          </cell>
          <cell r="H55" t="str">
            <v xml:space="preserve"> </v>
          </cell>
        </row>
        <row r="56">
          <cell r="A56" t="str">
            <v>1210-002-000</v>
          </cell>
          <cell r="B56" t="str">
            <v>Multi Brother</v>
          </cell>
          <cell r="C56">
            <v>3188.79</v>
          </cell>
          <cell r="D56" t="str">
            <v xml:space="preserve"> </v>
          </cell>
          <cell r="E56">
            <v>0</v>
          </cell>
          <cell r="F56">
            <v>0</v>
          </cell>
          <cell r="G56">
            <v>3188.79</v>
          </cell>
          <cell r="H56" t="str">
            <v xml:space="preserve"> </v>
          </cell>
        </row>
        <row r="57">
          <cell r="A57" t="str">
            <v>1210-003-000</v>
          </cell>
          <cell r="B57" t="str">
            <v>Sony Video Projector</v>
          </cell>
          <cell r="C57">
            <v>9007.7999999999993</v>
          </cell>
          <cell r="D57" t="str">
            <v xml:space="preserve"> </v>
          </cell>
          <cell r="E57">
            <v>0</v>
          </cell>
          <cell r="F57">
            <v>0</v>
          </cell>
          <cell r="G57">
            <v>9007.7999999999993</v>
          </cell>
          <cell r="H57" t="str">
            <v xml:space="preserve"> </v>
          </cell>
        </row>
        <row r="58">
          <cell r="A58" t="str">
            <v>1210-004-000</v>
          </cell>
          <cell r="B58" t="str">
            <v>Epson Multifunctional  XP-211</v>
          </cell>
          <cell r="C58">
            <v>991.38</v>
          </cell>
          <cell r="D58" t="str">
            <v xml:space="preserve"> </v>
          </cell>
          <cell r="E58">
            <v>0</v>
          </cell>
          <cell r="F58">
            <v>0</v>
          </cell>
          <cell r="G58">
            <v>991.38</v>
          </cell>
          <cell r="H58" t="str">
            <v xml:space="preserve"> </v>
          </cell>
        </row>
        <row r="59">
          <cell r="A59" t="str">
            <v>1210-005-000</v>
          </cell>
          <cell r="B59" t="str">
            <v>Combo Inalam desktop 5000 usb</v>
          </cell>
          <cell r="C59">
            <v>922.41</v>
          </cell>
          <cell r="D59" t="str">
            <v xml:space="preserve"> </v>
          </cell>
          <cell r="E59">
            <v>0</v>
          </cell>
          <cell r="F59">
            <v>0</v>
          </cell>
          <cell r="G59">
            <v>922.41</v>
          </cell>
          <cell r="H59" t="str">
            <v xml:space="preserve"> </v>
          </cell>
        </row>
        <row r="60">
          <cell r="A60" t="str">
            <v>1210-007-000</v>
          </cell>
          <cell r="B60" t="str">
            <v>Computadora de escritorio completa</v>
          </cell>
          <cell r="C60">
            <v>11474.33</v>
          </cell>
          <cell r="D60" t="str">
            <v xml:space="preserve"> </v>
          </cell>
          <cell r="E60">
            <v>0</v>
          </cell>
          <cell r="F60">
            <v>0</v>
          </cell>
          <cell r="G60">
            <v>11474.33</v>
          </cell>
          <cell r="H60" t="str">
            <v xml:space="preserve"> </v>
          </cell>
        </row>
        <row r="61">
          <cell r="A61" t="str">
            <v>1210-010-000</v>
          </cell>
          <cell r="B61" t="str">
            <v>Memorias RAM DDR3</v>
          </cell>
          <cell r="C61">
            <v>1797.41</v>
          </cell>
          <cell r="D61" t="str">
            <v xml:space="preserve"> </v>
          </cell>
          <cell r="E61">
            <v>0</v>
          </cell>
          <cell r="F61">
            <v>0</v>
          </cell>
          <cell r="G61">
            <v>1797.41</v>
          </cell>
          <cell r="H61" t="str">
            <v xml:space="preserve"> </v>
          </cell>
        </row>
        <row r="62">
          <cell r="A62" t="str">
            <v>1210-011-000</v>
          </cell>
          <cell r="B62" t="str">
            <v>Laptop NP37</v>
          </cell>
          <cell r="C62">
            <v>15737.08</v>
          </cell>
          <cell r="D62" t="str">
            <v xml:space="preserve"> </v>
          </cell>
          <cell r="E62">
            <v>0</v>
          </cell>
          <cell r="F62">
            <v>0</v>
          </cell>
          <cell r="G62">
            <v>15737.08</v>
          </cell>
          <cell r="H62" t="str">
            <v xml:space="preserve"> </v>
          </cell>
        </row>
        <row r="63">
          <cell r="A63" t="str">
            <v>1210-012-000</v>
          </cell>
          <cell r="B63" t="str">
            <v>Laptop V5 Touch</v>
          </cell>
          <cell r="C63">
            <v>9240.8700000000008</v>
          </cell>
          <cell r="D63" t="str">
            <v xml:space="preserve"> </v>
          </cell>
          <cell r="E63">
            <v>0</v>
          </cell>
          <cell r="F63">
            <v>0</v>
          </cell>
          <cell r="G63">
            <v>9240.8700000000008</v>
          </cell>
          <cell r="H63" t="str">
            <v xml:space="preserve"> </v>
          </cell>
        </row>
        <row r="64">
          <cell r="A64" t="str">
            <v>1210-013-000</v>
          </cell>
          <cell r="B64" t="str">
            <v>Laptop Acer VN7-571 UMACKKLL 3</v>
          </cell>
          <cell r="C64">
            <v>11783.62</v>
          </cell>
          <cell r="D64" t="str">
            <v xml:space="preserve"> </v>
          </cell>
          <cell r="E64">
            <v>0</v>
          </cell>
          <cell r="F64">
            <v>0</v>
          </cell>
          <cell r="G64">
            <v>11783.62</v>
          </cell>
          <cell r="H64" t="str">
            <v xml:space="preserve"> </v>
          </cell>
        </row>
        <row r="65">
          <cell r="A65" t="str">
            <v>1210-014-000</v>
          </cell>
          <cell r="B65" t="str">
            <v>Computadora de escritorio sin monitor</v>
          </cell>
          <cell r="C65">
            <v>13751.73</v>
          </cell>
          <cell r="D65" t="str">
            <v xml:space="preserve"> </v>
          </cell>
          <cell r="E65">
            <v>0</v>
          </cell>
          <cell r="F65">
            <v>0</v>
          </cell>
          <cell r="G65">
            <v>13751.73</v>
          </cell>
          <cell r="H65" t="str">
            <v xml:space="preserve"> </v>
          </cell>
        </row>
        <row r="66">
          <cell r="A66" t="str">
            <v>1210-015-000</v>
          </cell>
          <cell r="B66" t="str">
            <v>Laptop Acer Roja</v>
          </cell>
          <cell r="C66">
            <v>10140.94</v>
          </cell>
          <cell r="D66" t="str">
            <v xml:space="preserve"> </v>
          </cell>
          <cell r="E66">
            <v>0</v>
          </cell>
          <cell r="F66">
            <v>0</v>
          </cell>
          <cell r="G66">
            <v>10140.94</v>
          </cell>
          <cell r="H66" t="str">
            <v xml:space="preserve"> </v>
          </cell>
        </row>
        <row r="67">
          <cell r="A67" t="str">
            <v>1210-016-000</v>
          </cell>
          <cell r="B67" t="str">
            <v>Monitor HD LED Acer Modelo K242HL</v>
          </cell>
          <cell r="C67">
            <v>13240.74</v>
          </cell>
          <cell r="D67" t="str">
            <v xml:space="preserve"> </v>
          </cell>
          <cell r="E67">
            <v>0</v>
          </cell>
          <cell r="F67">
            <v>0</v>
          </cell>
          <cell r="G67">
            <v>13240.74</v>
          </cell>
          <cell r="H67" t="str">
            <v xml:space="preserve"> </v>
          </cell>
        </row>
        <row r="68">
          <cell r="A68" t="str">
            <v>1211-000-000</v>
          </cell>
          <cell r="B68" t="str">
            <v>Depreciacion acumulada Eq. de Computo</v>
          </cell>
          <cell r="C68" t="str">
            <v xml:space="preserve"> </v>
          </cell>
          <cell r="D68">
            <v>46037.48</v>
          </cell>
          <cell r="E68">
            <v>0</v>
          </cell>
          <cell r="F68">
            <v>2635.49</v>
          </cell>
          <cell r="G68" t="str">
            <v xml:space="preserve"> </v>
          </cell>
          <cell r="H68">
            <v>48672.97</v>
          </cell>
        </row>
        <row r="69">
          <cell r="A69" t="str">
            <v>0000-200-000</v>
          </cell>
          <cell r="B69" t="str">
            <v>PASIVOS</v>
          </cell>
          <cell r="C69" t="str">
            <v xml:space="preserve"> </v>
          </cell>
          <cell r="D69">
            <v>951054.17</v>
          </cell>
          <cell r="E69">
            <v>455268.1</v>
          </cell>
          <cell r="F69">
            <v>425283.2</v>
          </cell>
          <cell r="G69" t="str">
            <v xml:space="preserve"> </v>
          </cell>
          <cell r="H69">
            <v>921069.27</v>
          </cell>
        </row>
        <row r="70">
          <cell r="A70" t="str">
            <v>2100-000-000</v>
          </cell>
          <cell r="B70" t="str">
            <v>PASIVO CIRCULANTE</v>
          </cell>
          <cell r="C70" t="str">
            <v xml:space="preserve"> </v>
          </cell>
          <cell r="D70">
            <v>951054.17</v>
          </cell>
          <cell r="E70">
            <v>455268.1</v>
          </cell>
          <cell r="F70">
            <v>425283.2</v>
          </cell>
          <cell r="G70" t="str">
            <v xml:space="preserve"> </v>
          </cell>
          <cell r="H70">
            <v>921069.27</v>
          </cell>
        </row>
        <row r="71">
          <cell r="A71" t="str">
            <v>2106-000-000</v>
          </cell>
          <cell r="B71" t="str">
            <v>Acreedores Diversos</v>
          </cell>
          <cell r="C71" t="str">
            <v xml:space="preserve"> </v>
          </cell>
          <cell r="D71">
            <v>761024.33</v>
          </cell>
          <cell r="E71">
            <v>265240.21999999997</v>
          </cell>
          <cell r="F71">
            <v>265240.2</v>
          </cell>
          <cell r="G71" t="str">
            <v xml:space="preserve"> </v>
          </cell>
          <cell r="H71">
            <v>761024.31</v>
          </cell>
        </row>
        <row r="72">
          <cell r="A72" t="str">
            <v>2106-001-000</v>
          </cell>
          <cell r="B72" t="str">
            <v>A</v>
          </cell>
          <cell r="C72" t="str">
            <v xml:space="preserve"> </v>
          </cell>
          <cell r="D72">
            <v>761024.3</v>
          </cell>
          <cell r="E72">
            <v>0</v>
          </cell>
          <cell r="F72">
            <v>0</v>
          </cell>
          <cell r="G72" t="str">
            <v xml:space="preserve"> </v>
          </cell>
          <cell r="H72">
            <v>761024.3</v>
          </cell>
        </row>
        <row r="73">
          <cell r="A73" t="str">
            <v>2106-001-001</v>
          </cell>
          <cell r="B73" t="str">
            <v>1A Auto Inc.</v>
          </cell>
          <cell r="C73" t="str">
            <v xml:space="preserve"> </v>
          </cell>
          <cell r="D73">
            <v>761024.3</v>
          </cell>
          <cell r="E73">
            <v>0</v>
          </cell>
          <cell r="F73">
            <v>0</v>
          </cell>
          <cell r="G73" t="str">
            <v xml:space="preserve"> </v>
          </cell>
          <cell r="H73">
            <v>761024.3</v>
          </cell>
        </row>
        <row r="74">
          <cell r="A74" t="str">
            <v>2106-017-000</v>
          </cell>
          <cell r="B74" t="str">
            <v>P</v>
          </cell>
          <cell r="C74" t="str">
            <v xml:space="preserve"> </v>
          </cell>
          <cell r="D74">
            <v>0.03</v>
          </cell>
          <cell r="E74">
            <v>0</v>
          </cell>
          <cell r="F74">
            <v>0</v>
          </cell>
          <cell r="G74" t="str">
            <v xml:space="preserve"> </v>
          </cell>
          <cell r="H74">
            <v>0.03</v>
          </cell>
        </row>
        <row r="75">
          <cell r="A75" t="str">
            <v>2106-017-002</v>
          </cell>
          <cell r="B75" t="str">
            <v>PTU</v>
          </cell>
          <cell r="C75" t="str">
            <v xml:space="preserve"> </v>
          </cell>
          <cell r="D75">
            <v>0.03</v>
          </cell>
          <cell r="E75">
            <v>0</v>
          </cell>
          <cell r="F75">
            <v>0</v>
          </cell>
          <cell r="G75" t="str">
            <v xml:space="preserve"> </v>
          </cell>
          <cell r="H75">
            <v>0.03</v>
          </cell>
        </row>
        <row r="76">
          <cell r="A76" t="str">
            <v>2106-023-000</v>
          </cell>
          <cell r="B76" t="str">
            <v>V</v>
          </cell>
          <cell r="C76" t="str">
            <v xml:space="preserve"> </v>
          </cell>
          <cell r="D76">
            <v>0</v>
          </cell>
          <cell r="E76">
            <v>21175.02</v>
          </cell>
          <cell r="F76">
            <v>21175</v>
          </cell>
          <cell r="G76" t="str">
            <v xml:space="preserve"> </v>
          </cell>
          <cell r="H76">
            <v>-0.02</v>
          </cell>
        </row>
        <row r="77">
          <cell r="A77" t="str">
            <v>2106-023-001</v>
          </cell>
          <cell r="B77" t="str">
            <v>Vales de despensa</v>
          </cell>
          <cell r="C77" t="str">
            <v xml:space="preserve"> </v>
          </cell>
          <cell r="D77">
            <v>0</v>
          </cell>
          <cell r="E77">
            <v>12600</v>
          </cell>
          <cell r="F77">
            <v>12600</v>
          </cell>
          <cell r="G77" t="str">
            <v xml:space="preserve"> </v>
          </cell>
          <cell r="H77">
            <v>0</v>
          </cell>
        </row>
        <row r="78">
          <cell r="A78" t="str">
            <v>2106-023-002</v>
          </cell>
          <cell r="B78" t="str">
            <v>Vales de gasolina</v>
          </cell>
          <cell r="C78" t="str">
            <v xml:space="preserve"> </v>
          </cell>
          <cell r="D78">
            <v>0</v>
          </cell>
          <cell r="E78">
            <v>8575.02</v>
          </cell>
          <cell r="F78">
            <v>8575</v>
          </cell>
          <cell r="G78" t="str">
            <v xml:space="preserve"> </v>
          </cell>
          <cell r="H78">
            <v>-0.02</v>
          </cell>
        </row>
        <row r="79">
          <cell r="A79" t="str">
            <v>2106-100-000</v>
          </cell>
          <cell r="B79" t="str">
            <v>Sueldos por pagar</v>
          </cell>
          <cell r="C79" t="str">
            <v xml:space="preserve"> </v>
          </cell>
          <cell r="D79">
            <v>0</v>
          </cell>
          <cell r="E79">
            <v>244065.2</v>
          </cell>
          <cell r="F79">
            <v>244065.2</v>
          </cell>
          <cell r="G79" t="str">
            <v xml:space="preserve"> </v>
          </cell>
          <cell r="H79">
            <v>0</v>
          </cell>
        </row>
        <row r="80">
          <cell r="A80" t="str">
            <v>2108-000-000</v>
          </cell>
          <cell r="B80" t="str">
            <v>Impuestos por pagar</v>
          </cell>
          <cell r="C80" t="str">
            <v xml:space="preserve"> </v>
          </cell>
          <cell r="D80">
            <v>190029.84</v>
          </cell>
          <cell r="E80">
            <v>190027.88</v>
          </cell>
          <cell r="F80">
            <v>160043</v>
          </cell>
          <cell r="G80" t="str">
            <v xml:space="preserve"> </v>
          </cell>
          <cell r="H80">
            <v>160044.96</v>
          </cell>
        </row>
        <row r="81">
          <cell r="A81" t="str">
            <v>2108-001-000</v>
          </cell>
          <cell r="B81" t="str">
            <v>ISPT</v>
          </cell>
          <cell r="C81" t="str">
            <v xml:space="preserve"> </v>
          </cell>
          <cell r="D81">
            <v>74762.09</v>
          </cell>
          <cell r="E81">
            <v>74760</v>
          </cell>
          <cell r="F81">
            <v>114749.38</v>
          </cell>
          <cell r="G81" t="str">
            <v xml:space="preserve"> </v>
          </cell>
          <cell r="H81">
            <v>114751.47</v>
          </cell>
        </row>
        <row r="82">
          <cell r="A82" t="str">
            <v>2108-002-000</v>
          </cell>
          <cell r="B82" t="str">
            <v>ISN</v>
          </cell>
          <cell r="C82" t="str">
            <v xml:space="preserve"> </v>
          </cell>
          <cell r="D82">
            <v>7897</v>
          </cell>
          <cell r="E82">
            <v>7897</v>
          </cell>
          <cell r="F82">
            <v>11368</v>
          </cell>
          <cell r="G82" t="str">
            <v xml:space="preserve"> </v>
          </cell>
          <cell r="H82">
            <v>11368</v>
          </cell>
        </row>
        <row r="83">
          <cell r="A83" t="str">
            <v>2108-003-000</v>
          </cell>
          <cell r="B83" t="str">
            <v>IMSS</v>
          </cell>
          <cell r="C83" t="str">
            <v xml:space="preserve"> </v>
          </cell>
          <cell r="D83">
            <v>31193.79</v>
          </cell>
          <cell r="E83">
            <v>31193.79</v>
          </cell>
          <cell r="F83">
            <v>30187.54</v>
          </cell>
          <cell r="G83" t="str">
            <v xml:space="preserve"> </v>
          </cell>
          <cell r="H83">
            <v>30187.54</v>
          </cell>
        </row>
        <row r="84">
          <cell r="A84" t="str">
            <v>2108-004-000</v>
          </cell>
          <cell r="B84" t="str">
            <v>INFONAVIT</v>
          </cell>
          <cell r="C84" t="str">
            <v xml:space="preserve"> </v>
          </cell>
          <cell r="D84">
            <v>33781.43</v>
          </cell>
          <cell r="E84">
            <v>33781.43</v>
          </cell>
          <cell r="F84">
            <v>0</v>
          </cell>
          <cell r="G84" t="str">
            <v xml:space="preserve"> </v>
          </cell>
          <cell r="H84">
            <v>0</v>
          </cell>
        </row>
        <row r="85">
          <cell r="A85" t="str">
            <v>2108-005-000</v>
          </cell>
          <cell r="B85" t="str">
            <v>SAR</v>
          </cell>
          <cell r="C85" t="str">
            <v xml:space="preserve"> </v>
          </cell>
          <cell r="D85">
            <v>42395.66</v>
          </cell>
          <cell r="E85">
            <v>42395.66</v>
          </cell>
          <cell r="F85">
            <v>3738.08</v>
          </cell>
          <cell r="G85" t="str">
            <v xml:space="preserve"> </v>
          </cell>
          <cell r="H85">
            <v>3738.08</v>
          </cell>
        </row>
        <row r="86">
          <cell r="A86" t="str">
            <v>2108-008-000</v>
          </cell>
          <cell r="B86" t="str">
            <v>ISPT Assimilated</v>
          </cell>
          <cell r="C86" t="str">
            <v xml:space="preserve"> </v>
          </cell>
          <cell r="D86">
            <v>-0.14000000000000001</v>
          </cell>
          <cell r="E86">
            <v>0</v>
          </cell>
          <cell r="F86">
            <v>0</v>
          </cell>
          <cell r="G86" t="str">
            <v xml:space="preserve"> </v>
          </cell>
          <cell r="H86">
            <v>-0.14000000000000001</v>
          </cell>
        </row>
        <row r="87">
          <cell r="A87" t="str">
            <v>2108-020-000</v>
          </cell>
          <cell r="B87" t="str">
            <v>Infonavit creditos</v>
          </cell>
          <cell r="C87" t="str">
            <v xml:space="preserve"> </v>
          </cell>
          <cell r="D87">
            <v>0.01</v>
          </cell>
          <cell r="E87">
            <v>0</v>
          </cell>
          <cell r="F87">
            <v>0</v>
          </cell>
          <cell r="G87" t="str">
            <v xml:space="preserve"> </v>
          </cell>
          <cell r="H87">
            <v>0.01</v>
          </cell>
        </row>
        <row r="88">
          <cell r="A88" t="str">
            <v>0000-300-000</v>
          </cell>
          <cell r="B88" t="str">
            <v>CAPITAL</v>
          </cell>
          <cell r="C88" t="str">
            <v xml:space="preserve"> </v>
          </cell>
          <cell r="D88">
            <v>-221330.79</v>
          </cell>
          <cell r="E88">
            <v>0</v>
          </cell>
          <cell r="F88">
            <v>0</v>
          </cell>
          <cell r="G88" t="str">
            <v xml:space="preserve"> </v>
          </cell>
          <cell r="H88">
            <v>-221330.79</v>
          </cell>
        </row>
        <row r="89">
          <cell r="A89" t="str">
            <v>3100-000-000</v>
          </cell>
          <cell r="B89" t="str">
            <v>Aportaciones de Capital</v>
          </cell>
          <cell r="C89" t="str">
            <v xml:space="preserve"> </v>
          </cell>
          <cell r="D89">
            <v>3000</v>
          </cell>
          <cell r="E89">
            <v>0</v>
          </cell>
          <cell r="F89">
            <v>0</v>
          </cell>
          <cell r="G89" t="str">
            <v xml:space="preserve"> </v>
          </cell>
          <cell r="H89">
            <v>3000</v>
          </cell>
        </row>
        <row r="90">
          <cell r="A90" t="str">
            <v>3300-000-000</v>
          </cell>
          <cell r="B90" t="str">
            <v>Remanente de Ej anteriores</v>
          </cell>
          <cell r="C90" t="str">
            <v xml:space="preserve"> </v>
          </cell>
          <cell r="D90">
            <v>-224330.79</v>
          </cell>
          <cell r="E90">
            <v>0</v>
          </cell>
          <cell r="F90">
            <v>0</v>
          </cell>
          <cell r="G90" t="str">
            <v xml:space="preserve"> </v>
          </cell>
          <cell r="H90">
            <v>-224330.79</v>
          </cell>
        </row>
        <row r="91">
          <cell r="A91" t="str">
            <v>3300-001-000</v>
          </cell>
          <cell r="B91" t="str">
            <v>Resultado del Ejercicio 2013</v>
          </cell>
          <cell r="C91" t="str">
            <v xml:space="preserve"> </v>
          </cell>
          <cell r="D91">
            <v>-411059.15</v>
          </cell>
          <cell r="E91">
            <v>0</v>
          </cell>
          <cell r="F91">
            <v>0</v>
          </cell>
          <cell r="G91" t="str">
            <v xml:space="preserve"> </v>
          </cell>
          <cell r="H91">
            <v>-411059.15</v>
          </cell>
        </row>
        <row r="92">
          <cell r="A92" t="str">
            <v>3300-002-000</v>
          </cell>
          <cell r="B92" t="str">
            <v>Resultado del Ejercicio 2014</v>
          </cell>
          <cell r="C92" t="str">
            <v xml:space="preserve"> </v>
          </cell>
          <cell r="D92">
            <v>186728.36</v>
          </cell>
          <cell r="E92">
            <v>0</v>
          </cell>
          <cell r="F92">
            <v>0</v>
          </cell>
          <cell r="G92" t="str">
            <v xml:space="preserve"> </v>
          </cell>
          <cell r="H92">
            <v>186728.36</v>
          </cell>
        </row>
        <row r="93">
          <cell r="A93" t="str">
            <v>0000-400-000</v>
          </cell>
          <cell r="B93" t="str">
            <v>INGRESOS</v>
          </cell>
          <cell r="C93" t="str">
            <v xml:space="preserve"> </v>
          </cell>
          <cell r="D93">
            <v>6139940.2300000004</v>
          </cell>
          <cell r="E93">
            <v>0</v>
          </cell>
          <cell r="F93">
            <v>633249.75</v>
          </cell>
          <cell r="G93" t="str">
            <v xml:space="preserve"> </v>
          </cell>
          <cell r="H93">
            <v>6773189.9800000004</v>
          </cell>
        </row>
        <row r="94">
          <cell r="A94" t="str">
            <v>4100-002-000</v>
          </cell>
          <cell r="B94" t="str">
            <v>0% Ventas</v>
          </cell>
          <cell r="C94" t="str">
            <v xml:space="preserve"> </v>
          </cell>
          <cell r="D94">
            <v>6132553.8700000001</v>
          </cell>
          <cell r="E94">
            <v>0</v>
          </cell>
          <cell r="F94">
            <v>633077.34</v>
          </cell>
          <cell r="G94" t="str">
            <v xml:space="preserve"> </v>
          </cell>
          <cell r="H94">
            <v>6765631.21</v>
          </cell>
        </row>
        <row r="95">
          <cell r="A95" t="str">
            <v>4100-005-000</v>
          </cell>
          <cell r="B95" t="str">
            <v>Otros Ingresos</v>
          </cell>
          <cell r="C95" t="str">
            <v xml:space="preserve"> </v>
          </cell>
          <cell r="D95">
            <v>2437.8000000000002</v>
          </cell>
          <cell r="E95">
            <v>0</v>
          </cell>
          <cell r="F95">
            <v>0</v>
          </cell>
          <cell r="G95" t="str">
            <v xml:space="preserve"> </v>
          </cell>
          <cell r="H95">
            <v>2437.8000000000002</v>
          </cell>
        </row>
        <row r="96">
          <cell r="A96" t="str">
            <v>4100-005-002</v>
          </cell>
          <cell r="B96" t="str">
            <v>Reembolso de gastos medicos</v>
          </cell>
          <cell r="C96" t="str">
            <v xml:space="preserve"> </v>
          </cell>
          <cell r="D96">
            <v>2437.8000000000002</v>
          </cell>
          <cell r="E96">
            <v>0</v>
          </cell>
          <cell r="F96">
            <v>0</v>
          </cell>
          <cell r="G96" t="str">
            <v xml:space="preserve"> </v>
          </cell>
          <cell r="H96">
            <v>2437.8000000000002</v>
          </cell>
        </row>
        <row r="97">
          <cell r="A97" t="str">
            <v>4100-006-000</v>
          </cell>
          <cell r="B97" t="str">
            <v>Desc sobre Compras</v>
          </cell>
          <cell r="C97" t="str">
            <v xml:space="preserve"> </v>
          </cell>
          <cell r="D97">
            <v>4948.5600000000004</v>
          </cell>
          <cell r="E97">
            <v>0</v>
          </cell>
          <cell r="F97">
            <v>172.41</v>
          </cell>
          <cell r="G97" t="str">
            <v xml:space="preserve"> </v>
          </cell>
          <cell r="H97">
            <v>5120.97</v>
          </cell>
        </row>
        <row r="98">
          <cell r="A98" t="str">
            <v>0000-500-000</v>
          </cell>
          <cell r="B98" t="str">
            <v>GASTOS</v>
          </cell>
          <cell r="C98">
            <v>5694478.79</v>
          </cell>
          <cell r="D98" t="str">
            <v xml:space="preserve"> </v>
          </cell>
          <cell r="E98">
            <v>692354.15</v>
          </cell>
          <cell r="F98">
            <v>0</v>
          </cell>
          <cell r="G98">
            <v>6386832.9400000004</v>
          </cell>
          <cell r="H98" t="str">
            <v xml:space="preserve"> </v>
          </cell>
        </row>
        <row r="99">
          <cell r="A99" t="str">
            <v>5200-000-000</v>
          </cell>
          <cell r="B99" t="str">
            <v>GASTOS DE NOMINA</v>
          </cell>
          <cell r="C99">
            <v>4475882.04</v>
          </cell>
          <cell r="D99" t="str">
            <v xml:space="preserve"> </v>
          </cell>
          <cell r="E99">
            <v>538130.49</v>
          </cell>
          <cell r="F99">
            <v>0</v>
          </cell>
          <cell r="G99">
            <v>5014012.53</v>
          </cell>
          <cell r="H99" t="str">
            <v xml:space="preserve"> </v>
          </cell>
        </row>
        <row r="100">
          <cell r="A100" t="str">
            <v>5200-001-000</v>
          </cell>
          <cell r="B100" t="str">
            <v>Sueldos</v>
          </cell>
          <cell r="C100">
            <v>3430505.24</v>
          </cell>
          <cell r="D100" t="str">
            <v xml:space="preserve"> </v>
          </cell>
          <cell r="E100">
            <v>317647.31</v>
          </cell>
          <cell r="F100">
            <v>0</v>
          </cell>
          <cell r="G100">
            <v>3748152.55</v>
          </cell>
          <cell r="H100" t="str">
            <v xml:space="preserve"> </v>
          </cell>
        </row>
        <row r="101">
          <cell r="A101" t="str">
            <v>5200-004-000</v>
          </cell>
          <cell r="B101" t="str">
            <v>Vales de despensa</v>
          </cell>
          <cell r="C101">
            <v>115200</v>
          </cell>
          <cell r="D101" t="str">
            <v xml:space="preserve"> </v>
          </cell>
          <cell r="E101">
            <v>12600</v>
          </cell>
          <cell r="F101">
            <v>0</v>
          </cell>
          <cell r="G101">
            <v>127800</v>
          </cell>
          <cell r="H101" t="str">
            <v xml:space="preserve"> </v>
          </cell>
        </row>
        <row r="102">
          <cell r="A102" t="str">
            <v>5200-007-000</v>
          </cell>
          <cell r="B102" t="str">
            <v>IMSS</v>
          </cell>
          <cell r="C102">
            <v>225697.5</v>
          </cell>
          <cell r="D102" t="str">
            <v xml:space="preserve"> </v>
          </cell>
          <cell r="E102">
            <v>24881.599999999999</v>
          </cell>
          <cell r="F102">
            <v>0</v>
          </cell>
          <cell r="G102">
            <v>250579.1</v>
          </cell>
          <cell r="H102" t="str">
            <v xml:space="preserve"> </v>
          </cell>
        </row>
        <row r="103">
          <cell r="A103" t="str">
            <v>5200-008-000</v>
          </cell>
          <cell r="B103" t="str">
            <v>SAR</v>
          </cell>
          <cell r="C103">
            <v>187414.32</v>
          </cell>
          <cell r="D103" t="str">
            <v xml:space="preserve"> </v>
          </cell>
          <cell r="E103">
            <v>0</v>
          </cell>
          <cell r="F103">
            <v>0</v>
          </cell>
          <cell r="G103">
            <v>187414.32</v>
          </cell>
          <cell r="H103" t="str">
            <v xml:space="preserve"> </v>
          </cell>
        </row>
        <row r="104">
          <cell r="A104" t="str">
            <v>5200-009-000</v>
          </cell>
          <cell r="B104" t="str">
            <v>INFONAVIT</v>
          </cell>
          <cell r="C104">
            <v>161255.79</v>
          </cell>
          <cell r="D104" t="str">
            <v xml:space="preserve"> </v>
          </cell>
          <cell r="E104">
            <v>0</v>
          </cell>
          <cell r="F104">
            <v>0</v>
          </cell>
          <cell r="G104">
            <v>161255.79</v>
          </cell>
          <cell r="H104" t="str">
            <v xml:space="preserve"> </v>
          </cell>
        </row>
        <row r="105">
          <cell r="A105" t="str">
            <v>5200-010-000</v>
          </cell>
          <cell r="B105" t="str">
            <v>ISN</v>
          </cell>
          <cell r="C105">
            <v>85999</v>
          </cell>
          <cell r="D105" t="str">
            <v xml:space="preserve"> </v>
          </cell>
          <cell r="E105">
            <v>11368</v>
          </cell>
          <cell r="F105">
            <v>0</v>
          </cell>
          <cell r="G105">
            <v>97367</v>
          </cell>
          <cell r="H105" t="str">
            <v xml:space="preserve"> </v>
          </cell>
        </row>
        <row r="106">
          <cell r="A106" t="str">
            <v>5200-012-000</v>
          </cell>
          <cell r="B106" t="str">
            <v>Vacaciones</v>
          </cell>
          <cell r="C106">
            <v>135694.34</v>
          </cell>
          <cell r="D106" t="str">
            <v xml:space="preserve"> </v>
          </cell>
          <cell r="E106">
            <v>8385.49</v>
          </cell>
          <cell r="F106">
            <v>0</v>
          </cell>
          <cell r="G106">
            <v>144079.82999999999</v>
          </cell>
          <cell r="H106" t="str">
            <v xml:space="preserve"> </v>
          </cell>
        </row>
        <row r="107">
          <cell r="A107" t="str">
            <v>5200-013-000</v>
          </cell>
          <cell r="B107" t="str">
            <v>Prima Vacacional</v>
          </cell>
          <cell r="C107">
            <v>31591.31</v>
          </cell>
          <cell r="D107" t="str">
            <v xml:space="preserve"> </v>
          </cell>
          <cell r="E107">
            <v>0</v>
          </cell>
          <cell r="F107">
            <v>0</v>
          </cell>
          <cell r="G107">
            <v>31591.31</v>
          </cell>
          <cell r="H107" t="str">
            <v xml:space="preserve"> </v>
          </cell>
        </row>
        <row r="108">
          <cell r="A108" t="str">
            <v>5200-014-000</v>
          </cell>
          <cell r="B108" t="str">
            <v>Aguinaldo</v>
          </cell>
          <cell r="C108">
            <v>20879.54</v>
          </cell>
          <cell r="D108" t="str">
            <v xml:space="preserve"> </v>
          </cell>
          <cell r="E108">
            <v>153614.35</v>
          </cell>
          <cell r="F108">
            <v>0</v>
          </cell>
          <cell r="G108">
            <v>174493.89</v>
          </cell>
          <cell r="H108" t="str">
            <v xml:space="preserve"> </v>
          </cell>
        </row>
        <row r="109">
          <cell r="A109" t="str">
            <v>5200-021-000</v>
          </cell>
          <cell r="B109" t="str">
            <v>Comisiones Vales</v>
          </cell>
          <cell r="C109">
            <v>9545</v>
          </cell>
          <cell r="D109" t="str">
            <v xml:space="preserve"> </v>
          </cell>
          <cell r="E109">
            <v>1058.74</v>
          </cell>
          <cell r="F109">
            <v>0</v>
          </cell>
          <cell r="G109">
            <v>10603.74</v>
          </cell>
          <cell r="H109" t="str">
            <v xml:space="preserve"> </v>
          </cell>
        </row>
        <row r="110">
          <cell r="A110" t="str">
            <v>5200-027-000</v>
          </cell>
          <cell r="B110" t="str">
            <v>Vales de gasolina</v>
          </cell>
          <cell r="C110">
            <v>72100</v>
          </cell>
          <cell r="D110" t="str">
            <v xml:space="preserve"> </v>
          </cell>
          <cell r="E110">
            <v>8575</v>
          </cell>
          <cell r="F110">
            <v>0</v>
          </cell>
          <cell r="G110">
            <v>80675</v>
          </cell>
          <cell r="H110" t="str">
            <v xml:space="preserve"> </v>
          </cell>
        </row>
        <row r="111">
          <cell r="A111" t="str">
            <v>5300-000-000</v>
          </cell>
          <cell r="B111" t="str">
            <v>GASTOS DE ADMINISTRACION</v>
          </cell>
          <cell r="C111">
            <v>1011302.13</v>
          </cell>
          <cell r="D111" t="str">
            <v xml:space="preserve"> </v>
          </cell>
          <cell r="E111">
            <v>122284.29</v>
          </cell>
          <cell r="F111">
            <v>0</v>
          </cell>
          <cell r="G111">
            <v>1133586.42</v>
          </cell>
          <cell r="H111" t="str">
            <v xml:space="preserve"> </v>
          </cell>
        </row>
        <row r="112">
          <cell r="A112" t="str">
            <v>5300-002-000</v>
          </cell>
          <cell r="B112" t="str">
            <v>Gastos de viaje</v>
          </cell>
          <cell r="C112">
            <v>99970.78</v>
          </cell>
          <cell r="D112" t="str">
            <v xml:space="preserve"> </v>
          </cell>
          <cell r="E112">
            <v>0</v>
          </cell>
          <cell r="F112">
            <v>0</v>
          </cell>
          <cell r="G112">
            <v>99970.78</v>
          </cell>
          <cell r="H112" t="str">
            <v xml:space="preserve"> </v>
          </cell>
        </row>
        <row r="113">
          <cell r="A113" t="str">
            <v>5300-003-000</v>
          </cell>
          <cell r="B113" t="str">
            <v>Eventos especiales</v>
          </cell>
          <cell r="C113">
            <v>30807.35</v>
          </cell>
          <cell r="D113" t="str">
            <v xml:space="preserve"> </v>
          </cell>
          <cell r="E113">
            <v>0</v>
          </cell>
          <cell r="F113">
            <v>0</v>
          </cell>
          <cell r="G113">
            <v>30807.35</v>
          </cell>
          <cell r="H113" t="str">
            <v xml:space="preserve"> </v>
          </cell>
        </row>
        <row r="114">
          <cell r="A114" t="str">
            <v>5300-004-000</v>
          </cell>
          <cell r="B114" t="str">
            <v>Consumo en Restaurantes</v>
          </cell>
          <cell r="C114">
            <v>367.47</v>
          </cell>
          <cell r="D114" t="str">
            <v xml:space="preserve"> </v>
          </cell>
          <cell r="E114">
            <v>77.38</v>
          </cell>
          <cell r="F114">
            <v>0</v>
          </cell>
          <cell r="G114">
            <v>444.85</v>
          </cell>
          <cell r="H114" t="str">
            <v xml:space="preserve"> </v>
          </cell>
        </row>
        <row r="115">
          <cell r="A115" t="str">
            <v>5300-006-000</v>
          </cell>
          <cell r="B115" t="str">
            <v>Comunicacion</v>
          </cell>
          <cell r="C115">
            <v>35061.07</v>
          </cell>
          <cell r="D115" t="str">
            <v xml:space="preserve"> </v>
          </cell>
          <cell r="E115">
            <v>4321.6899999999996</v>
          </cell>
          <cell r="F115">
            <v>0</v>
          </cell>
          <cell r="G115">
            <v>39382.76</v>
          </cell>
          <cell r="H115" t="str">
            <v xml:space="preserve"> </v>
          </cell>
        </row>
        <row r="116">
          <cell r="A116" t="str">
            <v>5300-007-000</v>
          </cell>
          <cell r="B116" t="str">
            <v>Honorarios</v>
          </cell>
          <cell r="C116">
            <v>139000</v>
          </cell>
          <cell r="D116" t="str">
            <v xml:space="preserve"> </v>
          </cell>
          <cell r="E116">
            <v>35500</v>
          </cell>
          <cell r="F116">
            <v>0</v>
          </cell>
          <cell r="G116">
            <v>174500</v>
          </cell>
          <cell r="H116" t="str">
            <v xml:space="preserve"> </v>
          </cell>
        </row>
        <row r="117">
          <cell r="A117" t="str">
            <v>5300-008-000</v>
          </cell>
          <cell r="B117" t="str">
            <v>Servicios Profesionales</v>
          </cell>
          <cell r="C117">
            <v>45663</v>
          </cell>
          <cell r="D117" t="str">
            <v xml:space="preserve"> </v>
          </cell>
          <cell r="E117">
            <v>0</v>
          </cell>
          <cell r="F117">
            <v>0</v>
          </cell>
          <cell r="G117">
            <v>45663</v>
          </cell>
          <cell r="H117" t="str">
            <v xml:space="preserve"> </v>
          </cell>
        </row>
        <row r="118">
          <cell r="A118" t="str">
            <v>5300-009-000</v>
          </cell>
          <cell r="B118" t="str">
            <v>Arrendamiento</v>
          </cell>
          <cell r="C118">
            <v>205050</v>
          </cell>
          <cell r="D118" t="str">
            <v xml:space="preserve"> </v>
          </cell>
          <cell r="E118">
            <v>0</v>
          </cell>
          <cell r="F118">
            <v>0</v>
          </cell>
          <cell r="G118">
            <v>205050</v>
          </cell>
          <cell r="H118" t="str">
            <v xml:space="preserve"> </v>
          </cell>
        </row>
        <row r="119">
          <cell r="A119" t="str">
            <v>5300-013-000</v>
          </cell>
          <cell r="B119" t="str">
            <v>Seguros</v>
          </cell>
          <cell r="C119">
            <v>62100.42</v>
          </cell>
          <cell r="D119" t="str">
            <v xml:space="preserve"> </v>
          </cell>
          <cell r="E119">
            <v>10118.98</v>
          </cell>
          <cell r="F119">
            <v>0</v>
          </cell>
          <cell r="G119">
            <v>72219.399999999994</v>
          </cell>
          <cell r="H119" t="str">
            <v xml:space="preserve"> </v>
          </cell>
        </row>
        <row r="120">
          <cell r="A120" t="str">
            <v>5300-017-000</v>
          </cell>
          <cell r="B120" t="str">
            <v>Luz</v>
          </cell>
          <cell r="C120">
            <v>17868.93</v>
          </cell>
          <cell r="D120" t="str">
            <v xml:space="preserve"> </v>
          </cell>
          <cell r="E120">
            <v>0</v>
          </cell>
          <cell r="F120">
            <v>0</v>
          </cell>
          <cell r="G120">
            <v>17868.93</v>
          </cell>
          <cell r="H120" t="str">
            <v xml:space="preserve"> </v>
          </cell>
        </row>
        <row r="121">
          <cell r="A121" t="str">
            <v>5300-018-000</v>
          </cell>
          <cell r="B121" t="str">
            <v>Gas Natural</v>
          </cell>
          <cell r="C121">
            <v>5996.26</v>
          </cell>
          <cell r="D121" t="str">
            <v xml:space="preserve"> </v>
          </cell>
          <cell r="E121">
            <v>5596.25</v>
          </cell>
          <cell r="F121">
            <v>0</v>
          </cell>
          <cell r="G121">
            <v>11592.51</v>
          </cell>
          <cell r="H121" t="str">
            <v xml:space="preserve"> </v>
          </cell>
        </row>
        <row r="122">
          <cell r="A122" t="str">
            <v>5300-019-000</v>
          </cell>
          <cell r="B122" t="str">
            <v>Agua</v>
          </cell>
          <cell r="C122">
            <v>2020.4</v>
          </cell>
          <cell r="D122" t="str">
            <v xml:space="preserve"> </v>
          </cell>
          <cell r="E122">
            <v>202.04</v>
          </cell>
          <cell r="F122">
            <v>0</v>
          </cell>
          <cell r="G122">
            <v>2222.44</v>
          </cell>
          <cell r="H122" t="str">
            <v xml:space="preserve"> </v>
          </cell>
        </row>
        <row r="123">
          <cell r="A123" t="str">
            <v>5300-022-000</v>
          </cell>
          <cell r="B123" t="str">
            <v>Papeleria</v>
          </cell>
          <cell r="C123">
            <v>111.21</v>
          </cell>
          <cell r="D123" t="str">
            <v xml:space="preserve"> </v>
          </cell>
          <cell r="E123">
            <v>0</v>
          </cell>
          <cell r="F123">
            <v>0</v>
          </cell>
          <cell r="G123">
            <v>111.21</v>
          </cell>
          <cell r="H123" t="str">
            <v xml:space="preserve"> </v>
          </cell>
        </row>
        <row r="124">
          <cell r="A124" t="str">
            <v>5300-027-000</v>
          </cell>
          <cell r="B124" t="str">
            <v>Seguridad e Higiene</v>
          </cell>
          <cell r="C124">
            <v>7200</v>
          </cell>
          <cell r="D124" t="str">
            <v xml:space="preserve"> </v>
          </cell>
          <cell r="E124">
            <v>0</v>
          </cell>
          <cell r="F124">
            <v>0</v>
          </cell>
          <cell r="G124">
            <v>7200</v>
          </cell>
          <cell r="H124" t="str">
            <v xml:space="preserve"> </v>
          </cell>
        </row>
        <row r="125">
          <cell r="A125" t="str">
            <v>5300-028-000</v>
          </cell>
          <cell r="B125" t="str">
            <v>Recolección de Basura</v>
          </cell>
          <cell r="C125">
            <v>1075.2</v>
          </cell>
          <cell r="D125" t="str">
            <v xml:space="preserve"> </v>
          </cell>
          <cell r="E125">
            <v>134.4</v>
          </cell>
          <cell r="F125">
            <v>0</v>
          </cell>
          <cell r="G125">
            <v>1209.5999999999999</v>
          </cell>
          <cell r="H125" t="str">
            <v xml:space="preserve"> </v>
          </cell>
        </row>
        <row r="126">
          <cell r="A126" t="str">
            <v>5300-029-000</v>
          </cell>
          <cell r="B126" t="str">
            <v>Sistemas de Alarma</v>
          </cell>
          <cell r="C126">
            <v>2700</v>
          </cell>
          <cell r="D126" t="str">
            <v xml:space="preserve"> </v>
          </cell>
          <cell r="E126">
            <v>0</v>
          </cell>
          <cell r="F126">
            <v>0</v>
          </cell>
          <cell r="G126">
            <v>2700</v>
          </cell>
          <cell r="H126" t="str">
            <v xml:space="preserve"> </v>
          </cell>
        </row>
        <row r="127">
          <cell r="A127" t="str">
            <v>5300-031-000</v>
          </cell>
          <cell r="B127" t="str">
            <v>Cuotas y Suscripciones</v>
          </cell>
          <cell r="C127">
            <v>180</v>
          </cell>
          <cell r="D127" t="str">
            <v xml:space="preserve"> </v>
          </cell>
          <cell r="E127">
            <v>207.76</v>
          </cell>
          <cell r="F127">
            <v>0</v>
          </cell>
          <cell r="G127">
            <v>387.76</v>
          </cell>
          <cell r="H127" t="str">
            <v xml:space="preserve"> </v>
          </cell>
        </row>
        <row r="128">
          <cell r="A128" t="str">
            <v>5300-032-000</v>
          </cell>
          <cell r="B128" t="str">
            <v>Otros impuestos y derechos</v>
          </cell>
          <cell r="C128">
            <v>2386.62</v>
          </cell>
          <cell r="D128" t="str">
            <v xml:space="preserve"> </v>
          </cell>
          <cell r="E128">
            <v>26.58</v>
          </cell>
          <cell r="F128">
            <v>0</v>
          </cell>
          <cell r="G128">
            <v>2413.1999999999998</v>
          </cell>
          <cell r="H128" t="str">
            <v xml:space="preserve"> </v>
          </cell>
        </row>
        <row r="129">
          <cell r="A129" t="str">
            <v>5300-035-000</v>
          </cell>
          <cell r="B129" t="str">
            <v>Mantenimiento Local</v>
          </cell>
          <cell r="C129">
            <v>46406.65</v>
          </cell>
          <cell r="D129" t="str">
            <v xml:space="preserve"> </v>
          </cell>
          <cell r="E129">
            <v>2000</v>
          </cell>
          <cell r="F129">
            <v>0</v>
          </cell>
          <cell r="G129">
            <v>48406.65</v>
          </cell>
          <cell r="H129" t="str">
            <v xml:space="preserve"> </v>
          </cell>
        </row>
        <row r="130">
          <cell r="A130" t="str">
            <v>5300-036-000</v>
          </cell>
          <cell r="B130" t="str">
            <v>Mantenimiento equipo de computo</v>
          </cell>
          <cell r="C130">
            <v>243174.79</v>
          </cell>
          <cell r="D130" t="str">
            <v xml:space="preserve"> </v>
          </cell>
          <cell r="E130">
            <v>60837.07</v>
          </cell>
          <cell r="F130">
            <v>0</v>
          </cell>
          <cell r="G130">
            <v>304011.86</v>
          </cell>
          <cell r="H130" t="str">
            <v xml:space="preserve"> </v>
          </cell>
        </row>
        <row r="131">
          <cell r="A131" t="str">
            <v>5300-038-000</v>
          </cell>
          <cell r="B131" t="str">
            <v>No deducibles</v>
          </cell>
          <cell r="C131">
            <v>47592.87</v>
          </cell>
          <cell r="D131" t="str">
            <v xml:space="preserve"> </v>
          </cell>
          <cell r="E131">
            <v>1049.6400000000001</v>
          </cell>
          <cell r="F131">
            <v>0</v>
          </cell>
          <cell r="G131">
            <v>48642.51</v>
          </cell>
          <cell r="H131" t="str">
            <v xml:space="preserve"> </v>
          </cell>
        </row>
        <row r="132">
          <cell r="A132" t="str">
            <v>5300-039-000</v>
          </cell>
          <cell r="B132" t="str">
            <v>Comisiones bancarias</v>
          </cell>
          <cell r="C132">
            <v>2550</v>
          </cell>
          <cell r="D132" t="str">
            <v xml:space="preserve"> </v>
          </cell>
          <cell r="E132">
            <v>270</v>
          </cell>
          <cell r="F132">
            <v>0</v>
          </cell>
          <cell r="G132">
            <v>2820</v>
          </cell>
          <cell r="H132" t="str">
            <v xml:space="preserve"> </v>
          </cell>
        </row>
        <row r="133">
          <cell r="A133" t="str">
            <v>5300-040-000</v>
          </cell>
          <cell r="B133" t="str">
            <v>Actualizacion de contribuciones</v>
          </cell>
          <cell r="C133">
            <v>119.96</v>
          </cell>
          <cell r="D133" t="str">
            <v xml:space="preserve"> </v>
          </cell>
          <cell r="E133">
            <v>0</v>
          </cell>
          <cell r="F133">
            <v>0</v>
          </cell>
          <cell r="G133">
            <v>119.96</v>
          </cell>
          <cell r="H133" t="str">
            <v xml:space="preserve"> </v>
          </cell>
        </row>
        <row r="134">
          <cell r="A134" t="str">
            <v>5300-041-000</v>
          </cell>
          <cell r="B134" t="str">
            <v>Recargos</v>
          </cell>
          <cell r="C134">
            <v>304.3</v>
          </cell>
          <cell r="D134" t="str">
            <v xml:space="preserve"> </v>
          </cell>
          <cell r="E134">
            <v>0</v>
          </cell>
          <cell r="F134">
            <v>0</v>
          </cell>
          <cell r="G134">
            <v>304.3</v>
          </cell>
          <cell r="H134" t="str">
            <v xml:space="preserve"> </v>
          </cell>
        </row>
        <row r="135">
          <cell r="A135" t="str">
            <v>5300-042-000</v>
          </cell>
          <cell r="B135" t="str">
            <v>Diversos</v>
          </cell>
          <cell r="C135">
            <v>7991.4</v>
          </cell>
          <cell r="D135" t="str">
            <v xml:space="preserve"> </v>
          </cell>
          <cell r="E135">
            <v>1942.5</v>
          </cell>
          <cell r="F135">
            <v>0</v>
          </cell>
          <cell r="G135">
            <v>9933.9</v>
          </cell>
          <cell r="H135" t="str">
            <v xml:space="preserve"> </v>
          </cell>
        </row>
        <row r="136">
          <cell r="A136" t="str">
            <v>5300-046-000</v>
          </cell>
          <cell r="B136" t="str">
            <v>Honorarios legales</v>
          </cell>
          <cell r="C136">
            <v>5603.45</v>
          </cell>
          <cell r="D136" t="str">
            <v xml:space="preserve"> </v>
          </cell>
          <cell r="E136">
            <v>0</v>
          </cell>
          <cell r="F136">
            <v>0</v>
          </cell>
          <cell r="G136">
            <v>5603.45</v>
          </cell>
          <cell r="H136" t="str">
            <v xml:space="preserve"> </v>
          </cell>
        </row>
        <row r="137">
          <cell r="A137" t="str">
            <v>5400-000-000</v>
          </cell>
          <cell r="B137" t="str">
            <v>GASTOS DE OPERACION</v>
          </cell>
          <cell r="C137">
            <v>207294.62</v>
          </cell>
          <cell r="D137" t="str">
            <v xml:space="preserve"> </v>
          </cell>
          <cell r="E137">
            <v>31939.37</v>
          </cell>
          <cell r="F137">
            <v>0</v>
          </cell>
          <cell r="G137">
            <v>239233.99</v>
          </cell>
          <cell r="H137" t="str">
            <v xml:space="preserve"> </v>
          </cell>
        </row>
        <row r="138">
          <cell r="A138" t="str">
            <v>5400-001-000</v>
          </cell>
          <cell r="B138" t="str">
            <v>Depreciacion acumulada</v>
          </cell>
          <cell r="C138">
            <v>32901.47</v>
          </cell>
          <cell r="D138" t="str">
            <v xml:space="preserve"> </v>
          </cell>
          <cell r="E138">
            <v>3589.37</v>
          </cell>
          <cell r="F138">
            <v>0</v>
          </cell>
          <cell r="G138">
            <v>36490.839999999997</v>
          </cell>
          <cell r="H138" t="str">
            <v xml:space="preserve"> </v>
          </cell>
        </row>
        <row r="139">
          <cell r="A139" t="str">
            <v>5400-001-004</v>
          </cell>
          <cell r="B139" t="str">
            <v>Machinery &amp; Equipment accumulated depreciation</v>
          </cell>
          <cell r="C139">
            <v>8949.08</v>
          </cell>
          <cell r="D139" t="str">
            <v xml:space="preserve"> </v>
          </cell>
          <cell r="E139">
            <v>953.88</v>
          </cell>
          <cell r="F139">
            <v>0</v>
          </cell>
          <cell r="G139">
            <v>9902.9599999999991</v>
          </cell>
          <cell r="H139" t="str">
            <v xml:space="preserve"> </v>
          </cell>
        </row>
        <row r="140">
          <cell r="A140" t="str">
            <v>5400-001-005</v>
          </cell>
          <cell r="B140" t="str">
            <v>Computer Equipment accumulated depreciation</v>
          </cell>
          <cell r="C140">
            <v>23952.39</v>
          </cell>
          <cell r="D140" t="str">
            <v xml:space="preserve"> </v>
          </cell>
          <cell r="E140">
            <v>2635.49</v>
          </cell>
          <cell r="F140">
            <v>0</v>
          </cell>
          <cell r="G140">
            <v>26587.88</v>
          </cell>
          <cell r="H140" t="str">
            <v xml:space="preserve"> </v>
          </cell>
        </row>
        <row r="141">
          <cell r="A141" t="str">
            <v>5400-003-000</v>
          </cell>
          <cell r="B141" t="str">
            <v>Eventos Especiales</v>
          </cell>
          <cell r="C141">
            <v>1043.77</v>
          </cell>
          <cell r="D141" t="str">
            <v xml:space="preserve"> </v>
          </cell>
          <cell r="E141">
            <v>0</v>
          </cell>
          <cell r="F141">
            <v>0</v>
          </cell>
          <cell r="G141">
            <v>1043.77</v>
          </cell>
          <cell r="H141" t="str">
            <v xml:space="preserve"> </v>
          </cell>
        </row>
        <row r="142">
          <cell r="A142" t="str">
            <v>5400-004-000</v>
          </cell>
          <cell r="B142" t="str">
            <v>Consumo en Restaurantes</v>
          </cell>
          <cell r="C142">
            <v>89.83</v>
          </cell>
          <cell r="D142" t="str">
            <v xml:space="preserve"> </v>
          </cell>
          <cell r="E142">
            <v>0</v>
          </cell>
          <cell r="F142">
            <v>0</v>
          </cell>
          <cell r="G142">
            <v>89.83</v>
          </cell>
          <cell r="H142" t="str">
            <v xml:space="preserve"> </v>
          </cell>
        </row>
        <row r="143">
          <cell r="A143" t="str">
            <v>5400-006-000</v>
          </cell>
          <cell r="B143" t="str">
            <v>Comunicación</v>
          </cell>
          <cell r="C143">
            <v>6118.96</v>
          </cell>
          <cell r="D143" t="str">
            <v xml:space="preserve"> </v>
          </cell>
          <cell r="E143">
            <v>0</v>
          </cell>
          <cell r="F143">
            <v>0</v>
          </cell>
          <cell r="G143">
            <v>6118.96</v>
          </cell>
          <cell r="H143" t="str">
            <v xml:space="preserve"> </v>
          </cell>
        </row>
        <row r="144">
          <cell r="A144" t="str">
            <v>5400-007-000</v>
          </cell>
          <cell r="B144" t="str">
            <v>Honorarios</v>
          </cell>
          <cell r="C144">
            <v>104000</v>
          </cell>
          <cell r="D144" t="str">
            <v xml:space="preserve"> </v>
          </cell>
          <cell r="E144">
            <v>0</v>
          </cell>
          <cell r="F144">
            <v>0</v>
          </cell>
          <cell r="G144">
            <v>104000</v>
          </cell>
          <cell r="H144" t="str">
            <v xml:space="preserve"> </v>
          </cell>
        </row>
        <row r="145">
          <cell r="A145" t="str">
            <v>5400-009-000</v>
          </cell>
          <cell r="B145" t="str">
            <v>Arrendamiento</v>
          </cell>
          <cell r="C145">
            <v>52350</v>
          </cell>
          <cell r="D145" t="str">
            <v xml:space="preserve"> </v>
          </cell>
          <cell r="E145">
            <v>28350</v>
          </cell>
          <cell r="F145">
            <v>0</v>
          </cell>
          <cell r="G145">
            <v>80700</v>
          </cell>
          <cell r="H145" t="str">
            <v xml:space="preserve"> </v>
          </cell>
        </row>
        <row r="146">
          <cell r="A146" t="str">
            <v>5400-014-000</v>
          </cell>
          <cell r="B146" t="str">
            <v>Reclutamiento al Personal</v>
          </cell>
          <cell r="C146">
            <v>1180</v>
          </cell>
          <cell r="D146" t="str">
            <v xml:space="preserve"> </v>
          </cell>
          <cell r="E146">
            <v>0</v>
          </cell>
          <cell r="F146">
            <v>0</v>
          </cell>
          <cell r="G146">
            <v>1180</v>
          </cell>
          <cell r="H146" t="str">
            <v xml:space="preserve"> </v>
          </cell>
        </row>
        <row r="147">
          <cell r="A147" t="str">
            <v>5400-022-000</v>
          </cell>
          <cell r="B147" t="str">
            <v>Papelería y Artículos de Oficina</v>
          </cell>
          <cell r="C147">
            <v>5026.8999999999996</v>
          </cell>
          <cell r="D147" t="str">
            <v xml:space="preserve"> </v>
          </cell>
          <cell r="E147">
            <v>0</v>
          </cell>
          <cell r="F147">
            <v>0</v>
          </cell>
          <cell r="G147">
            <v>5026.8999999999996</v>
          </cell>
          <cell r="H147" t="str">
            <v xml:space="preserve"> </v>
          </cell>
        </row>
        <row r="148">
          <cell r="A148" t="str">
            <v>5400-028-000</v>
          </cell>
          <cell r="B148" t="str">
            <v>Recolección de Basura</v>
          </cell>
          <cell r="C148">
            <v>134.4</v>
          </cell>
          <cell r="D148" t="str">
            <v xml:space="preserve"> </v>
          </cell>
          <cell r="E148">
            <v>0</v>
          </cell>
          <cell r="F148">
            <v>0</v>
          </cell>
          <cell r="G148">
            <v>134.4</v>
          </cell>
          <cell r="H148" t="str">
            <v xml:space="preserve"> </v>
          </cell>
        </row>
        <row r="149">
          <cell r="A149" t="str">
            <v>5400-038-000</v>
          </cell>
          <cell r="B149" t="str">
            <v>No Deducibles</v>
          </cell>
          <cell r="C149">
            <v>3152.83</v>
          </cell>
          <cell r="D149" t="str">
            <v xml:space="preserve"> </v>
          </cell>
          <cell r="E149">
            <v>0</v>
          </cell>
          <cell r="F149">
            <v>0</v>
          </cell>
          <cell r="G149">
            <v>3152.83</v>
          </cell>
          <cell r="H149" t="str">
            <v xml:space="preserve"> </v>
          </cell>
        </row>
        <row r="150">
          <cell r="A150" t="str">
            <v>5400-046-000</v>
          </cell>
          <cell r="B150" t="str">
            <v>Multas</v>
          </cell>
          <cell r="C150">
            <v>1296.46</v>
          </cell>
          <cell r="D150" t="str">
            <v xml:space="preserve"> </v>
          </cell>
          <cell r="E150">
            <v>0</v>
          </cell>
          <cell r="F150">
            <v>0</v>
          </cell>
          <cell r="G150">
            <v>1296.46</v>
          </cell>
          <cell r="H150" t="str">
            <v xml:space="preserve"> </v>
          </cell>
        </row>
        <row r="151">
          <cell r="A151" t="str">
            <v>0000-600-000</v>
          </cell>
          <cell r="B151" t="str">
            <v>CIF</v>
          </cell>
          <cell r="C151">
            <v>-3919.85</v>
          </cell>
          <cell r="D151" t="str">
            <v xml:space="preserve"> </v>
          </cell>
          <cell r="E151">
            <v>0.43</v>
          </cell>
          <cell r="F151">
            <v>679.86</v>
          </cell>
          <cell r="G151">
            <v>-4599.28</v>
          </cell>
          <cell r="H151" t="str">
            <v xml:space="preserve"> </v>
          </cell>
        </row>
        <row r="152">
          <cell r="A152" t="str">
            <v>6000-001-000</v>
          </cell>
          <cell r="B152" t="str">
            <v>Utilidad en Cambios</v>
          </cell>
          <cell r="C152" t="str">
            <v xml:space="preserve"> </v>
          </cell>
          <cell r="D152">
            <v>12.05</v>
          </cell>
          <cell r="E152">
            <v>0</v>
          </cell>
          <cell r="F152">
            <v>0</v>
          </cell>
          <cell r="G152" t="str">
            <v xml:space="preserve"> </v>
          </cell>
          <cell r="H152">
            <v>12.05</v>
          </cell>
        </row>
        <row r="153">
          <cell r="A153" t="str">
            <v>6000-002-000</v>
          </cell>
          <cell r="B153" t="str">
            <v>Pérdida en Cambios</v>
          </cell>
          <cell r="C153">
            <v>2223.7600000000002</v>
          </cell>
          <cell r="D153" t="str">
            <v xml:space="preserve"> </v>
          </cell>
          <cell r="E153">
            <v>0</v>
          </cell>
          <cell r="F153">
            <v>0</v>
          </cell>
          <cell r="G153">
            <v>2223.7600000000002</v>
          </cell>
          <cell r="H153" t="str">
            <v xml:space="preserve"> </v>
          </cell>
        </row>
        <row r="154">
          <cell r="A154" t="str">
            <v>6000-003-000</v>
          </cell>
          <cell r="B154" t="str">
            <v>Intereses Bancarios</v>
          </cell>
          <cell r="C154">
            <v>-6131.45</v>
          </cell>
          <cell r="D154" t="str">
            <v xml:space="preserve"> </v>
          </cell>
          <cell r="E154">
            <v>0</v>
          </cell>
          <cell r="F154">
            <v>679.48</v>
          </cell>
          <cell r="G154">
            <v>-6810.93</v>
          </cell>
          <cell r="H154" t="str">
            <v xml:space="preserve"> </v>
          </cell>
        </row>
        <row r="155">
          <cell r="A155" t="str">
            <v>6000-005-000</v>
          </cell>
          <cell r="B155" t="str">
            <v>Minor Dif</v>
          </cell>
          <cell r="C155">
            <v>-0.11</v>
          </cell>
          <cell r="D155" t="str">
            <v xml:space="preserve"> </v>
          </cell>
          <cell r="E155">
            <v>0.43</v>
          </cell>
          <cell r="F155">
            <v>0.38</v>
          </cell>
          <cell r="G155">
            <v>-0.06</v>
          </cell>
          <cell r="H155" t="str">
            <v xml:space="preserve"> </v>
          </cell>
        </row>
        <row r="156">
          <cell r="A156" t="str">
            <v xml:space="preserve"> </v>
          </cell>
        </row>
        <row r="157">
          <cell r="B157" t="str">
            <v>Total cuentas no impresas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B158" t="str">
            <v xml:space="preserve"> </v>
          </cell>
          <cell r="D158">
            <v>0</v>
          </cell>
          <cell r="H158">
            <v>0</v>
          </cell>
        </row>
        <row r="159">
          <cell r="A159" t="str">
            <v xml:space="preserve"> </v>
          </cell>
        </row>
        <row r="161">
          <cell r="B161" t="str">
            <v xml:space="preserve">Sumas Iguales: </v>
          </cell>
          <cell r="C161">
            <v>6932956.7699999996</v>
          </cell>
          <cell r="E161">
            <v>2461990.2799999998</v>
          </cell>
          <cell r="F161">
            <v>2461990.2799999998</v>
          </cell>
          <cell r="G161">
            <v>7539810.9900000002</v>
          </cell>
        </row>
        <row r="162">
          <cell r="D162">
            <v>6932956.7699999996</v>
          </cell>
          <cell r="H162">
            <v>7539810.9900000002</v>
          </cell>
        </row>
      </sheetData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DO.RES"/>
      <sheetName val="COSTO"/>
      <sheetName val="INFORMACION CONTABLE"/>
      <sheetName val="CRÉDITOS AAPI"/>
      <sheetName val="BANCOS AAPI"/>
      <sheetName val="CRÉDITOS ISR e IMPAC"/>
      <sheetName val="CRÉDITOS ISR e IMPAC M.E."/>
      <sheetName val="DEUDAS AAPI"/>
      <sheetName val="DEUDAS ISR e IMPAC"/>
      <sheetName val="DEUDAS ISR e IMPAC M.E."/>
      <sheetName val="AAPI ACUMULABLE o DEDUCIBLE"/>
      <sheetName val="ACTIVOS FIJOS"/>
      <sheetName val="ACTIVOS DEDUCCIÓN INMEDIATA"/>
      <sheetName val="VENTA AUTOS"/>
      <sheetName val="REGLA AUTOS"/>
      <sheetName val="VENTA TERRENOS"/>
      <sheetName val="Previsión Social"/>
      <sheetName val="Reglas Previsión Social"/>
      <sheetName val="Reglas Previsión Social 2"/>
      <sheetName val="PS Deduc 2004"/>
      <sheetName val="PS Deduc 2004 (2)"/>
      <sheetName val="PTU DEDUCIBLE"/>
      <sheetName val="RELACION GASTOS"/>
      <sheetName val="COMPRAS DEDUCIBLES"/>
      <sheetName val="Conciliación ISR"/>
      <sheetName val="Conciliación II ISR"/>
      <sheetName val="Cálculo ISR"/>
      <sheetName val="PÉRDIDAS"/>
      <sheetName val="CALCULO PTU"/>
      <sheetName val="PTU"/>
      <sheetName val="COEF UTILIDAD"/>
      <sheetName val="CUFIN98"/>
      <sheetName val="CUFINRE 99"/>
      <sheetName val="CUFINRE 00-01"/>
      <sheetName val="CUFIN A 2003"/>
      <sheetName val="CUCA"/>
      <sheetName val="ACTIVOS FINANCIEROS IMPAC"/>
      <sheetName val="BANCOS IMPAC"/>
      <sheetName val="ACTIVOS FIJOS IMPAC"/>
      <sheetName val="TERRENOS IMPAC"/>
      <sheetName val="INVENTARIOS IMPAC"/>
      <sheetName val="DEUDAS IMPAC"/>
      <sheetName val="CALCULO IMPAC"/>
      <sheetName val="REDUCCIÓN IMPAC D.I."/>
      <sheetName val="CALCULO IMPAC 5-A"/>
      <sheetName val="CONSTITUCIONAL DECRETO"/>
      <sheetName val="INPC"/>
      <sheetName val="TC"/>
      <sheetName val="IDENT, A, B, y C"/>
      <sheetName val="D y E"/>
      <sheetName val="F"/>
      <sheetName val="G"/>
      <sheetName val="H"/>
      <sheetName val="I"/>
      <sheetName val="J"/>
      <sheetName val="O"/>
    </sheetNames>
    <sheetDataSet>
      <sheetData sheetId="0" refreshError="1"/>
      <sheetData sheetId="1" refreshError="1"/>
      <sheetData sheetId="2" refreshError="1">
        <row r="15">
          <cell r="H15">
            <v>0</v>
          </cell>
        </row>
        <row r="16">
          <cell r="H16">
            <v>0</v>
          </cell>
        </row>
        <row r="26">
          <cell r="H26">
            <v>0</v>
          </cell>
        </row>
        <row r="27">
          <cell r="H27">
            <v>0</v>
          </cell>
        </row>
        <row r="34">
          <cell r="H34">
            <v>0</v>
          </cell>
        </row>
        <row r="35">
          <cell r="H3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3">
          <cell r="AB13">
            <v>0</v>
          </cell>
        </row>
        <row r="17">
          <cell r="AB17">
            <v>0</v>
          </cell>
        </row>
        <row r="20">
          <cell r="AB20">
            <v>0</v>
          </cell>
        </row>
        <row r="23">
          <cell r="AB23">
            <v>0</v>
          </cell>
        </row>
        <row r="26">
          <cell r="AB26">
            <v>0</v>
          </cell>
        </row>
        <row r="31">
          <cell r="AB31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69">
          <cell r="C69">
            <v>18264</v>
          </cell>
          <cell r="D69">
            <v>9.2800000000000001E-3</v>
          </cell>
        </row>
        <row r="70">
          <cell r="C70">
            <v>18295</v>
          </cell>
          <cell r="D70">
            <v>9.3910999999999994E-3</v>
          </cell>
        </row>
        <row r="71">
          <cell r="C71">
            <v>18323</v>
          </cell>
          <cell r="D71">
            <v>9.8066000000000004E-3</v>
          </cell>
        </row>
        <row r="72">
          <cell r="C72">
            <v>18354</v>
          </cell>
          <cell r="D72">
            <v>9.9031999999999992E-3</v>
          </cell>
        </row>
        <row r="73">
          <cell r="C73">
            <v>18384</v>
          </cell>
          <cell r="D73">
            <v>9.8895000000000007E-3</v>
          </cell>
        </row>
        <row r="74">
          <cell r="C74">
            <v>18415</v>
          </cell>
          <cell r="D74">
            <v>9.8203000000000006E-3</v>
          </cell>
        </row>
        <row r="75">
          <cell r="C75">
            <v>18445</v>
          </cell>
          <cell r="D75">
            <v>9.8895000000000007E-3</v>
          </cell>
        </row>
        <row r="76">
          <cell r="C76">
            <v>18476</v>
          </cell>
          <cell r="D76">
            <v>1.0056000000000001E-2</v>
          </cell>
        </row>
        <row r="77">
          <cell r="C77">
            <v>18507</v>
          </cell>
          <cell r="D77">
            <v>1.0361E-2</v>
          </cell>
        </row>
        <row r="78">
          <cell r="C78">
            <v>18537</v>
          </cell>
          <cell r="D78">
            <v>1.0612E-2</v>
          </cell>
        </row>
        <row r="79">
          <cell r="C79">
            <v>18568</v>
          </cell>
          <cell r="D79">
            <v>1.0793000000000001E-2</v>
          </cell>
        </row>
        <row r="80">
          <cell r="C80">
            <v>18598</v>
          </cell>
          <cell r="D80">
            <v>1.0905E-2</v>
          </cell>
        </row>
        <row r="81">
          <cell r="C81">
            <v>18629</v>
          </cell>
          <cell r="D81">
            <v>1.1132E-2</v>
          </cell>
        </row>
        <row r="82">
          <cell r="C82">
            <v>18660</v>
          </cell>
          <cell r="D82">
            <v>1.159E-2</v>
          </cell>
        </row>
        <row r="83">
          <cell r="C83">
            <v>18688</v>
          </cell>
          <cell r="D83">
            <v>1.2130999999999999E-2</v>
          </cell>
        </row>
        <row r="84">
          <cell r="C84">
            <v>18719</v>
          </cell>
          <cell r="D84">
            <v>1.2435999999999999E-2</v>
          </cell>
        </row>
        <row r="85">
          <cell r="C85">
            <v>18749</v>
          </cell>
          <cell r="D85">
            <v>1.2728E-2</v>
          </cell>
        </row>
        <row r="86">
          <cell r="C86">
            <v>18780</v>
          </cell>
          <cell r="D86">
            <v>1.2936E-2</v>
          </cell>
        </row>
        <row r="87">
          <cell r="C87">
            <v>18810</v>
          </cell>
          <cell r="D87">
            <v>1.2715000000000001E-2</v>
          </cell>
        </row>
        <row r="88">
          <cell r="C88">
            <v>18841</v>
          </cell>
          <cell r="D88">
            <v>1.2467000000000001E-2</v>
          </cell>
        </row>
        <row r="89">
          <cell r="C89">
            <v>18872</v>
          </cell>
          <cell r="D89">
            <v>1.2619E-2</v>
          </cell>
        </row>
        <row r="90">
          <cell r="C90">
            <v>18902</v>
          </cell>
          <cell r="D90">
            <v>1.2674E-2</v>
          </cell>
        </row>
        <row r="91">
          <cell r="C91">
            <v>18933</v>
          </cell>
          <cell r="D91">
            <v>1.2936E-2</v>
          </cell>
        </row>
        <row r="92">
          <cell r="C92">
            <v>18963</v>
          </cell>
          <cell r="D92">
            <v>1.2893999999999999E-2</v>
          </cell>
        </row>
        <row r="93">
          <cell r="C93">
            <v>18994</v>
          </cell>
          <cell r="D93">
            <v>1.2956000000000001E-2</v>
          </cell>
        </row>
        <row r="94">
          <cell r="C94">
            <v>19025</v>
          </cell>
          <cell r="D94">
            <v>1.2886999999999999E-2</v>
          </cell>
        </row>
        <row r="95">
          <cell r="C95">
            <v>19054</v>
          </cell>
          <cell r="D95">
            <v>1.3011999999999999E-2</v>
          </cell>
        </row>
        <row r="96">
          <cell r="C96">
            <v>19085</v>
          </cell>
          <cell r="D96">
            <v>1.3108E-2</v>
          </cell>
        </row>
        <row r="97">
          <cell r="C97">
            <v>19115</v>
          </cell>
          <cell r="D97">
            <v>1.3067E-2</v>
          </cell>
        </row>
        <row r="98">
          <cell r="C98">
            <v>19146</v>
          </cell>
          <cell r="D98">
            <v>1.3067E-2</v>
          </cell>
        </row>
        <row r="99">
          <cell r="C99">
            <v>19176</v>
          </cell>
          <cell r="D99">
            <v>1.2886999999999999E-2</v>
          </cell>
        </row>
        <row r="100">
          <cell r="C100">
            <v>19207</v>
          </cell>
          <cell r="D100">
            <v>1.2886999999999999E-2</v>
          </cell>
        </row>
        <row r="101">
          <cell r="C101">
            <v>19238</v>
          </cell>
          <cell r="D101">
            <v>1.2625000000000001E-2</v>
          </cell>
        </row>
        <row r="102">
          <cell r="C102">
            <v>19268</v>
          </cell>
          <cell r="D102">
            <v>1.2736000000000001E-2</v>
          </cell>
        </row>
        <row r="103">
          <cell r="C103">
            <v>19299</v>
          </cell>
          <cell r="D103">
            <v>1.268E-2</v>
          </cell>
        </row>
        <row r="104">
          <cell r="C104">
            <v>19329</v>
          </cell>
          <cell r="D104">
            <v>1.2611000000000001E-2</v>
          </cell>
        </row>
        <row r="105">
          <cell r="C105">
            <v>19360</v>
          </cell>
          <cell r="D105">
            <v>1.2514000000000001E-2</v>
          </cell>
        </row>
        <row r="106">
          <cell r="C106">
            <v>19391</v>
          </cell>
          <cell r="D106">
            <v>1.2416999999999999E-2</v>
          </cell>
        </row>
        <row r="107">
          <cell r="C107">
            <v>19419</v>
          </cell>
          <cell r="D107">
            <v>1.2486000000000001E-2</v>
          </cell>
        </row>
        <row r="108">
          <cell r="C108">
            <v>19450</v>
          </cell>
          <cell r="D108">
            <v>1.2527999999999999E-2</v>
          </cell>
        </row>
        <row r="109">
          <cell r="C109">
            <v>19480</v>
          </cell>
          <cell r="D109">
            <v>1.2708000000000001E-2</v>
          </cell>
        </row>
        <row r="110">
          <cell r="C110">
            <v>19511</v>
          </cell>
          <cell r="D110">
            <v>1.2652999999999999E-2</v>
          </cell>
        </row>
        <row r="111">
          <cell r="C111">
            <v>19541</v>
          </cell>
          <cell r="D111">
            <v>1.282E-2</v>
          </cell>
        </row>
        <row r="112">
          <cell r="C112">
            <v>19572</v>
          </cell>
          <cell r="D112">
            <v>1.2777999999999999E-2</v>
          </cell>
        </row>
        <row r="113">
          <cell r="C113">
            <v>19603</v>
          </cell>
          <cell r="D113">
            <v>1.2874999999999999E-2</v>
          </cell>
        </row>
        <row r="114">
          <cell r="C114">
            <v>19633</v>
          </cell>
          <cell r="D114">
            <v>1.3056E-2</v>
          </cell>
        </row>
        <row r="115">
          <cell r="C115">
            <v>19664</v>
          </cell>
          <cell r="D115">
            <v>1.2874E-2</v>
          </cell>
        </row>
        <row r="116">
          <cell r="C116">
            <v>19694</v>
          </cell>
          <cell r="D116">
            <v>1.2874E-2</v>
          </cell>
        </row>
        <row r="117">
          <cell r="C117">
            <v>19725</v>
          </cell>
          <cell r="D117">
            <v>1.2786E-2</v>
          </cell>
        </row>
        <row r="118">
          <cell r="C118">
            <v>19756</v>
          </cell>
          <cell r="D118">
            <v>1.2828000000000001E-2</v>
          </cell>
        </row>
        <row r="119">
          <cell r="C119">
            <v>19784</v>
          </cell>
          <cell r="D119">
            <v>1.2952E-2</v>
          </cell>
        </row>
        <row r="120">
          <cell r="C120">
            <v>19815</v>
          </cell>
          <cell r="D120">
            <v>1.3299999999999999E-2</v>
          </cell>
        </row>
        <row r="121">
          <cell r="C121">
            <v>19845</v>
          </cell>
          <cell r="D121">
            <v>1.3939E-2</v>
          </cell>
        </row>
        <row r="122">
          <cell r="C122">
            <v>19876</v>
          </cell>
          <cell r="D122">
            <v>1.4119E-2</v>
          </cell>
        </row>
        <row r="123">
          <cell r="C123">
            <v>19906</v>
          </cell>
          <cell r="D123">
            <v>1.4133E-2</v>
          </cell>
        </row>
        <row r="124">
          <cell r="C124">
            <v>19937</v>
          </cell>
          <cell r="D124">
            <v>1.4244E-2</v>
          </cell>
        </row>
        <row r="125">
          <cell r="C125">
            <v>19968</v>
          </cell>
          <cell r="D125">
            <v>1.4203E-2</v>
          </cell>
        </row>
        <row r="126">
          <cell r="C126">
            <v>19998</v>
          </cell>
          <cell r="D126">
            <v>1.4536E-2</v>
          </cell>
        </row>
        <row r="127">
          <cell r="C127">
            <v>20029</v>
          </cell>
          <cell r="D127">
            <v>1.4800000000000001E-2</v>
          </cell>
        </row>
        <row r="128">
          <cell r="C128">
            <v>20059</v>
          </cell>
          <cell r="D128">
            <v>1.4982000000000001E-2</v>
          </cell>
        </row>
        <row r="129">
          <cell r="C129">
            <v>20090</v>
          </cell>
          <cell r="D129">
            <v>1.4982000000000001E-2</v>
          </cell>
        </row>
        <row r="130">
          <cell r="C130">
            <v>20121</v>
          </cell>
          <cell r="D130">
            <v>1.5134E-2</v>
          </cell>
        </row>
        <row r="131">
          <cell r="C131">
            <v>20149</v>
          </cell>
          <cell r="D131">
            <v>1.5440000000000001E-2</v>
          </cell>
        </row>
        <row r="132">
          <cell r="C132">
            <v>20180</v>
          </cell>
          <cell r="D132">
            <v>1.5606E-2</v>
          </cell>
        </row>
        <row r="133">
          <cell r="C133">
            <v>20210</v>
          </cell>
          <cell r="D133">
            <v>1.5579000000000001E-2</v>
          </cell>
        </row>
        <row r="134">
          <cell r="C134">
            <v>20241</v>
          </cell>
          <cell r="D134">
            <v>1.5675999999999999E-2</v>
          </cell>
        </row>
        <row r="135">
          <cell r="C135">
            <v>20271</v>
          </cell>
          <cell r="D135">
            <v>1.5855999999999999E-2</v>
          </cell>
        </row>
        <row r="136">
          <cell r="C136">
            <v>20302</v>
          </cell>
          <cell r="D136">
            <v>1.6022000000000002E-2</v>
          </cell>
        </row>
        <row r="137">
          <cell r="C137">
            <v>20333</v>
          </cell>
          <cell r="D137">
            <v>1.6022000000000002E-2</v>
          </cell>
        </row>
        <row r="138">
          <cell r="C138">
            <v>20363</v>
          </cell>
          <cell r="D138">
            <v>1.6187E-2</v>
          </cell>
        </row>
        <row r="139">
          <cell r="C139">
            <v>20394</v>
          </cell>
          <cell r="D139">
            <v>1.6437E-2</v>
          </cell>
        </row>
        <row r="140">
          <cell r="C140">
            <v>20424</v>
          </cell>
          <cell r="D140">
            <v>1.6396000000000001E-2</v>
          </cell>
        </row>
        <row r="141">
          <cell r="C141">
            <v>20455</v>
          </cell>
          <cell r="D141">
            <v>1.6518999999999999E-2</v>
          </cell>
        </row>
        <row r="142">
          <cell r="C142">
            <v>20486</v>
          </cell>
          <cell r="D142">
            <v>1.6671999999999999E-2</v>
          </cell>
        </row>
        <row r="143">
          <cell r="C143">
            <v>20515</v>
          </cell>
          <cell r="D143">
            <v>1.6657999999999999E-2</v>
          </cell>
        </row>
        <row r="144">
          <cell r="C144">
            <v>20546</v>
          </cell>
          <cell r="D144">
            <v>1.6754999999999999E-2</v>
          </cell>
        </row>
        <row r="145">
          <cell r="C145">
            <v>20576</v>
          </cell>
          <cell r="D145">
            <v>1.6643999999999999E-2</v>
          </cell>
        </row>
        <row r="146">
          <cell r="C146">
            <v>20607</v>
          </cell>
          <cell r="D146">
            <v>1.6504999999999999E-2</v>
          </cell>
        </row>
        <row r="147">
          <cell r="C147">
            <v>20637</v>
          </cell>
          <cell r="D147">
            <v>1.6298E-2</v>
          </cell>
        </row>
        <row r="148">
          <cell r="C148">
            <v>20668</v>
          </cell>
          <cell r="D148">
            <v>1.6338999999999999E-2</v>
          </cell>
        </row>
        <row r="149">
          <cell r="C149">
            <v>20699</v>
          </cell>
          <cell r="D149">
            <v>1.6338999999999999E-2</v>
          </cell>
        </row>
        <row r="150">
          <cell r="C150">
            <v>20729</v>
          </cell>
          <cell r="D150">
            <v>1.6227999999999999E-2</v>
          </cell>
        </row>
        <row r="151">
          <cell r="C151">
            <v>20760</v>
          </cell>
          <cell r="D151">
            <v>1.6365999999999999E-2</v>
          </cell>
        </row>
        <row r="152">
          <cell r="C152">
            <v>20790</v>
          </cell>
          <cell r="D152">
            <v>1.6490999999999999E-2</v>
          </cell>
        </row>
        <row r="153">
          <cell r="C153">
            <v>20821</v>
          </cell>
          <cell r="D153">
            <v>1.6631E-2</v>
          </cell>
        </row>
        <row r="154">
          <cell r="C154">
            <v>20852</v>
          </cell>
          <cell r="D154">
            <v>1.6645E-2</v>
          </cell>
        </row>
        <row r="155">
          <cell r="C155">
            <v>20880</v>
          </cell>
          <cell r="D155">
            <v>1.6743000000000001E-2</v>
          </cell>
        </row>
        <row r="156">
          <cell r="C156">
            <v>20911</v>
          </cell>
          <cell r="D156">
            <v>1.6992E-2</v>
          </cell>
        </row>
        <row r="157">
          <cell r="C157">
            <v>20941</v>
          </cell>
          <cell r="D157">
            <v>1.7173000000000001E-2</v>
          </cell>
        </row>
        <row r="158">
          <cell r="C158">
            <v>20972</v>
          </cell>
          <cell r="D158">
            <v>1.7145000000000001E-2</v>
          </cell>
        </row>
        <row r="159">
          <cell r="C159">
            <v>21002</v>
          </cell>
          <cell r="D159">
            <v>1.7381000000000001E-2</v>
          </cell>
        </row>
        <row r="160">
          <cell r="C160">
            <v>21033</v>
          </cell>
          <cell r="D160">
            <v>1.7672E-2</v>
          </cell>
        </row>
        <row r="161">
          <cell r="C161">
            <v>21064</v>
          </cell>
          <cell r="D161">
            <v>1.7547E-2</v>
          </cell>
        </row>
        <row r="162">
          <cell r="C162">
            <v>21094</v>
          </cell>
          <cell r="D162">
            <v>1.7562000000000001E-2</v>
          </cell>
        </row>
        <row r="163">
          <cell r="C163">
            <v>21125</v>
          </cell>
          <cell r="D163">
            <v>1.7547E-2</v>
          </cell>
        </row>
        <row r="164">
          <cell r="C164">
            <v>21155</v>
          </cell>
          <cell r="D164">
            <v>1.7576000000000001E-2</v>
          </cell>
        </row>
        <row r="165">
          <cell r="C165">
            <v>21186</v>
          </cell>
          <cell r="D165">
            <v>1.779E-2</v>
          </cell>
        </row>
        <row r="166">
          <cell r="C166">
            <v>21217</v>
          </cell>
          <cell r="D166">
            <v>1.7734E-2</v>
          </cell>
        </row>
        <row r="167">
          <cell r="C167">
            <v>21245</v>
          </cell>
          <cell r="D167">
            <v>1.7846000000000001E-2</v>
          </cell>
        </row>
        <row r="168">
          <cell r="C168">
            <v>21276</v>
          </cell>
          <cell r="D168">
            <v>1.8024999999999999E-2</v>
          </cell>
        </row>
        <row r="169">
          <cell r="C169">
            <v>21306</v>
          </cell>
          <cell r="D169">
            <v>1.8164E-2</v>
          </cell>
        </row>
        <row r="170">
          <cell r="C170">
            <v>21337</v>
          </cell>
          <cell r="D170">
            <v>1.8095E-2</v>
          </cell>
        </row>
        <row r="171">
          <cell r="C171">
            <v>21367</v>
          </cell>
          <cell r="D171">
            <v>1.8054000000000001E-2</v>
          </cell>
        </row>
        <row r="172">
          <cell r="C172">
            <v>21398</v>
          </cell>
          <cell r="D172">
            <v>1.7971000000000001E-2</v>
          </cell>
        </row>
        <row r="173">
          <cell r="C173">
            <v>21429</v>
          </cell>
          <cell r="D173">
            <v>1.7721000000000001E-2</v>
          </cell>
        </row>
        <row r="174">
          <cell r="C174">
            <v>21459</v>
          </cell>
          <cell r="D174">
            <v>1.7860000000000001E-2</v>
          </cell>
        </row>
        <row r="175">
          <cell r="C175">
            <v>21490</v>
          </cell>
          <cell r="D175">
            <v>1.8124000000000001E-2</v>
          </cell>
        </row>
        <row r="176">
          <cell r="C176">
            <v>21520</v>
          </cell>
          <cell r="D176">
            <v>1.8262E-2</v>
          </cell>
        </row>
        <row r="177">
          <cell r="C177">
            <v>21551</v>
          </cell>
          <cell r="D177">
            <v>1.8211999999999999E-2</v>
          </cell>
        </row>
        <row r="178">
          <cell r="C178">
            <v>21582</v>
          </cell>
          <cell r="D178">
            <v>1.8199E-2</v>
          </cell>
        </row>
        <row r="179">
          <cell r="C179">
            <v>21610</v>
          </cell>
          <cell r="D179">
            <v>1.8296E-2</v>
          </cell>
        </row>
        <row r="180">
          <cell r="C180">
            <v>21641</v>
          </cell>
          <cell r="D180">
            <v>1.8296E-2</v>
          </cell>
        </row>
        <row r="181">
          <cell r="C181">
            <v>21671</v>
          </cell>
          <cell r="D181">
            <v>1.8128999999999999E-2</v>
          </cell>
        </row>
        <row r="182">
          <cell r="C182">
            <v>21702</v>
          </cell>
          <cell r="D182">
            <v>1.8171E-2</v>
          </cell>
        </row>
        <row r="183">
          <cell r="C183">
            <v>21732</v>
          </cell>
          <cell r="D183">
            <v>1.8128999999999999E-2</v>
          </cell>
        </row>
        <row r="184">
          <cell r="C184">
            <v>21763</v>
          </cell>
          <cell r="D184">
            <v>1.8199E-2</v>
          </cell>
        </row>
        <row r="185">
          <cell r="C185">
            <v>21794</v>
          </cell>
          <cell r="D185">
            <v>1.7908E-2</v>
          </cell>
        </row>
        <row r="186">
          <cell r="C186">
            <v>21824</v>
          </cell>
          <cell r="D186">
            <v>1.806E-2</v>
          </cell>
        </row>
        <row r="187">
          <cell r="C187">
            <v>21855</v>
          </cell>
          <cell r="D187">
            <v>1.8199E-2</v>
          </cell>
        </row>
        <row r="188">
          <cell r="C188">
            <v>21885</v>
          </cell>
          <cell r="D188">
            <v>1.8253999999999999E-2</v>
          </cell>
        </row>
        <row r="189">
          <cell r="C189">
            <v>21916</v>
          </cell>
          <cell r="D189">
            <v>1.8282E-2</v>
          </cell>
        </row>
        <row r="190">
          <cell r="C190">
            <v>21947</v>
          </cell>
          <cell r="D190">
            <v>1.8296E-2</v>
          </cell>
        </row>
        <row r="191">
          <cell r="C191">
            <v>21976</v>
          </cell>
          <cell r="D191">
            <v>1.8737E-2</v>
          </cell>
        </row>
        <row r="192">
          <cell r="C192">
            <v>22007</v>
          </cell>
          <cell r="D192">
            <v>1.9123000000000001E-2</v>
          </cell>
        </row>
        <row r="193">
          <cell r="C193">
            <v>22037</v>
          </cell>
          <cell r="D193">
            <v>1.9054000000000001E-2</v>
          </cell>
        </row>
        <row r="194">
          <cell r="C194">
            <v>22068</v>
          </cell>
          <cell r="D194">
            <v>1.9040999999999999E-2</v>
          </cell>
        </row>
        <row r="195">
          <cell r="C195">
            <v>22098</v>
          </cell>
          <cell r="D195">
            <v>1.9179000000000002E-2</v>
          </cell>
        </row>
        <row r="196">
          <cell r="C196">
            <v>22129</v>
          </cell>
          <cell r="D196">
            <v>1.9248000000000001E-2</v>
          </cell>
        </row>
        <row r="197">
          <cell r="C197">
            <v>22160</v>
          </cell>
          <cell r="D197">
            <v>1.9344E-2</v>
          </cell>
        </row>
        <row r="198">
          <cell r="C198">
            <v>22190</v>
          </cell>
          <cell r="D198">
            <v>1.9123000000000001E-2</v>
          </cell>
        </row>
        <row r="199">
          <cell r="C199">
            <v>22221</v>
          </cell>
          <cell r="D199">
            <v>1.9054000000000001E-2</v>
          </cell>
        </row>
        <row r="200">
          <cell r="C200">
            <v>22251</v>
          </cell>
          <cell r="D200">
            <v>1.9137000000000001E-2</v>
          </cell>
        </row>
        <row r="201">
          <cell r="C201">
            <v>22282</v>
          </cell>
          <cell r="D201">
            <v>1.9268E-2</v>
          </cell>
        </row>
        <row r="202">
          <cell r="C202">
            <v>22313</v>
          </cell>
          <cell r="D202">
            <v>1.9213000000000001E-2</v>
          </cell>
        </row>
        <row r="203">
          <cell r="C203">
            <v>22341</v>
          </cell>
          <cell r="D203">
            <v>1.9171000000000001E-2</v>
          </cell>
        </row>
        <row r="204">
          <cell r="C204">
            <v>22372</v>
          </cell>
          <cell r="D204">
            <v>1.9296000000000001E-2</v>
          </cell>
        </row>
        <row r="205">
          <cell r="C205">
            <v>22402</v>
          </cell>
          <cell r="D205">
            <v>1.9296000000000001E-2</v>
          </cell>
        </row>
        <row r="206">
          <cell r="C206">
            <v>22433</v>
          </cell>
          <cell r="D206">
            <v>1.9309E-2</v>
          </cell>
        </row>
        <row r="207">
          <cell r="C207">
            <v>22463</v>
          </cell>
          <cell r="D207">
            <v>1.9254E-2</v>
          </cell>
        </row>
        <row r="208">
          <cell r="C208">
            <v>22494</v>
          </cell>
          <cell r="D208">
            <v>1.9033000000000001E-2</v>
          </cell>
        </row>
        <row r="209">
          <cell r="C209">
            <v>22525</v>
          </cell>
          <cell r="D209">
            <v>1.8977999999999998E-2</v>
          </cell>
        </row>
        <row r="210">
          <cell r="C210">
            <v>22555</v>
          </cell>
          <cell r="D210">
            <v>1.8991999999999998E-2</v>
          </cell>
        </row>
        <row r="211">
          <cell r="C211">
            <v>22586</v>
          </cell>
          <cell r="D211">
            <v>1.9061000000000002E-2</v>
          </cell>
        </row>
        <row r="212">
          <cell r="C212">
            <v>22616</v>
          </cell>
          <cell r="D212">
            <v>1.9074000000000001E-2</v>
          </cell>
        </row>
        <row r="213">
          <cell r="C213">
            <v>22647</v>
          </cell>
          <cell r="D213">
            <v>1.9129E-2</v>
          </cell>
        </row>
        <row r="214">
          <cell r="C214">
            <v>22678</v>
          </cell>
          <cell r="D214">
            <v>1.924E-2</v>
          </cell>
        </row>
        <row r="215">
          <cell r="C215">
            <v>22706</v>
          </cell>
          <cell r="D215">
            <v>1.9434E-2</v>
          </cell>
        </row>
        <row r="216">
          <cell r="C216">
            <v>22737</v>
          </cell>
          <cell r="D216">
            <v>1.9585999999999999E-2</v>
          </cell>
        </row>
        <row r="217">
          <cell r="C217">
            <v>22767</v>
          </cell>
          <cell r="D217">
            <v>1.9559E-2</v>
          </cell>
        </row>
        <row r="218">
          <cell r="C218">
            <v>22798</v>
          </cell>
          <cell r="D218">
            <v>1.9585999999999999E-2</v>
          </cell>
        </row>
        <row r="219">
          <cell r="C219">
            <v>22828</v>
          </cell>
          <cell r="D219">
            <v>1.9698E-2</v>
          </cell>
        </row>
        <row r="220">
          <cell r="C220">
            <v>22859</v>
          </cell>
          <cell r="D220">
            <v>1.9740000000000001E-2</v>
          </cell>
        </row>
        <row r="221">
          <cell r="C221">
            <v>22890</v>
          </cell>
          <cell r="D221">
            <v>1.9835999999999999E-2</v>
          </cell>
        </row>
        <row r="222">
          <cell r="C222">
            <v>22920</v>
          </cell>
          <cell r="D222">
            <v>1.9753E-2</v>
          </cell>
        </row>
        <row r="223">
          <cell r="C223">
            <v>22951</v>
          </cell>
          <cell r="D223">
            <v>1.9753E-2</v>
          </cell>
        </row>
        <row r="224">
          <cell r="C224">
            <v>22981</v>
          </cell>
          <cell r="D224">
            <v>1.967E-2</v>
          </cell>
        </row>
        <row r="225">
          <cell r="C225">
            <v>23012</v>
          </cell>
          <cell r="D225">
            <v>1.9598999999999998E-2</v>
          </cell>
        </row>
        <row r="226">
          <cell r="C226">
            <v>23043</v>
          </cell>
          <cell r="D226">
            <v>1.9682000000000002E-2</v>
          </cell>
        </row>
        <row r="227">
          <cell r="C227">
            <v>23071</v>
          </cell>
          <cell r="D227">
            <v>1.9682000000000002E-2</v>
          </cell>
        </row>
        <row r="228">
          <cell r="C228">
            <v>23102</v>
          </cell>
          <cell r="D228">
            <v>1.9709999999999998E-2</v>
          </cell>
        </row>
        <row r="229">
          <cell r="C229">
            <v>23132</v>
          </cell>
          <cell r="D229">
            <v>1.9765999999999999E-2</v>
          </cell>
        </row>
        <row r="230">
          <cell r="C230">
            <v>23163</v>
          </cell>
          <cell r="D230">
            <v>1.9682000000000002E-2</v>
          </cell>
        </row>
        <row r="231">
          <cell r="C231">
            <v>23193</v>
          </cell>
          <cell r="D231">
            <v>1.9737999999999999E-2</v>
          </cell>
        </row>
        <row r="232">
          <cell r="C232">
            <v>23224</v>
          </cell>
          <cell r="D232">
            <v>1.9668000000000001E-2</v>
          </cell>
        </row>
        <row r="233">
          <cell r="C233">
            <v>23255</v>
          </cell>
          <cell r="D233">
            <v>1.9654999999999999E-2</v>
          </cell>
        </row>
        <row r="234">
          <cell r="C234">
            <v>23285</v>
          </cell>
          <cell r="D234">
            <v>1.9585999999999999E-2</v>
          </cell>
        </row>
        <row r="235">
          <cell r="C235">
            <v>23316</v>
          </cell>
          <cell r="D235">
            <v>1.9571999999999999E-2</v>
          </cell>
        </row>
        <row r="236">
          <cell r="C236">
            <v>23346</v>
          </cell>
          <cell r="D236">
            <v>1.9709999999999998E-2</v>
          </cell>
        </row>
        <row r="237">
          <cell r="C237">
            <v>23377</v>
          </cell>
          <cell r="D237">
            <v>1.9945000000000001E-2</v>
          </cell>
        </row>
        <row r="238">
          <cell r="C238">
            <v>23408</v>
          </cell>
          <cell r="D238">
            <v>2.0319E-2</v>
          </cell>
        </row>
        <row r="239">
          <cell r="C239">
            <v>23437</v>
          </cell>
          <cell r="D239">
            <v>2.0277E-2</v>
          </cell>
        </row>
        <row r="240">
          <cell r="C240">
            <v>23468</v>
          </cell>
          <cell r="D240">
            <v>2.0388E-2</v>
          </cell>
        </row>
        <row r="241">
          <cell r="C241">
            <v>23498</v>
          </cell>
          <cell r="D241">
            <v>2.0444E-2</v>
          </cell>
        </row>
        <row r="242">
          <cell r="C242">
            <v>23529</v>
          </cell>
          <cell r="D242">
            <v>2.0456999999999999E-2</v>
          </cell>
        </row>
        <row r="243">
          <cell r="C243">
            <v>23559</v>
          </cell>
          <cell r="D243">
            <v>2.0650000000000002E-2</v>
          </cell>
        </row>
        <row r="244">
          <cell r="C244">
            <v>23590</v>
          </cell>
          <cell r="D244">
            <v>2.0844999999999999E-2</v>
          </cell>
        </row>
        <row r="245">
          <cell r="C245">
            <v>23621</v>
          </cell>
          <cell r="D245">
            <v>2.0553999999999999E-2</v>
          </cell>
        </row>
        <row r="246">
          <cell r="C246">
            <v>23651</v>
          </cell>
          <cell r="D246">
            <v>2.0525999999999999E-2</v>
          </cell>
        </row>
        <row r="247">
          <cell r="C247">
            <v>23682</v>
          </cell>
          <cell r="D247">
            <v>2.0733999999999999E-2</v>
          </cell>
        </row>
        <row r="248">
          <cell r="C248">
            <v>23712</v>
          </cell>
          <cell r="D248">
            <v>2.0774999999999998E-2</v>
          </cell>
        </row>
        <row r="249">
          <cell r="C249">
            <v>23743</v>
          </cell>
          <cell r="D249">
            <v>2.0743000000000001E-2</v>
          </cell>
        </row>
        <row r="250">
          <cell r="C250">
            <v>23774</v>
          </cell>
          <cell r="D250">
            <v>2.0826999999999998E-2</v>
          </cell>
        </row>
        <row r="251">
          <cell r="C251">
            <v>23802</v>
          </cell>
          <cell r="D251">
            <v>2.0896000000000001E-2</v>
          </cell>
        </row>
        <row r="252">
          <cell r="C252">
            <v>23833</v>
          </cell>
          <cell r="D252">
            <v>2.102E-2</v>
          </cell>
        </row>
        <row r="253">
          <cell r="C253">
            <v>23863</v>
          </cell>
          <cell r="D253">
            <v>2.1034000000000001E-2</v>
          </cell>
        </row>
        <row r="254">
          <cell r="C254">
            <v>23894</v>
          </cell>
          <cell r="D254">
            <v>2.1062000000000001E-2</v>
          </cell>
        </row>
        <row r="255">
          <cell r="C255">
            <v>23924</v>
          </cell>
          <cell r="D255">
            <v>2.0965000000000001E-2</v>
          </cell>
        </row>
        <row r="256">
          <cell r="C256">
            <v>23955</v>
          </cell>
          <cell r="D256">
            <v>2.0909000000000001E-2</v>
          </cell>
        </row>
        <row r="257">
          <cell r="C257">
            <v>23986</v>
          </cell>
          <cell r="D257">
            <v>2.0993000000000001E-2</v>
          </cell>
        </row>
        <row r="258">
          <cell r="C258">
            <v>24016</v>
          </cell>
          <cell r="D258">
            <v>2.0978E-2</v>
          </cell>
        </row>
        <row r="259">
          <cell r="C259">
            <v>24047</v>
          </cell>
          <cell r="D259">
            <v>2.0909000000000001E-2</v>
          </cell>
        </row>
        <row r="260">
          <cell r="C260">
            <v>24077</v>
          </cell>
          <cell r="D260">
            <v>2.0909000000000001E-2</v>
          </cell>
        </row>
        <row r="261">
          <cell r="C261">
            <v>24108</v>
          </cell>
          <cell r="D261">
            <v>2.0948999999999999E-2</v>
          </cell>
        </row>
        <row r="262">
          <cell r="C262">
            <v>24139</v>
          </cell>
          <cell r="D262">
            <v>2.0934999999999999E-2</v>
          </cell>
        </row>
        <row r="263">
          <cell r="C263">
            <v>24167</v>
          </cell>
          <cell r="D263">
            <v>2.0811E-2</v>
          </cell>
        </row>
        <row r="264">
          <cell r="C264">
            <v>24198</v>
          </cell>
          <cell r="D264">
            <v>2.0934999999999999E-2</v>
          </cell>
        </row>
        <row r="265">
          <cell r="C265">
            <v>24228</v>
          </cell>
          <cell r="D265">
            <v>2.0990000000000002E-2</v>
          </cell>
        </row>
        <row r="266">
          <cell r="C266">
            <v>24259</v>
          </cell>
          <cell r="D266">
            <v>2.1073999999999999E-2</v>
          </cell>
        </row>
        <row r="267">
          <cell r="C267">
            <v>24289</v>
          </cell>
          <cell r="D267">
            <v>2.1212000000000002E-2</v>
          </cell>
        </row>
        <row r="268">
          <cell r="C268">
            <v>24320</v>
          </cell>
          <cell r="D268">
            <v>2.1336000000000001E-2</v>
          </cell>
        </row>
        <row r="269">
          <cell r="C269">
            <v>24351</v>
          </cell>
          <cell r="D269">
            <v>2.1336000000000001E-2</v>
          </cell>
        </row>
        <row r="270">
          <cell r="C270">
            <v>24381</v>
          </cell>
          <cell r="D270">
            <v>2.1406000000000001E-2</v>
          </cell>
        </row>
        <row r="271">
          <cell r="C271">
            <v>24412</v>
          </cell>
          <cell r="D271">
            <v>2.1434000000000002E-2</v>
          </cell>
        </row>
        <row r="272">
          <cell r="C272">
            <v>24442</v>
          </cell>
          <cell r="D272">
            <v>2.1447999999999998E-2</v>
          </cell>
        </row>
        <row r="273">
          <cell r="C273">
            <v>24473</v>
          </cell>
          <cell r="D273">
            <v>2.1602E-2</v>
          </cell>
        </row>
        <row r="274">
          <cell r="C274">
            <v>24504</v>
          </cell>
          <cell r="D274">
            <v>2.1739999999999999E-2</v>
          </cell>
        </row>
        <row r="275">
          <cell r="C275">
            <v>24532</v>
          </cell>
          <cell r="D275">
            <v>2.1781999999999999E-2</v>
          </cell>
        </row>
        <row r="276">
          <cell r="C276">
            <v>24563</v>
          </cell>
          <cell r="D276">
            <v>2.1783E-2</v>
          </cell>
        </row>
        <row r="277">
          <cell r="C277">
            <v>24593</v>
          </cell>
          <cell r="D277">
            <v>2.1644E-2</v>
          </cell>
        </row>
        <row r="278">
          <cell r="C278">
            <v>24624</v>
          </cell>
          <cell r="D278">
            <v>2.1533E-2</v>
          </cell>
        </row>
        <row r="279">
          <cell r="C279">
            <v>24654</v>
          </cell>
          <cell r="D279">
            <v>2.1684999999999999E-2</v>
          </cell>
        </row>
        <row r="280">
          <cell r="C280">
            <v>24685</v>
          </cell>
          <cell r="D280">
            <v>2.1767999999999999E-2</v>
          </cell>
        </row>
        <row r="281">
          <cell r="C281">
            <v>24716</v>
          </cell>
          <cell r="D281">
            <v>2.1850999999999999E-2</v>
          </cell>
        </row>
        <row r="282">
          <cell r="C282">
            <v>24746</v>
          </cell>
          <cell r="D282">
            <v>2.1919999999999999E-2</v>
          </cell>
        </row>
        <row r="283">
          <cell r="C283">
            <v>24777</v>
          </cell>
          <cell r="D283">
            <v>2.1878000000000002E-2</v>
          </cell>
        </row>
        <row r="284">
          <cell r="C284">
            <v>24807</v>
          </cell>
          <cell r="D284">
            <v>2.1755E-2</v>
          </cell>
        </row>
        <row r="285">
          <cell r="C285">
            <v>24838</v>
          </cell>
          <cell r="D285">
            <v>2.1895000000000001E-2</v>
          </cell>
        </row>
        <row r="286">
          <cell r="C286">
            <v>24869</v>
          </cell>
          <cell r="D286">
            <v>2.1895000000000001E-2</v>
          </cell>
        </row>
        <row r="287">
          <cell r="C287">
            <v>24898</v>
          </cell>
          <cell r="D287">
            <v>2.2075999999999998E-2</v>
          </cell>
        </row>
        <row r="288">
          <cell r="C288">
            <v>24929</v>
          </cell>
          <cell r="D288">
            <v>2.2242000000000001E-2</v>
          </cell>
        </row>
        <row r="289">
          <cell r="C289">
            <v>24959</v>
          </cell>
          <cell r="D289">
            <v>2.2408000000000001E-2</v>
          </cell>
        </row>
        <row r="290">
          <cell r="C290">
            <v>24990</v>
          </cell>
          <cell r="D290">
            <v>2.2228000000000001E-2</v>
          </cell>
        </row>
        <row r="291">
          <cell r="C291">
            <v>25020</v>
          </cell>
          <cell r="D291">
            <v>2.2172000000000001E-2</v>
          </cell>
        </row>
        <row r="292">
          <cell r="C292">
            <v>25051</v>
          </cell>
          <cell r="D292">
            <v>2.2283000000000001E-2</v>
          </cell>
        </row>
        <row r="293">
          <cell r="C293">
            <v>25082</v>
          </cell>
          <cell r="D293">
            <v>2.2353000000000001E-2</v>
          </cell>
        </row>
        <row r="294">
          <cell r="C294">
            <v>25112</v>
          </cell>
          <cell r="D294">
            <v>2.2283000000000001E-2</v>
          </cell>
        </row>
        <row r="295">
          <cell r="C295">
            <v>25143</v>
          </cell>
          <cell r="D295">
            <v>2.2325000000000001E-2</v>
          </cell>
        </row>
        <row r="296">
          <cell r="C296">
            <v>25173</v>
          </cell>
          <cell r="D296">
            <v>2.2283000000000001E-2</v>
          </cell>
        </row>
        <row r="297">
          <cell r="C297">
            <v>25204</v>
          </cell>
          <cell r="D297">
            <v>2.2381000000000002E-2</v>
          </cell>
        </row>
        <row r="298">
          <cell r="C298">
            <v>25235</v>
          </cell>
          <cell r="D298">
            <v>2.2461999999999999E-2</v>
          </cell>
        </row>
        <row r="299">
          <cell r="C299">
            <v>25263</v>
          </cell>
          <cell r="D299">
            <v>2.2484000000000001E-2</v>
          </cell>
        </row>
        <row r="300">
          <cell r="C300">
            <v>25294</v>
          </cell>
          <cell r="D300">
            <v>2.2544999999999999E-2</v>
          </cell>
        </row>
        <row r="301">
          <cell r="C301">
            <v>25324</v>
          </cell>
          <cell r="D301">
            <v>2.2544999999999999E-2</v>
          </cell>
        </row>
        <row r="302">
          <cell r="C302">
            <v>25355</v>
          </cell>
          <cell r="D302">
            <v>2.2624999999999999E-2</v>
          </cell>
        </row>
        <row r="303">
          <cell r="C303">
            <v>25385</v>
          </cell>
          <cell r="D303">
            <v>2.2710999999999999E-2</v>
          </cell>
        </row>
        <row r="304">
          <cell r="C304">
            <v>25416</v>
          </cell>
          <cell r="D304">
            <v>2.2735999999999999E-2</v>
          </cell>
        </row>
        <row r="305">
          <cell r="C305">
            <v>25447</v>
          </cell>
          <cell r="D305">
            <v>2.2949000000000001E-2</v>
          </cell>
        </row>
        <row r="306">
          <cell r="C306">
            <v>25477</v>
          </cell>
          <cell r="D306">
            <v>2.3189999999999999E-2</v>
          </cell>
        </row>
        <row r="307">
          <cell r="C307">
            <v>25508</v>
          </cell>
          <cell r="D307">
            <v>2.3192999999999998E-2</v>
          </cell>
        </row>
        <row r="308">
          <cell r="C308">
            <v>25538</v>
          </cell>
          <cell r="D308">
            <v>2.3368E-2</v>
          </cell>
        </row>
        <row r="309">
          <cell r="C309">
            <v>25569</v>
          </cell>
          <cell r="D309">
            <v>2.3545E-2</v>
          </cell>
        </row>
        <row r="310">
          <cell r="C310">
            <v>25600</v>
          </cell>
          <cell r="D310">
            <v>2.3542E-2</v>
          </cell>
        </row>
        <row r="311">
          <cell r="C311">
            <v>25628</v>
          </cell>
          <cell r="D311">
            <v>2.3612000000000001E-2</v>
          </cell>
        </row>
        <row r="312">
          <cell r="C312">
            <v>25659</v>
          </cell>
          <cell r="D312">
            <v>2.3642E-2</v>
          </cell>
        </row>
        <row r="313">
          <cell r="C313">
            <v>25689</v>
          </cell>
          <cell r="D313">
            <v>2.3692000000000001E-2</v>
          </cell>
        </row>
        <row r="314">
          <cell r="C314">
            <v>25720</v>
          </cell>
          <cell r="D314">
            <v>2.3836E-2</v>
          </cell>
        </row>
        <row r="315">
          <cell r="C315">
            <v>25750</v>
          </cell>
          <cell r="D315">
            <v>2.3952000000000001E-2</v>
          </cell>
        </row>
        <row r="316">
          <cell r="C316">
            <v>25781</v>
          </cell>
          <cell r="D316">
            <v>2.4063000000000001E-2</v>
          </cell>
        </row>
        <row r="317">
          <cell r="C317">
            <v>25812</v>
          </cell>
          <cell r="D317">
            <v>2.4121E-2</v>
          </cell>
        </row>
        <row r="318">
          <cell r="C318">
            <v>25842</v>
          </cell>
          <cell r="D318">
            <v>2.4129999999999999E-2</v>
          </cell>
        </row>
        <row r="319">
          <cell r="C319">
            <v>25873</v>
          </cell>
          <cell r="D319">
            <v>2.426E-2</v>
          </cell>
        </row>
        <row r="320">
          <cell r="C320">
            <v>25903</v>
          </cell>
          <cell r="D320">
            <v>2.4465000000000001E-2</v>
          </cell>
        </row>
        <row r="321">
          <cell r="C321">
            <v>25934</v>
          </cell>
          <cell r="D321">
            <v>2.4705999999999999E-2</v>
          </cell>
        </row>
        <row r="322">
          <cell r="C322">
            <v>25965</v>
          </cell>
          <cell r="D322">
            <v>2.4808E-2</v>
          </cell>
        </row>
        <row r="323">
          <cell r="C323">
            <v>25993</v>
          </cell>
          <cell r="D323">
            <v>2.4902000000000001E-2</v>
          </cell>
        </row>
        <row r="324">
          <cell r="C324">
            <v>26024</v>
          </cell>
          <cell r="D324">
            <v>2.503E-2</v>
          </cell>
        </row>
        <row r="325">
          <cell r="C325">
            <v>26054</v>
          </cell>
          <cell r="D325">
            <v>2.5083000000000001E-2</v>
          </cell>
        </row>
        <row r="326">
          <cell r="C326">
            <v>26085</v>
          </cell>
          <cell r="D326">
            <v>2.5196E-2</v>
          </cell>
        </row>
        <row r="327">
          <cell r="C327">
            <v>26115</v>
          </cell>
          <cell r="D327">
            <v>2.5177000000000001E-2</v>
          </cell>
        </row>
        <row r="328">
          <cell r="C328">
            <v>26146</v>
          </cell>
          <cell r="D328">
            <v>2.5406999999999999E-2</v>
          </cell>
        </row>
        <row r="329">
          <cell r="C329">
            <v>26177</v>
          </cell>
          <cell r="D329">
            <v>2.5489999999999999E-2</v>
          </cell>
        </row>
        <row r="330">
          <cell r="C330">
            <v>26207</v>
          </cell>
          <cell r="D330">
            <v>2.5514999999999999E-2</v>
          </cell>
        </row>
        <row r="331">
          <cell r="C331">
            <v>26238</v>
          </cell>
          <cell r="D331">
            <v>2.5555999999999999E-2</v>
          </cell>
        </row>
        <row r="332">
          <cell r="C332">
            <v>26268</v>
          </cell>
          <cell r="D332">
            <v>2.5677999999999999E-2</v>
          </cell>
        </row>
        <row r="333">
          <cell r="C333">
            <v>26299</v>
          </cell>
          <cell r="D333">
            <v>2.5791999999999999E-2</v>
          </cell>
        </row>
        <row r="334">
          <cell r="C334">
            <v>26330</v>
          </cell>
          <cell r="D334">
            <v>2.5871999999999999E-2</v>
          </cell>
        </row>
        <row r="335">
          <cell r="C335">
            <v>26359</v>
          </cell>
          <cell r="D335">
            <v>2.6013000000000001E-2</v>
          </cell>
        </row>
        <row r="336">
          <cell r="C336">
            <v>26390</v>
          </cell>
          <cell r="D336">
            <v>2.6176999999999999E-2</v>
          </cell>
        </row>
        <row r="337">
          <cell r="C337">
            <v>26420</v>
          </cell>
          <cell r="D337">
            <v>2.6228999999999999E-2</v>
          </cell>
        </row>
        <row r="338">
          <cell r="C338">
            <v>26451</v>
          </cell>
          <cell r="D338">
            <v>2.6422999999999999E-2</v>
          </cell>
        </row>
        <row r="339">
          <cell r="C339">
            <v>26481</v>
          </cell>
          <cell r="D339">
            <v>2.6523000000000001E-2</v>
          </cell>
        </row>
        <row r="340">
          <cell r="C340">
            <v>26512</v>
          </cell>
          <cell r="D340">
            <v>2.6698E-2</v>
          </cell>
        </row>
        <row r="341">
          <cell r="C341">
            <v>26543</v>
          </cell>
          <cell r="D341">
            <v>2.682E-2</v>
          </cell>
        </row>
        <row r="342">
          <cell r="C342">
            <v>26573</v>
          </cell>
          <cell r="D342">
            <v>2.6838999999999998E-2</v>
          </cell>
        </row>
        <row r="343">
          <cell r="C343">
            <v>26604</v>
          </cell>
          <cell r="D343">
            <v>2.7012999999999999E-2</v>
          </cell>
        </row>
        <row r="344">
          <cell r="C344">
            <v>26634</v>
          </cell>
          <cell r="D344">
            <v>2.7105000000000001E-2</v>
          </cell>
        </row>
        <row r="345">
          <cell r="C345">
            <v>26665</v>
          </cell>
          <cell r="D345">
            <v>2.7498000000000002E-2</v>
          </cell>
        </row>
        <row r="346">
          <cell r="C346">
            <v>26696</v>
          </cell>
          <cell r="D346">
            <v>2.7725E-2</v>
          </cell>
        </row>
        <row r="347">
          <cell r="C347">
            <v>26724</v>
          </cell>
          <cell r="D347">
            <v>2.7969000000000001E-2</v>
          </cell>
        </row>
        <row r="348">
          <cell r="C348">
            <v>26755</v>
          </cell>
          <cell r="D348">
            <v>2.8412E-2</v>
          </cell>
        </row>
        <row r="349">
          <cell r="C349">
            <v>26785</v>
          </cell>
          <cell r="D349">
            <v>2.8714E-2</v>
          </cell>
        </row>
        <row r="350">
          <cell r="C350">
            <v>26816</v>
          </cell>
          <cell r="D350">
            <v>2.895E-2</v>
          </cell>
        </row>
        <row r="351">
          <cell r="C351">
            <v>26846</v>
          </cell>
          <cell r="D351">
            <v>2.9692E-2</v>
          </cell>
        </row>
        <row r="352">
          <cell r="C352">
            <v>26877</v>
          </cell>
          <cell r="D352">
            <v>3.0169000000000001E-2</v>
          </cell>
        </row>
        <row r="353">
          <cell r="C353">
            <v>26908</v>
          </cell>
          <cell r="D353">
            <v>3.0886E-2</v>
          </cell>
        </row>
        <row r="354">
          <cell r="C354">
            <v>26938</v>
          </cell>
          <cell r="D354">
            <v>3.1282999999999998E-2</v>
          </cell>
        </row>
        <row r="355">
          <cell r="C355">
            <v>26969</v>
          </cell>
          <cell r="D355">
            <v>3.1668000000000002E-2</v>
          </cell>
        </row>
        <row r="356">
          <cell r="C356">
            <v>26999</v>
          </cell>
          <cell r="D356">
            <v>3.2897999999999997E-2</v>
          </cell>
        </row>
        <row r="357">
          <cell r="C357">
            <v>27030</v>
          </cell>
          <cell r="D357">
            <v>3.4075000000000001E-2</v>
          </cell>
        </row>
        <row r="358">
          <cell r="C358">
            <v>27061</v>
          </cell>
          <cell r="D358">
            <v>3.4845000000000001E-2</v>
          </cell>
        </row>
        <row r="359">
          <cell r="C359">
            <v>27089</v>
          </cell>
          <cell r="D359">
            <v>3.5113999999999999E-2</v>
          </cell>
        </row>
        <row r="360">
          <cell r="C360">
            <v>27120</v>
          </cell>
          <cell r="D360">
            <v>3.5589999999999997E-2</v>
          </cell>
        </row>
        <row r="361">
          <cell r="C361">
            <v>27150</v>
          </cell>
          <cell r="D361">
            <v>3.5869999999999999E-2</v>
          </cell>
        </row>
        <row r="362">
          <cell r="C362">
            <v>27181</v>
          </cell>
          <cell r="D362">
            <v>3.6225E-2</v>
          </cell>
        </row>
        <row r="363">
          <cell r="C363">
            <v>27211</v>
          </cell>
          <cell r="D363">
            <v>3.6748000000000003E-2</v>
          </cell>
        </row>
        <row r="364">
          <cell r="C364">
            <v>27242</v>
          </cell>
          <cell r="D364">
            <v>3.7136000000000002E-2</v>
          </cell>
        </row>
        <row r="365">
          <cell r="C365">
            <v>27273</v>
          </cell>
          <cell r="D365">
            <v>3.7557E-2</v>
          </cell>
        </row>
        <row r="366">
          <cell r="C366">
            <v>27303</v>
          </cell>
          <cell r="D366">
            <v>3.8302999999999997E-2</v>
          </cell>
        </row>
        <row r="367">
          <cell r="C367">
            <v>27334</v>
          </cell>
          <cell r="D367">
            <v>3.9365999999999998E-2</v>
          </cell>
        </row>
        <row r="368">
          <cell r="C368">
            <v>27364</v>
          </cell>
          <cell r="D368">
            <v>3.9674000000000001E-2</v>
          </cell>
        </row>
        <row r="369">
          <cell r="C369">
            <v>27395</v>
          </cell>
          <cell r="D369">
            <v>4.0181000000000001E-2</v>
          </cell>
        </row>
        <row r="370">
          <cell r="C370">
            <v>27426</v>
          </cell>
          <cell r="D370">
            <v>4.0402E-2</v>
          </cell>
        </row>
        <row r="371">
          <cell r="C371">
            <v>27454</v>
          </cell>
          <cell r="D371">
            <v>4.0656999999999999E-2</v>
          </cell>
        </row>
        <row r="372">
          <cell r="C372">
            <v>27485</v>
          </cell>
          <cell r="D372">
            <v>4.1001000000000003E-2</v>
          </cell>
        </row>
        <row r="373">
          <cell r="C373">
            <v>27515</v>
          </cell>
          <cell r="D373">
            <v>4.1549000000000003E-2</v>
          </cell>
        </row>
        <row r="374">
          <cell r="C374">
            <v>27546</v>
          </cell>
          <cell r="D374">
            <v>4.2256000000000002E-2</v>
          </cell>
        </row>
        <row r="375">
          <cell r="C375">
            <v>27576</v>
          </cell>
          <cell r="D375">
            <v>4.2594E-2</v>
          </cell>
        </row>
        <row r="376">
          <cell r="C376">
            <v>27607</v>
          </cell>
          <cell r="D376">
            <v>4.2962E-2</v>
          </cell>
        </row>
        <row r="377">
          <cell r="C377">
            <v>27638</v>
          </cell>
          <cell r="D377">
            <v>4.3275000000000001E-2</v>
          </cell>
        </row>
        <row r="378">
          <cell r="C378">
            <v>27668</v>
          </cell>
          <cell r="D378">
            <v>4.3497000000000001E-2</v>
          </cell>
        </row>
        <row r="379">
          <cell r="C379">
            <v>27699</v>
          </cell>
          <cell r="D379">
            <v>4.3802000000000001E-2</v>
          </cell>
        </row>
        <row r="380">
          <cell r="C380">
            <v>27729</v>
          </cell>
          <cell r="D380">
            <v>4.4158999999999997E-2</v>
          </cell>
        </row>
        <row r="381">
          <cell r="C381">
            <v>27760</v>
          </cell>
          <cell r="D381">
            <v>4.5012000000000003E-2</v>
          </cell>
        </row>
        <row r="382">
          <cell r="C382">
            <v>27791</v>
          </cell>
          <cell r="D382">
            <v>4.5853999999999999E-2</v>
          </cell>
        </row>
        <row r="383">
          <cell r="C383">
            <v>27820</v>
          </cell>
          <cell r="D383">
            <v>4.6302999999999997E-2</v>
          </cell>
        </row>
        <row r="384">
          <cell r="C384">
            <v>27851</v>
          </cell>
          <cell r="D384">
            <v>4.6627000000000002E-2</v>
          </cell>
        </row>
        <row r="385">
          <cell r="C385">
            <v>27881</v>
          </cell>
          <cell r="D385">
            <v>4.6954000000000003E-2</v>
          </cell>
        </row>
        <row r="386">
          <cell r="C386">
            <v>27912</v>
          </cell>
          <cell r="D386">
            <v>4.7142999999999997E-2</v>
          </cell>
        </row>
        <row r="387">
          <cell r="C387">
            <v>27942</v>
          </cell>
          <cell r="D387">
            <v>4.7542000000000001E-2</v>
          </cell>
        </row>
        <row r="388">
          <cell r="C388">
            <v>27973</v>
          </cell>
          <cell r="D388">
            <v>4.7995999999999997E-2</v>
          </cell>
        </row>
        <row r="389">
          <cell r="C389">
            <v>28004</v>
          </cell>
          <cell r="D389">
            <v>4.9632999999999997E-2</v>
          </cell>
        </row>
        <row r="390">
          <cell r="C390">
            <v>28034</v>
          </cell>
          <cell r="D390">
            <v>5.2428000000000002E-2</v>
          </cell>
        </row>
        <row r="391">
          <cell r="C391">
            <v>28065</v>
          </cell>
          <cell r="D391">
            <v>5.4796999999999998E-2</v>
          </cell>
        </row>
        <row r="392">
          <cell r="C392">
            <v>28095</v>
          </cell>
          <cell r="D392">
            <v>5.6170999999999999E-2</v>
          </cell>
        </row>
        <row r="393">
          <cell r="C393">
            <v>28126</v>
          </cell>
          <cell r="D393">
            <v>5.7960999999999999E-2</v>
          </cell>
        </row>
        <row r="394">
          <cell r="C394">
            <v>28157</v>
          </cell>
          <cell r="D394">
            <v>5.9241000000000002E-2</v>
          </cell>
        </row>
        <row r="395">
          <cell r="C395">
            <v>28185</v>
          </cell>
          <cell r="D395">
            <v>6.0274000000000001E-2</v>
          </cell>
        </row>
        <row r="396">
          <cell r="C396">
            <v>28216</v>
          </cell>
          <cell r="D396">
            <v>6.1185000000000003E-2</v>
          </cell>
        </row>
        <row r="397">
          <cell r="C397">
            <v>28246</v>
          </cell>
          <cell r="D397">
            <v>6.1723E-2</v>
          </cell>
        </row>
        <row r="398">
          <cell r="C398">
            <v>28277</v>
          </cell>
          <cell r="D398">
            <v>6.2479E-2</v>
          </cell>
        </row>
        <row r="399">
          <cell r="C399">
            <v>28307</v>
          </cell>
          <cell r="D399">
            <v>6.3186000000000006E-2</v>
          </cell>
        </row>
        <row r="400">
          <cell r="C400">
            <v>28338</v>
          </cell>
          <cell r="D400">
            <v>6.4481999999999998E-2</v>
          </cell>
        </row>
        <row r="401">
          <cell r="C401">
            <v>28369</v>
          </cell>
          <cell r="D401">
            <v>6.5626000000000004E-2</v>
          </cell>
        </row>
        <row r="402">
          <cell r="C402">
            <v>28399</v>
          </cell>
          <cell r="D402">
            <v>6.6128000000000006E-2</v>
          </cell>
        </row>
        <row r="403">
          <cell r="C403">
            <v>28430</v>
          </cell>
          <cell r="D403">
            <v>6.6850999999999994E-2</v>
          </cell>
        </row>
        <row r="404">
          <cell r="C404">
            <v>28460</v>
          </cell>
          <cell r="D404">
            <v>6.7776000000000003E-2</v>
          </cell>
        </row>
        <row r="405">
          <cell r="C405">
            <v>28491</v>
          </cell>
          <cell r="D405">
            <v>6.9282999999999997E-2</v>
          </cell>
        </row>
        <row r="406">
          <cell r="C406">
            <v>28522</v>
          </cell>
          <cell r="D406">
            <v>7.0277999999999993E-2</v>
          </cell>
        </row>
        <row r="407">
          <cell r="C407">
            <v>28550</v>
          </cell>
          <cell r="D407">
            <v>7.1009000000000003E-2</v>
          </cell>
        </row>
        <row r="408">
          <cell r="C408">
            <v>28581</v>
          </cell>
          <cell r="D408">
            <v>7.1799000000000002E-2</v>
          </cell>
        </row>
        <row r="409">
          <cell r="C409">
            <v>28611</v>
          </cell>
          <cell r="D409">
            <v>7.2501999999999997E-2</v>
          </cell>
        </row>
        <row r="410">
          <cell r="C410">
            <v>28642</v>
          </cell>
          <cell r="D410">
            <v>7.3499999999999996E-2</v>
          </cell>
        </row>
        <row r="411">
          <cell r="C411">
            <v>28672</v>
          </cell>
          <cell r="D411">
            <v>7.4746000000000007E-2</v>
          </cell>
        </row>
        <row r="412">
          <cell r="C412">
            <v>28703</v>
          </cell>
          <cell r="D412">
            <v>7.5491000000000003E-2</v>
          </cell>
        </row>
        <row r="413">
          <cell r="C413">
            <v>28734</v>
          </cell>
          <cell r="D413">
            <v>7.6353000000000004E-2</v>
          </cell>
        </row>
        <row r="414">
          <cell r="C414">
            <v>28764</v>
          </cell>
          <cell r="D414">
            <v>7.7277999999999999E-2</v>
          </cell>
        </row>
        <row r="415">
          <cell r="C415">
            <v>28795</v>
          </cell>
          <cell r="D415">
            <v>7.8073000000000004E-2</v>
          </cell>
        </row>
        <row r="416">
          <cell r="C416">
            <v>28825</v>
          </cell>
          <cell r="D416">
            <v>7.8736E-2</v>
          </cell>
        </row>
        <row r="417">
          <cell r="C417">
            <v>28856</v>
          </cell>
          <cell r="D417">
            <v>8.1531000000000006E-2</v>
          </cell>
        </row>
        <row r="418">
          <cell r="C418">
            <v>28887</v>
          </cell>
          <cell r="D418">
            <v>8.2702999999999999E-2</v>
          </cell>
        </row>
        <row r="419">
          <cell r="C419">
            <v>28915</v>
          </cell>
          <cell r="D419">
            <v>8.3824999999999997E-2</v>
          </cell>
        </row>
        <row r="420">
          <cell r="C420">
            <v>28946</v>
          </cell>
          <cell r="D420">
            <v>8.4574999999999997E-2</v>
          </cell>
        </row>
        <row r="421">
          <cell r="C421">
            <v>28976</v>
          </cell>
          <cell r="D421">
            <v>8.5683999999999996E-2</v>
          </cell>
        </row>
        <row r="422">
          <cell r="C422">
            <v>29007</v>
          </cell>
          <cell r="D422">
            <v>8.6634000000000003E-2</v>
          </cell>
        </row>
        <row r="423">
          <cell r="C423">
            <v>29037</v>
          </cell>
          <cell r="D423">
            <v>8.7683999999999998E-2</v>
          </cell>
        </row>
        <row r="424">
          <cell r="C424">
            <v>29068</v>
          </cell>
          <cell r="D424">
            <v>8.9011000000000007E-2</v>
          </cell>
        </row>
        <row r="425">
          <cell r="C425">
            <v>29099</v>
          </cell>
          <cell r="D425">
            <v>9.0102000000000002E-2</v>
          </cell>
        </row>
        <row r="426">
          <cell r="C426">
            <v>29129</v>
          </cell>
          <cell r="D426">
            <v>9.1675999999999994E-2</v>
          </cell>
        </row>
        <row r="427">
          <cell r="C427">
            <v>29160</v>
          </cell>
          <cell r="D427">
            <v>9.2855999999999994E-2</v>
          </cell>
        </row>
        <row r="428">
          <cell r="C428">
            <v>29190</v>
          </cell>
          <cell r="D428">
            <v>9.4499E-2</v>
          </cell>
        </row>
        <row r="429">
          <cell r="C429">
            <v>29221</v>
          </cell>
          <cell r="D429">
            <v>9.9106E-2</v>
          </cell>
        </row>
        <row r="430">
          <cell r="C430">
            <v>29252</v>
          </cell>
          <cell r="D430">
            <v>0.1014</v>
          </cell>
        </row>
        <row r="431">
          <cell r="C431">
            <v>29281</v>
          </cell>
          <cell r="D431">
            <v>0.10348</v>
          </cell>
        </row>
        <row r="432">
          <cell r="C432">
            <v>29312</v>
          </cell>
          <cell r="D432">
            <v>0.10528999999999999</v>
          </cell>
        </row>
        <row r="433">
          <cell r="C433">
            <v>29342</v>
          </cell>
          <cell r="D433">
            <v>0.10700999999999999</v>
          </cell>
        </row>
        <row r="434">
          <cell r="C434">
            <v>29373</v>
          </cell>
          <cell r="D434">
            <v>0.10913</v>
          </cell>
        </row>
        <row r="435">
          <cell r="C435">
            <v>29403</v>
          </cell>
          <cell r="D435">
            <v>0.11218</v>
          </cell>
        </row>
        <row r="436">
          <cell r="C436">
            <v>29434</v>
          </cell>
          <cell r="D436">
            <v>0.1145</v>
          </cell>
        </row>
        <row r="437">
          <cell r="C437">
            <v>29465</v>
          </cell>
          <cell r="D437">
            <v>0.11577</v>
          </cell>
        </row>
        <row r="438">
          <cell r="C438">
            <v>29495</v>
          </cell>
          <cell r="D438">
            <v>0.11753</v>
          </cell>
        </row>
        <row r="439">
          <cell r="C439">
            <v>29526</v>
          </cell>
          <cell r="D439">
            <v>0.11957</v>
          </cell>
        </row>
        <row r="440">
          <cell r="C440">
            <v>29556</v>
          </cell>
          <cell r="D440">
            <v>0.1227</v>
          </cell>
        </row>
        <row r="441">
          <cell r="C441">
            <v>29587</v>
          </cell>
          <cell r="D441">
            <v>0.12665999999999999</v>
          </cell>
        </row>
        <row r="442">
          <cell r="C442">
            <v>29618</v>
          </cell>
          <cell r="D442">
            <v>0.12977</v>
          </cell>
        </row>
        <row r="443">
          <cell r="C443">
            <v>29646</v>
          </cell>
          <cell r="D443">
            <v>0.13253999999999999</v>
          </cell>
        </row>
        <row r="444">
          <cell r="C444">
            <v>29677</v>
          </cell>
          <cell r="D444">
            <v>0.13553000000000001</v>
          </cell>
        </row>
        <row r="445">
          <cell r="C445">
            <v>29707</v>
          </cell>
          <cell r="D445">
            <v>0.13758000000000001</v>
          </cell>
        </row>
        <row r="446">
          <cell r="C446">
            <v>29738</v>
          </cell>
          <cell r="D446">
            <v>0.13951</v>
          </cell>
        </row>
        <row r="447">
          <cell r="C447">
            <v>29768</v>
          </cell>
          <cell r="D447">
            <v>0.14196</v>
          </cell>
        </row>
        <row r="448">
          <cell r="C448">
            <v>29799</v>
          </cell>
          <cell r="D448">
            <v>0.14488999999999999</v>
          </cell>
        </row>
        <row r="449">
          <cell r="C449">
            <v>29830</v>
          </cell>
          <cell r="D449">
            <v>0.14757999999999999</v>
          </cell>
        </row>
        <row r="450">
          <cell r="C450">
            <v>29860</v>
          </cell>
          <cell r="D450">
            <v>0.15085999999999999</v>
          </cell>
        </row>
        <row r="451">
          <cell r="C451">
            <v>29891</v>
          </cell>
          <cell r="D451">
            <v>0.15376000000000001</v>
          </cell>
        </row>
        <row r="452">
          <cell r="C452">
            <v>29921</v>
          </cell>
          <cell r="D452">
            <v>0.15790000000000001</v>
          </cell>
        </row>
        <row r="453">
          <cell r="C453">
            <v>29952</v>
          </cell>
          <cell r="D453">
            <v>0.16575000000000001</v>
          </cell>
        </row>
        <row r="454">
          <cell r="C454">
            <v>29983</v>
          </cell>
          <cell r="D454">
            <v>0.17226</v>
          </cell>
        </row>
        <row r="455">
          <cell r="C455">
            <v>30011</v>
          </cell>
          <cell r="D455">
            <v>0.17854999999999999</v>
          </cell>
        </row>
        <row r="456">
          <cell r="C456">
            <v>30042</v>
          </cell>
          <cell r="D456">
            <v>0.18823000000000001</v>
          </cell>
        </row>
        <row r="457">
          <cell r="C457">
            <v>30072</v>
          </cell>
          <cell r="D457">
            <v>0.19880999999999999</v>
          </cell>
        </row>
        <row r="458">
          <cell r="C458">
            <v>30103</v>
          </cell>
          <cell r="D458">
            <v>0.20838000000000001</v>
          </cell>
        </row>
        <row r="459">
          <cell r="C459">
            <v>30133</v>
          </cell>
          <cell r="D459">
            <v>0.21912000000000001</v>
          </cell>
        </row>
        <row r="460">
          <cell r="C460">
            <v>30164</v>
          </cell>
          <cell r="D460">
            <v>0.24371000000000001</v>
          </cell>
        </row>
        <row r="461">
          <cell r="C461">
            <v>30195</v>
          </cell>
          <cell r="D461">
            <v>0.25672</v>
          </cell>
        </row>
        <row r="462">
          <cell r="C462">
            <v>30225</v>
          </cell>
          <cell r="D462">
            <v>0.27002999999999999</v>
          </cell>
        </row>
        <row r="463">
          <cell r="C463">
            <v>30256</v>
          </cell>
          <cell r="D463">
            <v>0.28367999999999999</v>
          </cell>
        </row>
        <row r="464">
          <cell r="C464">
            <v>30286</v>
          </cell>
          <cell r="D464">
            <v>0.31397999999999998</v>
          </cell>
        </row>
        <row r="465">
          <cell r="C465">
            <v>30317</v>
          </cell>
          <cell r="D465">
            <v>0.34814000000000001</v>
          </cell>
        </row>
        <row r="466">
          <cell r="C466">
            <v>30348</v>
          </cell>
          <cell r="D466">
            <v>0.36681999999999998</v>
          </cell>
        </row>
        <row r="467">
          <cell r="C467">
            <v>30376</v>
          </cell>
          <cell r="D467">
            <v>0.38457999999999998</v>
          </cell>
        </row>
        <row r="468">
          <cell r="C468">
            <v>30407</v>
          </cell>
          <cell r="D468">
            <v>0.40893000000000002</v>
          </cell>
        </row>
        <row r="469">
          <cell r="C469">
            <v>30437</v>
          </cell>
          <cell r="D469">
            <v>0.42665999999999998</v>
          </cell>
        </row>
        <row r="470">
          <cell r="C470">
            <v>30468</v>
          </cell>
          <cell r="D470">
            <v>0.44281999999999999</v>
          </cell>
        </row>
        <row r="471">
          <cell r="C471">
            <v>30498</v>
          </cell>
          <cell r="D471">
            <v>0.46471000000000001</v>
          </cell>
        </row>
        <row r="472">
          <cell r="C472">
            <v>30529</v>
          </cell>
          <cell r="D472">
            <v>0.48275000000000001</v>
          </cell>
        </row>
        <row r="473">
          <cell r="C473">
            <v>30560</v>
          </cell>
          <cell r="D473">
            <v>0.49761</v>
          </cell>
        </row>
        <row r="474">
          <cell r="C474">
            <v>30590</v>
          </cell>
          <cell r="D474">
            <v>0.51412000000000002</v>
          </cell>
        </row>
        <row r="475">
          <cell r="C475">
            <v>30621</v>
          </cell>
          <cell r="D475">
            <v>0.54430999999999996</v>
          </cell>
        </row>
        <row r="476">
          <cell r="C476">
            <v>30651</v>
          </cell>
          <cell r="D476">
            <v>0.56759999999999999</v>
          </cell>
        </row>
        <row r="477">
          <cell r="C477">
            <v>30682</v>
          </cell>
          <cell r="D477">
            <v>0.60365999999999997</v>
          </cell>
        </row>
        <row r="478">
          <cell r="C478">
            <v>30713</v>
          </cell>
          <cell r="D478">
            <v>0.63551999999999997</v>
          </cell>
        </row>
        <row r="479">
          <cell r="C479">
            <v>30742</v>
          </cell>
          <cell r="D479">
            <v>0.66268000000000005</v>
          </cell>
        </row>
        <row r="480">
          <cell r="C480">
            <v>30773</v>
          </cell>
          <cell r="D480">
            <v>0.69135000000000002</v>
          </cell>
        </row>
        <row r="481">
          <cell r="C481">
            <v>30803</v>
          </cell>
          <cell r="D481">
            <v>0.71426999999999996</v>
          </cell>
        </row>
        <row r="482">
          <cell r="C482">
            <v>30834</v>
          </cell>
          <cell r="D482">
            <v>0.74012</v>
          </cell>
        </row>
        <row r="483">
          <cell r="C483">
            <v>30864</v>
          </cell>
          <cell r="D483">
            <v>0.76437999999999995</v>
          </cell>
        </row>
        <row r="484">
          <cell r="C484">
            <v>30895</v>
          </cell>
          <cell r="D484">
            <v>0.78610999999999998</v>
          </cell>
        </row>
        <row r="485">
          <cell r="C485">
            <v>30926</v>
          </cell>
          <cell r="D485">
            <v>0.80952999999999997</v>
          </cell>
        </row>
        <row r="486">
          <cell r="C486">
            <v>30956</v>
          </cell>
          <cell r="D486">
            <v>0.83781000000000005</v>
          </cell>
        </row>
        <row r="487">
          <cell r="C487">
            <v>30987</v>
          </cell>
          <cell r="D487">
            <v>0.86656999999999995</v>
          </cell>
        </row>
        <row r="488">
          <cell r="C488">
            <v>31017</v>
          </cell>
          <cell r="D488">
            <v>0.90337000000000001</v>
          </cell>
        </row>
        <row r="489">
          <cell r="C489">
            <v>31048</v>
          </cell>
          <cell r="D489">
            <v>0.97038000000000002</v>
          </cell>
        </row>
        <row r="490">
          <cell r="C490">
            <v>31079</v>
          </cell>
          <cell r="D490">
            <v>1.0106999999999999</v>
          </cell>
        </row>
        <row r="491">
          <cell r="C491">
            <v>31107</v>
          </cell>
          <cell r="D491">
            <v>1.0499000000000001</v>
          </cell>
        </row>
        <row r="492">
          <cell r="C492">
            <v>31138</v>
          </cell>
          <cell r="D492">
            <v>1.0822000000000001</v>
          </cell>
        </row>
        <row r="493">
          <cell r="C493">
            <v>31168</v>
          </cell>
          <cell r="D493">
            <v>1.1077999999999999</v>
          </cell>
        </row>
        <row r="494">
          <cell r="C494">
            <v>31199</v>
          </cell>
          <cell r="D494">
            <v>1.1355</v>
          </cell>
        </row>
        <row r="495">
          <cell r="C495">
            <v>31229</v>
          </cell>
          <cell r="D495">
            <v>1.1751</v>
          </cell>
        </row>
        <row r="496">
          <cell r="C496">
            <v>31260</v>
          </cell>
          <cell r="D496">
            <v>1.2264999999999999</v>
          </cell>
        </row>
        <row r="497">
          <cell r="C497">
            <v>31291</v>
          </cell>
          <cell r="D497">
            <v>1.2754000000000001</v>
          </cell>
        </row>
        <row r="498">
          <cell r="C498">
            <v>31321</v>
          </cell>
          <cell r="D498">
            <v>1.3239000000000001</v>
          </cell>
        </row>
        <row r="499">
          <cell r="C499">
            <v>31352</v>
          </cell>
          <cell r="D499">
            <v>1.385</v>
          </cell>
        </row>
        <row r="500">
          <cell r="C500">
            <v>31382</v>
          </cell>
          <cell r="D500">
            <v>1.4793000000000001</v>
          </cell>
        </row>
        <row r="501">
          <cell r="C501">
            <v>31413</v>
          </cell>
          <cell r="D501">
            <v>1.61</v>
          </cell>
        </row>
        <row r="502">
          <cell r="C502">
            <v>31444</v>
          </cell>
          <cell r="D502">
            <v>1.6816</v>
          </cell>
        </row>
        <row r="503">
          <cell r="C503">
            <v>31472</v>
          </cell>
          <cell r="D503">
            <v>1.7598</v>
          </cell>
        </row>
        <row r="504">
          <cell r="C504">
            <v>31503</v>
          </cell>
          <cell r="D504">
            <v>1.8516999999999999</v>
          </cell>
        </row>
        <row r="505">
          <cell r="C505">
            <v>31533</v>
          </cell>
          <cell r="D505">
            <v>1.9545999999999999</v>
          </cell>
        </row>
        <row r="506">
          <cell r="C506">
            <v>31564</v>
          </cell>
          <cell r="D506">
            <v>2.08</v>
          </cell>
        </row>
        <row r="507">
          <cell r="C507">
            <v>31594</v>
          </cell>
          <cell r="D507">
            <v>2.1838000000000002</v>
          </cell>
        </row>
        <row r="508">
          <cell r="C508">
            <v>31625</v>
          </cell>
          <cell r="D508">
            <v>2.3578999999999999</v>
          </cell>
        </row>
        <row r="509">
          <cell r="C509">
            <v>31656</v>
          </cell>
          <cell r="D509">
            <v>2.4994000000000001</v>
          </cell>
        </row>
        <row r="510">
          <cell r="C510">
            <v>31686</v>
          </cell>
          <cell r="D510">
            <v>2.6421999999999999</v>
          </cell>
        </row>
        <row r="511">
          <cell r="C511">
            <v>31717</v>
          </cell>
          <cell r="D511">
            <v>2.8208000000000002</v>
          </cell>
        </row>
        <row r="512">
          <cell r="C512">
            <v>31747</v>
          </cell>
          <cell r="D512">
            <v>3.0436000000000001</v>
          </cell>
        </row>
        <row r="513">
          <cell r="C513">
            <v>31778</v>
          </cell>
          <cell r="D513">
            <v>3.29</v>
          </cell>
        </row>
        <row r="514">
          <cell r="C514">
            <v>31809</v>
          </cell>
          <cell r="D514">
            <v>3.5274000000000001</v>
          </cell>
        </row>
        <row r="515">
          <cell r="C515">
            <v>31837</v>
          </cell>
          <cell r="D515">
            <v>3.7605</v>
          </cell>
        </row>
        <row r="516">
          <cell r="C516">
            <v>31868</v>
          </cell>
          <cell r="D516">
            <v>4.0895000000000001</v>
          </cell>
        </row>
        <row r="517">
          <cell r="C517">
            <v>31898</v>
          </cell>
          <cell r="D517">
            <v>4.3978000000000002</v>
          </cell>
        </row>
        <row r="518">
          <cell r="C518">
            <v>31929</v>
          </cell>
          <cell r="D518">
            <v>4.7160000000000002</v>
          </cell>
        </row>
        <row r="519">
          <cell r="C519">
            <v>31959</v>
          </cell>
          <cell r="D519">
            <v>5.0979999999999999</v>
          </cell>
        </row>
        <row r="520">
          <cell r="C520">
            <v>31990</v>
          </cell>
          <cell r="D520">
            <v>5.5145999999999997</v>
          </cell>
        </row>
        <row r="521">
          <cell r="C521">
            <v>32021</v>
          </cell>
          <cell r="D521">
            <v>5.8779000000000003</v>
          </cell>
        </row>
        <row r="522">
          <cell r="C522">
            <v>32051</v>
          </cell>
          <cell r="D522">
            <v>6.3677999999999999</v>
          </cell>
        </row>
        <row r="523">
          <cell r="C523">
            <v>32082</v>
          </cell>
          <cell r="D523">
            <v>6.8727999999999998</v>
          </cell>
        </row>
        <row r="524">
          <cell r="C524">
            <v>32112</v>
          </cell>
          <cell r="D524">
            <v>7.8879999999999999</v>
          </cell>
        </row>
        <row r="525">
          <cell r="C525">
            <v>32143</v>
          </cell>
          <cell r="D525">
            <v>9.1075999999999997</v>
          </cell>
        </row>
        <row r="526">
          <cell r="C526">
            <v>32174</v>
          </cell>
          <cell r="D526">
            <v>9.8673000000000002</v>
          </cell>
        </row>
        <row r="527">
          <cell r="C527">
            <v>32203</v>
          </cell>
          <cell r="D527">
            <v>10.372999999999999</v>
          </cell>
        </row>
        <row r="528">
          <cell r="C528">
            <v>32234</v>
          </cell>
          <cell r="D528">
            <v>10.692</v>
          </cell>
        </row>
        <row r="529">
          <cell r="C529">
            <v>32264</v>
          </cell>
          <cell r="D529">
            <v>10.898999999999999</v>
          </cell>
        </row>
        <row r="530">
          <cell r="C530">
            <v>32295</v>
          </cell>
          <cell r="D530">
            <v>11.121</v>
          </cell>
        </row>
        <row r="531">
          <cell r="C531">
            <v>32325</v>
          </cell>
          <cell r="D531">
            <v>11.307</v>
          </cell>
        </row>
        <row r="532">
          <cell r="C532">
            <v>32356</v>
          </cell>
          <cell r="D532">
            <v>11.411</v>
          </cell>
        </row>
        <row r="533">
          <cell r="C533">
            <v>32387</v>
          </cell>
          <cell r="D533">
            <v>11.476000000000001</v>
          </cell>
        </row>
        <row r="534">
          <cell r="C534">
            <v>32417</v>
          </cell>
          <cell r="D534">
            <v>11.563000000000001</v>
          </cell>
        </row>
        <row r="535">
          <cell r="C535">
            <v>32448</v>
          </cell>
          <cell r="D535">
            <v>11.718</v>
          </cell>
        </row>
        <row r="536">
          <cell r="C536">
            <v>32478</v>
          </cell>
          <cell r="D536">
            <v>11.962999999999999</v>
          </cell>
        </row>
        <row r="537">
          <cell r="C537">
            <v>32509</v>
          </cell>
          <cell r="D537">
            <v>12.256</v>
          </cell>
        </row>
        <row r="538">
          <cell r="C538">
            <v>32540</v>
          </cell>
          <cell r="D538">
            <v>12.422000000000001</v>
          </cell>
        </row>
        <row r="539">
          <cell r="C539">
            <v>32568</v>
          </cell>
          <cell r="D539">
            <v>12.555999999999999</v>
          </cell>
        </row>
        <row r="540">
          <cell r="C540">
            <v>32599</v>
          </cell>
          <cell r="D540">
            <v>12.744</v>
          </cell>
        </row>
        <row r="541">
          <cell r="C541">
            <v>32629</v>
          </cell>
          <cell r="D541">
            <v>12.92</v>
          </cell>
        </row>
        <row r="542">
          <cell r="C542">
            <v>32660</v>
          </cell>
          <cell r="D542">
            <v>13.077</v>
          </cell>
        </row>
        <row r="543">
          <cell r="C543">
            <v>32690</v>
          </cell>
          <cell r="D543">
            <v>13.207000000000001</v>
          </cell>
        </row>
        <row r="544">
          <cell r="C544">
            <v>32721</v>
          </cell>
          <cell r="D544">
            <v>13.333</v>
          </cell>
        </row>
        <row r="545">
          <cell r="C545">
            <v>32752</v>
          </cell>
          <cell r="D545">
            <v>13.461</v>
          </cell>
        </row>
        <row r="546">
          <cell r="C546">
            <v>32782</v>
          </cell>
          <cell r="D546">
            <v>13.66</v>
          </cell>
        </row>
        <row r="547">
          <cell r="C547">
            <v>32813</v>
          </cell>
          <cell r="D547">
            <v>13.852</v>
          </cell>
        </row>
        <row r="548">
          <cell r="C548">
            <v>32843</v>
          </cell>
          <cell r="D548">
            <v>14.319000000000001</v>
          </cell>
        </row>
        <row r="549">
          <cell r="C549">
            <v>32874</v>
          </cell>
          <cell r="D549">
            <v>15.01</v>
          </cell>
        </row>
        <row r="550">
          <cell r="C550">
            <v>32905</v>
          </cell>
          <cell r="D550">
            <v>15.35</v>
          </cell>
        </row>
        <row r="551">
          <cell r="C551">
            <v>32933</v>
          </cell>
          <cell r="D551">
            <v>15.621</v>
          </cell>
        </row>
        <row r="552">
          <cell r="C552">
            <v>32964</v>
          </cell>
          <cell r="D552">
            <v>15.858000000000001</v>
          </cell>
        </row>
        <row r="553">
          <cell r="C553">
            <v>32994</v>
          </cell>
          <cell r="D553">
            <v>16.135000000000002</v>
          </cell>
        </row>
        <row r="554">
          <cell r="C554">
            <v>33025</v>
          </cell>
          <cell r="D554">
            <v>16.489999999999998</v>
          </cell>
        </row>
        <row r="555">
          <cell r="C555">
            <v>33055</v>
          </cell>
          <cell r="D555">
            <v>16.791</v>
          </cell>
        </row>
        <row r="556">
          <cell r="C556">
            <v>33086</v>
          </cell>
          <cell r="D556">
            <v>17.077000000000002</v>
          </cell>
        </row>
        <row r="557">
          <cell r="C557">
            <v>33117</v>
          </cell>
          <cell r="D557">
            <v>17.321000000000002</v>
          </cell>
        </row>
        <row r="558">
          <cell r="C558">
            <v>33147</v>
          </cell>
          <cell r="D558">
            <v>17.57</v>
          </cell>
        </row>
        <row r="559">
          <cell r="C559">
            <v>33178</v>
          </cell>
          <cell r="D559">
            <v>18.036000000000001</v>
          </cell>
        </row>
        <row r="560">
          <cell r="C560">
            <v>33208</v>
          </cell>
          <cell r="D560">
            <v>18.605</v>
          </cell>
        </row>
        <row r="561">
          <cell r="C561">
            <v>33239</v>
          </cell>
          <cell r="D561">
            <v>19.079000000000001</v>
          </cell>
        </row>
        <row r="562">
          <cell r="C562">
            <v>33270</v>
          </cell>
          <cell r="D562">
            <v>19.411999999999999</v>
          </cell>
        </row>
        <row r="563">
          <cell r="C563">
            <v>33298</v>
          </cell>
          <cell r="D563">
            <v>19.689</v>
          </cell>
        </row>
        <row r="564">
          <cell r="C564">
            <v>33329</v>
          </cell>
          <cell r="D564">
            <v>19.895</v>
          </cell>
        </row>
        <row r="565">
          <cell r="C565">
            <v>33359</v>
          </cell>
          <cell r="D565">
            <v>20.088999999999999</v>
          </cell>
        </row>
        <row r="566">
          <cell r="C566">
            <v>33390</v>
          </cell>
          <cell r="D566">
            <v>20.3</v>
          </cell>
        </row>
        <row r="567">
          <cell r="C567">
            <v>33420</v>
          </cell>
          <cell r="D567">
            <v>20.48</v>
          </cell>
        </row>
        <row r="568">
          <cell r="C568">
            <v>33451</v>
          </cell>
          <cell r="D568">
            <v>20.622</v>
          </cell>
        </row>
        <row r="569">
          <cell r="C569">
            <v>33482</v>
          </cell>
          <cell r="D569">
            <v>20.827999999999999</v>
          </cell>
        </row>
        <row r="570">
          <cell r="C570">
            <v>33512</v>
          </cell>
          <cell r="D570">
            <v>21.07</v>
          </cell>
        </row>
        <row r="571">
          <cell r="C571">
            <v>33543</v>
          </cell>
          <cell r="D571">
            <v>21.593</v>
          </cell>
        </row>
        <row r="572">
          <cell r="C572">
            <v>33573</v>
          </cell>
          <cell r="D572">
            <v>22.100999999999999</v>
          </cell>
        </row>
        <row r="573">
          <cell r="C573">
            <v>33604</v>
          </cell>
          <cell r="D573">
            <v>22.503</v>
          </cell>
        </row>
        <row r="574">
          <cell r="C574">
            <v>33635</v>
          </cell>
          <cell r="D574">
            <v>22.77</v>
          </cell>
        </row>
        <row r="575">
          <cell r="C575">
            <v>33664</v>
          </cell>
          <cell r="D575">
            <v>23.001000000000001</v>
          </cell>
        </row>
        <row r="576">
          <cell r="C576">
            <v>33695</v>
          </cell>
          <cell r="D576">
            <v>23.206</v>
          </cell>
        </row>
        <row r="577">
          <cell r="C577">
            <v>33725</v>
          </cell>
          <cell r="D577">
            <v>23.359000000000002</v>
          </cell>
        </row>
        <row r="578">
          <cell r="C578">
            <v>33756</v>
          </cell>
          <cell r="D578">
            <v>23.516999999999999</v>
          </cell>
        </row>
        <row r="579">
          <cell r="C579">
            <v>33786</v>
          </cell>
          <cell r="D579">
            <v>23.666</v>
          </cell>
        </row>
        <row r="580">
          <cell r="C580">
            <v>33817</v>
          </cell>
          <cell r="D580">
            <v>23.811</v>
          </cell>
        </row>
        <row r="581">
          <cell r="C581">
            <v>33848</v>
          </cell>
          <cell r="D581">
            <v>24.018000000000001</v>
          </cell>
        </row>
        <row r="582">
          <cell r="C582">
            <v>33878</v>
          </cell>
          <cell r="D582">
            <v>24.190999999999999</v>
          </cell>
        </row>
        <row r="583">
          <cell r="C583">
            <v>33909</v>
          </cell>
          <cell r="D583">
            <v>24.391999999999999</v>
          </cell>
        </row>
        <row r="584">
          <cell r="C584">
            <v>33939</v>
          </cell>
          <cell r="D584">
            <v>24.74</v>
          </cell>
        </row>
        <row r="585">
          <cell r="C585">
            <v>33970</v>
          </cell>
          <cell r="D585">
            <v>25.05</v>
          </cell>
        </row>
        <row r="586">
          <cell r="C586">
            <v>34001</v>
          </cell>
          <cell r="D586">
            <v>25.254999999999999</v>
          </cell>
        </row>
        <row r="587">
          <cell r="C587">
            <v>34029</v>
          </cell>
          <cell r="D587">
            <v>25.402000000000001</v>
          </cell>
        </row>
        <row r="588">
          <cell r="C588">
            <v>34060</v>
          </cell>
          <cell r="D588">
            <v>25.547999999999998</v>
          </cell>
        </row>
        <row r="589">
          <cell r="C589">
            <v>34090</v>
          </cell>
          <cell r="D589">
            <v>25.693999999999999</v>
          </cell>
        </row>
        <row r="590">
          <cell r="C590">
            <v>34121</v>
          </cell>
          <cell r="D590">
            <v>25.838999999999999</v>
          </cell>
        </row>
        <row r="591">
          <cell r="C591">
            <v>34151</v>
          </cell>
          <cell r="D591">
            <v>25.963000000000001</v>
          </cell>
        </row>
        <row r="592">
          <cell r="C592">
            <v>34182</v>
          </cell>
          <cell r="D592">
            <v>26.102</v>
          </cell>
        </row>
        <row r="593">
          <cell r="C593">
            <v>34213</v>
          </cell>
          <cell r="D593">
            <v>26.295000000000002</v>
          </cell>
        </row>
        <row r="594">
          <cell r="C594">
            <v>34243</v>
          </cell>
          <cell r="D594">
            <v>26.402999999999999</v>
          </cell>
        </row>
        <row r="595">
          <cell r="C595">
            <v>34274</v>
          </cell>
          <cell r="D595">
            <v>26.518999999999998</v>
          </cell>
        </row>
        <row r="596">
          <cell r="C596">
            <v>34304</v>
          </cell>
          <cell r="D596">
            <v>26.721</v>
          </cell>
        </row>
        <row r="597">
          <cell r="C597">
            <v>34335</v>
          </cell>
          <cell r="D597">
            <v>26.928000000000001</v>
          </cell>
        </row>
        <row r="598">
          <cell r="C598">
            <v>34366</v>
          </cell>
          <cell r="D598">
            <v>27.067</v>
          </cell>
        </row>
        <row r="599">
          <cell r="C599">
            <v>34394</v>
          </cell>
          <cell r="D599">
            <v>27.206</v>
          </cell>
        </row>
        <row r="600">
          <cell r="C600">
            <v>34425</v>
          </cell>
          <cell r="D600">
            <v>27.338999999999999</v>
          </cell>
        </row>
        <row r="601">
          <cell r="C601">
            <v>34455</v>
          </cell>
          <cell r="D601">
            <v>27.471</v>
          </cell>
        </row>
        <row r="602">
          <cell r="C602">
            <v>34486</v>
          </cell>
          <cell r="D602">
            <v>27.609000000000002</v>
          </cell>
        </row>
        <row r="603">
          <cell r="C603">
            <v>34516</v>
          </cell>
          <cell r="D603">
            <v>27.731000000000002</v>
          </cell>
        </row>
        <row r="604">
          <cell r="C604">
            <v>34547</v>
          </cell>
          <cell r="D604">
            <v>27.861000000000001</v>
          </cell>
        </row>
        <row r="605">
          <cell r="C605">
            <v>34578</v>
          </cell>
          <cell r="D605">
            <v>28.059000000000001</v>
          </cell>
        </row>
        <row r="606">
          <cell r="C606">
            <v>34608</v>
          </cell>
          <cell r="D606">
            <v>28.206</v>
          </cell>
        </row>
        <row r="607">
          <cell r="C607">
            <v>34639</v>
          </cell>
          <cell r="D607">
            <v>28.356999999999999</v>
          </cell>
        </row>
        <row r="608">
          <cell r="C608">
            <v>34669</v>
          </cell>
          <cell r="D608">
            <v>28.605</v>
          </cell>
        </row>
        <row r="609">
          <cell r="C609">
            <v>34700</v>
          </cell>
          <cell r="D609">
            <v>29.681999999999999</v>
          </cell>
        </row>
        <row r="610">
          <cell r="C610">
            <v>34731</v>
          </cell>
          <cell r="D610">
            <v>30.94</v>
          </cell>
        </row>
        <row r="611">
          <cell r="C611">
            <v>34759</v>
          </cell>
          <cell r="D611">
            <v>32.764000000000003</v>
          </cell>
        </row>
        <row r="612">
          <cell r="C612">
            <v>34790</v>
          </cell>
          <cell r="D612">
            <v>35.375</v>
          </cell>
        </row>
        <row r="613">
          <cell r="C613">
            <v>34820</v>
          </cell>
          <cell r="D613">
            <v>36.853000000000002</v>
          </cell>
        </row>
        <row r="614">
          <cell r="C614">
            <v>34851</v>
          </cell>
          <cell r="D614">
            <v>38.023000000000003</v>
          </cell>
        </row>
        <row r="615">
          <cell r="C615">
            <v>34881</v>
          </cell>
          <cell r="D615">
            <v>38.798000000000002</v>
          </cell>
        </row>
        <row r="616">
          <cell r="C616">
            <v>34912</v>
          </cell>
          <cell r="D616">
            <v>39.442</v>
          </cell>
        </row>
        <row r="617">
          <cell r="C617">
            <v>34943</v>
          </cell>
          <cell r="D617">
            <v>40.258000000000003</v>
          </cell>
        </row>
        <row r="618">
          <cell r="C618">
            <v>34973</v>
          </cell>
          <cell r="D618">
            <v>41.085999999999999</v>
          </cell>
        </row>
        <row r="619">
          <cell r="C619">
            <v>35004</v>
          </cell>
          <cell r="D619">
            <v>42.098999999999997</v>
          </cell>
        </row>
        <row r="620">
          <cell r="C620">
            <v>35034</v>
          </cell>
          <cell r="D620">
            <v>43.470999999999997</v>
          </cell>
        </row>
        <row r="621">
          <cell r="C621">
            <v>35065</v>
          </cell>
          <cell r="D621">
            <v>45.033000000000001</v>
          </cell>
        </row>
        <row r="622">
          <cell r="C622">
            <v>35096</v>
          </cell>
          <cell r="D622">
            <v>46.084000000000003</v>
          </cell>
        </row>
        <row r="623">
          <cell r="C623">
            <v>35125</v>
          </cell>
          <cell r="D623">
            <v>47.098999999999997</v>
          </cell>
        </row>
        <row r="624">
          <cell r="C624">
            <v>35156</v>
          </cell>
          <cell r="D624">
            <v>48.438000000000002</v>
          </cell>
        </row>
        <row r="625">
          <cell r="C625">
            <v>35186</v>
          </cell>
          <cell r="D625">
            <v>49.320999999999998</v>
          </cell>
        </row>
        <row r="626">
          <cell r="C626">
            <v>35217</v>
          </cell>
          <cell r="D626">
            <v>50.124000000000002</v>
          </cell>
        </row>
        <row r="627">
          <cell r="C627">
            <v>35247</v>
          </cell>
          <cell r="D627">
            <v>50.835999999999999</v>
          </cell>
        </row>
        <row r="628">
          <cell r="C628">
            <v>35278</v>
          </cell>
          <cell r="D628">
            <v>51.512</v>
          </cell>
        </row>
        <row r="629">
          <cell r="C629">
            <v>35309</v>
          </cell>
          <cell r="D629">
            <v>52.335999999999999</v>
          </cell>
        </row>
        <row r="630">
          <cell r="C630">
            <v>35339</v>
          </cell>
          <cell r="D630">
            <v>52.988999999999997</v>
          </cell>
        </row>
        <row r="631">
          <cell r="C631">
            <v>35370</v>
          </cell>
          <cell r="D631">
            <v>53.792000000000002</v>
          </cell>
        </row>
        <row r="632">
          <cell r="C632">
            <v>35400</v>
          </cell>
          <cell r="D632">
            <v>55.514000000000003</v>
          </cell>
        </row>
        <row r="633">
          <cell r="C633">
            <v>35431</v>
          </cell>
          <cell r="D633">
            <v>56.942</v>
          </cell>
        </row>
        <row r="634">
          <cell r="C634">
            <v>35462</v>
          </cell>
          <cell r="D634">
            <v>57.898000000000003</v>
          </cell>
        </row>
        <row r="635">
          <cell r="C635">
            <v>35490</v>
          </cell>
          <cell r="D635">
            <v>58.619</v>
          </cell>
        </row>
        <row r="636">
          <cell r="C636">
            <v>35521</v>
          </cell>
          <cell r="D636">
            <v>59.252000000000002</v>
          </cell>
        </row>
        <row r="637">
          <cell r="C637">
            <v>35551</v>
          </cell>
          <cell r="D637">
            <v>59.792999999999999</v>
          </cell>
        </row>
        <row r="638">
          <cell r="C638">
            <v>35582</v>
          </cell>
          <cell r="D638">
            <v>60.323999999999998</v>
          </cell>
        </row>
        <row r="639">
          <cell r="C639">
            <v>35612</v>
          </cell>
          <cell r="D639">
            <v>60.848999999999997</v>
          </cell>
        </row>
        <row r="640">
          <cell r="C640">
            <v>35643</v>
          </cell>
          <cell r="D640">
            <v>61.39</v>
          </cell>
        </row>
        <row r="641">
          <cell r="C641">
            <v>35674</v>
          </cell>
          <cell r="D641">
            <v>62.155000000000001</v>
          </cell>
        </row>
        <row r="642">
          <cell r="C642">
            <v>35704</v>
          </cell>
          <cell r="D642">
            <v>62.652000000000001</v>
          </cell>
        </row>
        <row r="643">
          <cell r="C643">
            <v>35735</v>
          </cell>
          <cell r="D643">
            <v>63.351999999999997</v>
          </cell>
        </row>
        <row r="644">
          <cell r="C644">
            <v>35765</v>
          </cell>
          <cell r="D644">
            <v>64.239999999999995</v>
          </cell>
        </row>
        <row r="645">
          <cell r="C645">
            <v>35796</v>
          </cell>
          <cell r="D645">
            <v>65.638000000000005</v>
          </cell>
        </row>
        <row r="646">
          <cell r="C646">
            <v>35827</v>
          </cell>
          <cell r="D646">
            <v>66.787000000000006</v>
          </cell>
        </row>
        <row r="647">
          <cell r="C647">
            <v>35855</v>
          </cell>
          <cell r="D647">
            <v>67.569000000000003</v>
          </cell>
        </row>
        <row r="648">
          <cell r="C648">
            <v>35886</v>
          </cell>
          <cell r="D648">
            <v>68.200999999999993</v>
          </cell>
        </row>
        <row r="649">
          <cell r="C649">
            <v>35916</v>
          </cell>
          <cell r="D649">
            <v>68.745000000000005</v>
          </cell>
        </row>
        <row r="650">
          <cell r="C650">
            <v>35947</v>
          </cell>
          <cell r="D650">
            <v>69.557000000000002</v>
          </cell>
        </row>
        <row r="651">
          <cell r="C651">
            <v>35977</v>
          </cell>
          <cell r="D651">
            <v>70.227999999999994</v>
          </cell>
        </row>
        <row r="652">
          <cell r="C652">
            <v>36008</v>
          </cell>
          <cell r="D652">
            <v>70.903000000000006</v>
          </cell>
        </row>
        <row r="653">
          <cell r="C653">
            <v>36039</v>
          </cell>
          <cell r="D653">
            <v>72.052999999999997</v>
          </cell>
        </row>
        <row r="654">
          <cell r="C654">
            <v>36069</v>
          </cell>
          <cell r="D654">
            <v>73.084999999999994</v>
          </cell>
        </row>
        <row r="655">
          <cell r="C655">
            <v>36100</v>
          </cell>
          <cell r="D655">
            <v>74.38</v>
          </cell>
        </row>
        <row r="656">
          <cell r="C656">
            <v>36130</v>
          </cell>
          <cell r="D656">
            <v>76.194999999999993</v>
          </cell>
        </row>
        <row r="657">
          <cell r="C657">
            <v>36161</v>
          </cell>
          <cell r="D657">
            <v>78.119</v>
          </cell>
        </row>
        <row r="658">
          <cell r="C658">
            <v>36192</v>
          </cell>
          <cell r="D658">
            <v>79.168999999999997</v>
          </cell>
        </row>
        <row r="659">
          <cell r="C659">
            <v>36220</v>
          </cell>
          <cell r="D659">
            <v>79.903999999999996</v>
          </cell>
        </row>
        <row r="660">
          <cell r="C660">
            <v>36251</v>
          </cell>
          <cell r="D660">
            <v>80.637</v>
          </cell>
        </row>
        <row r="661">
          <cell r="C661">
            <v>36281</v>
          </cell>
          <cell r="D661">
            <v>81.122</v>
          </cell>
        </row>
        <row r="662">
          <cell r="C662">
            <v>36312</v>
          </cell>
          <cell r="D662">
            <v>81.655000000000001</v>
          </cell>
        </row>
        <row r="663">
          <cell r="C663">
            <v>36342</v>
          </cell>
          <cell r="D663">
            <v>82.194999999999993</v>
          </cell>
        </row>
        <row r="664">
          <cell r="C664">
            <v>36373</v>
          </cell>
          <cell r="D664">
            <v>82.658000000000001</v>
          </cell>
        </row>
        <row r="665">
          <cell r="C665">
            <v>36404</v>
          </cell>
          <cell r="D665">
            <v>83.456000000000003</v>
          </cell>
        </row>
        <row r="666">
          <cell r="C666">
            <v>36434</v>
          </cell>
          <cell r="D666">
            <v>83.984999999999999</v>
          </cell>
        </row>
        <row r="667">
          <cell r="C667">
            <v>36465</v>
          </cell>
          <cell r="D667">
            <v>84.731999999999999</v>
          </cell>
        </row>
        <row r="668">
          <cell r="C668">
            <v>36495</v>
          </cell>
          <cell r="D668">
            <v>85.581000000000003</v>
          </cell>
        </row>
        <row r="669">
          <cell r="C669">
            <v>36526</v>
          </cell>
          <cell r="D669">
            <v>86.73</v>
          </cell>
        </row>
        <row r="670">
          <cell r="C670">
            <v>36557</v>
          </cell>
          <cell r="D670">
            <v>87.498999999999995</v>
          </cell>
        </row>
        <row r="671">
          <cell r="C671">
            <v>36586</v>
          </cell>
          <cell r="D671">
            <v>87.983999999999995</v>
          </cell>
        </row>
        <row r="672">
          <cell r="C672">
            <v>36617</v>
          </cell>
          <cell r="D672">
            <v>88.484999999999999</v>
          </cell>
        </row>
        <row r="673">
          <cell r="C673">
            <v>36647</v>
          </cell>
          <cell r="D673">
            <v>88.816000000000003</v>
          </cell>
        </row>
        <row r="674">
          <cell r="C674">
            <v>36678</v>
          </cell>
          <cell r="D674">
            <v>89.341999999999999</v>
          </cell>
        </row>
        <row r="675">
          <cell r="C675">
            <v>36708</v>
          </cell>
          <cell r="D675">
            <v>89.69</v>
          </cell>
        </row>
        <row r="676">
          <cell r="C676">
            <v>36739</v>
          </cell>
          <cell r="D676">
            <v>90.183000000000007</v>
          </cell>
        </row>
        <row r="677">
          <cell r="C677">
            <v>36770</v>
          </cell>
          <cell r="D677">
            <v>90.841999999999999</v>
          </cell>
        </row>
        <row r="678">
          <cell r="C678">
            <v>36800</v>
          </cell>
          <cell r="D678">
            <v>91.466999999999999</v>
          </cell>
        </row>
        <row r="679">
          <cell r="C679">
            <v>36831</v>
          </cell>
          <cell r="D679">
            <v>92.248999999999995</v>
          </cell>
        </row>
        <row r="680">
          <cell r="C680">
            <v>36861</v>
          </cell>
          <cell r="D680">
            <v>93.248000000000005</v>
          </cell>
        </row>
        <row r="681">
          <cell r="C681">
            <v>36892</v>
          </cell>
          <cell r="D681">
            <v>93.765000000000001</v>
          </cell>
        </row>
        <row r="682">
          <cell r="C682">
            <v>36923</v>
          </cell>
          <cell r="D682">
            <v>93.703000000000003</v>
          </cell>
        </row>
        <row r="683">
          <cell r="C683">
            <v>36951</v>
          </cell>
          <cell r="D683">
            <v>94.296999999999997</v>
          </cell>
        </row>
        <row r="684">
          <cell r="C684">
            <v>36982</v>
          </cell>
          <cell r="D684">
            <v>94.772000000000006</v>
          </cell>
        </row>
        <row r="685">
          <cell r="C685">
            <v>37012</v>
          </cell>
          <cell r="D685">
            <v>94.99</v>
          </cell>
        </row>
        <row r="686">
          <cell r="C686">
            <v>37043</v>
          </cell>
          <cell r="D686">
            <v>95.215000000000003</v>
          </cell>
        </row>
        <row r="687">
          <cell r="C687">
            <v>37073</v>
          </cell>
          <cell r="D687">
            <v>94.966999999999999</v>
          </cell>
        </row>
        <row r="688">
          <cell r="C688">
            <v>37104</v>
          </cell>
          <cell r="D688">
            <v>95.53</v>
          </cell>
        </row>
        <row r="689">
          <cell r="C689">
            <v>37135</v>
          </cell>
          <cell r="D689">
            <v>96.418999999999997</v>
          </cell>
        </row>
        <row r="690">
          <cell r="C690">
            <v>37165</v>
          </cell>
          <cell r="D690">
            <v>96.855000000000004</v>
          </cell>
        </row>
        <row r="691">
          <cell r="C691">
            <v>37196</v>
          </cell>
          <cell r="D691">
            <v>97.22</v>
          </cell>
        </row>
        <row r="692">
          <cell r="C692">
            <v>37226</v>
          </cell>
          <cell r="D692">
            <v>97.353999999999999</v>
          </cell>
        </row>
        <row r="693">
          <cell r="C693">
            <v>37257</v>
          </cell>
          <cell r="D693">
            <v>98.253</v>
          </cell>
        </row>
        <row r="694">
          <cell r="C694">
            <v>37288</v>
          </cell>
          <cell r="D694">
            <v>98.19</v>
          </cell>
        </row>
        <row r="695">
          <cell r="C695">
            <v>37316</v>
          </cell>
          <cell r="D695">
            <v>98.691999999999993</v>
          </cell>
        </row>
        <row r="696">
          <cell r="C696">
            <v>37347</v>
          </cell>
          <cell r="D696">
            <v>99.230999999999995</v>
          </cell>
        </row>
        <row r="697">
          <cell r="C697">
            <v>37377</v>
          </cell>
          <cell r="D697">
            <v>99.432000000000002</v>
          </cell>
        </row>
        <row r="698">
          <cell r="C698">
            <v>37408</v>
          </cell>
          <cell r="D698">
            <v>99.917000000000002</v>
          </cell>
        </row>
        <row r="699">
          <cell r="C699">
            <v>37438</v>
          </cell>
          <cell r="D699">
            <v>100.20399999999999</v>
          </cell>
        </row>
        <row r="700">
          <cell r="C700">
            <v>37469</v>
          </cell>
          <cell r="D700">
            <v>100.58499999999999</v>
          </cell>
        </row>
        <row r="701">
          <cell r="C701">
            <v>37500</v>
          </cell>
          <cell r="D701">
            <v>101.19</v>
          </cell>
        </row>
        <row r="702">
          <cell r="C702">
            <v>37530</v>
          </cell>
          <cell r="D702">
            <v>101.636</v>
          </cell>
        </row>
        <row r="703">
          <cell r="C703">
            <v>37561</v>
          </cell>
          <cell r="D703">
            <v>102.458</v>
          </cell>
        </row>
        <row r="704">
          <cell r="C704">
            <v>37591</v>
          </cell>
          <cell r="D704">
            <v>102.904</v>
          </cell>
        </row>
        <row r="705">
          <cell r="C705">
            <v>37622</v>
          </cell>
          <cell r="D705">
            <v>103.32</v>
          </cell>
        </row>
        <row r="706">
          <cell r="C706">
            <v>37653</v>
          </cell>
          <cell r="D706">
            <v>103.607</v>
          </cell>
        </row>
        <row r="707">
          <cell r="C707">
            <v>37681</v>
          </cell>
          <cell r="D707">
            <v>104.261</v>
          </cell>
        </row>
        <row r="708">
          <cell r="C708">
            <v>37712</v>
          </cell>
          <cell r="D708">
            <v>104.43899999999999</v>
          </cell>
        </row>
        <row r="709">
          <cell r="C709">
            <v>37742</v>
          </cell>
          <cell r="D709">
            <v>104.102</v>
          </cell>
        </row>
        <row r="710">
          <cell r="C710">
            <v>37773</v>
          </cell>
          <cell r="D710">
            <v>104.188</v>
          </cell>
        </row>
        <row r="711">
          <cell r="C711">
            <v>37803</v>
          </cell>
          <cell r="D711">
            <v>104.339</v>
          </cell>
        </row>
        <row r="712">
          <cell r="C712">
            <v>37834</v>
          </cell>
          <cell r="D712">
            <v>104.652</v>
          </cell>
        </row>
        <row r="713">
          <cell r="C713">
            <v>37865</v>
          </cell>
          <cell r="D713">
            <v>105.27500000000001</v>
          </cell>
        </row>
        <row r="714">
          <cell r="C714">
            <v>37895</v>
          </cell>
          <cell r="D714">
            <v>105.661</v>
          </cell>
        </row>
        <row r="715">
          <cell r="C715">
            <v>37926</v>
          </cell>
          <cell r="D715">
            <v>106.538</v>
          </cell>
        </row>
        <row r="716">
          <cell r="C716">
            <v>37956</v>
          </cell>
          <cell r="D716">
            <v>106.996</v>
          </cell>
        </row>
        <row r="717">
          <cell r="C717">
            <v>37987</v>
          </cell>
          <cell r="D717">
            <v>107.661</v>
          </cell>
        </row>
        <row r="718">
          <cell r="C718">
            <v>38018</v>
          </cell>
          <cell r="D718">
            <v>108.30500000000001</v>
          </cell>
        </row>
        <row r="719">
          <cell r="C719">
            <v>38047</v>
          </cell>
          <cell r="D719">
            <v>108.672</v>
          </cell>
        </row>
        <row r="720">
          <cell r="C720">
            <v>38078</v>
          </cell>
          <cell r="D720">
            <v>108.836</v>
          </cell>
        </row>
        <row r="721">
          <cell r="C721">
            <v>38108</v>
          </cell>
          <cell r="D721">
            <v>108.563</v>
          </cell>
        </row>
        <row r="722">
          <cell r="C722">
            <v>38139</v>
          </cell>
          <cell r="D722">
            <v>108.73699999999999</v>
          </cell>
        </row>
        <row r="723">
          <cell r="C723">
            <v>38169</v>
          </cell>
          <cell r="D723">
            <v>109.02200000000001</v>
          </cell>
        </row>
        <row r="724">
          <cell r="C724">
            <v>38200</v>
          </cell>
          <cell r="D724">
            <v>109.69499999999999</v>
          </cell>
        </row>
        <row r="725">
          <cell r="C725">
            <v>38231</v>
          </cell>
          <cell r="D725">
            <v>110.602</v>
          </cell>
        </row>
        <row r="726">
          <cell r="C726">
            <v>38261</v>
          </cell>
          <cell r="D726">
            <v>111.36799999999999</v>
          </cell>
        </row>
        <row r="727">
          <cell r="C727">
            <v>38292</v>
          </cell>
          <cell r="D727">
            <v>112.318</v>
          </cell>
        </row>
        <row r="728">
          <cell r="C728">
            <v>38322</v>
          </cell>
          <cell r="D728">
            <v>112.55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uctos"/>
      <sheetName val="ET"/>
      <sheetName val="EC"/>
      <sheetName val="MO"/>
      <sheetName val="EO"/>
      <sheetName val="MAQ"/>
      <sheetName val="HERR"/>
      <sheetName val="MEJ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Final"/>
      <sheetName val="Conciliación"/>
      <sheetName val="Recargos "/>
      <sheetName val="PTU"/>
      <sheetName val="Ajuste Anual"/>
      <sheetName val="resultado"/>
      <sheetName val="Promedios Bancarios"/>
      <sheetName val="INP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Final"/>
      <sheetName val="Conciliación"/>
      <sheetName val="Recargos "/>
      <sheetName val="PTU"/>
      <sheetName val="Ajuste Anual"/>
      <sheetName val="resultado"/>
      <sheetName val="Promedios Bancarios"/>
      <sheetName val="INP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s"/>
      <sheetName val="marcas"/>
      <sheetName val="INPC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urasEmitidas_al_20101122"/>
      <sheetName val="Procesos"/>
    </sheetNames>
    <sheetDataSet>
      <sheetData sheetId="0" refreshError="1"/>
      <sheetData sheetId="1" refreshError="1">
        <row r="4">
          <cell r="A4" t="str">
            <v>11000</v>
          </cell>
          <cell r="B4" t="str">
            <v>Cosecha Semana 50 Dic 09</v>
          </cell>
        </row>
        <row r="5">
          <cell r="A5" t="str">
            <v>11050</v>
          </cell>
          <cell r="B5" t="str">
            <v>Cosecha Semana 50 Dic 09</v>
          </cell>
        </row>
        <row r="6">
          <cell r="A6" t="str">
            <v>11051</v>
          </cell>
          <cell r="B6" t="str">
            <v>Cosecha Semana 51 Dic 09</v>
          </cell>
        </row>
        <row r="7">
          <cell r="A7" t="str">
            <v>11052</v>
          </cell>
          <cell r="B7" t="str">
            <v>Cosecha Semana 52 Ene 10</v>
          </cell>
        </row>
        <row r="8">
          <cell r="A8" t="str">
            <v>11001</v>
          </cell>
          <cell r="B8" t="str">
            <v>Cosecha Semana 01 Ene 10</v>
          </cell>
        </row>
        <row r="9">
          <cell r="A9" t="str">
            <v>11002</v>
          </cell>
          <cell r="B9" t="str">
            <v>Cosecha Semana 02 Ene 10</v>
          </cell>
        </row>
        <row r="10">
          <cell r="A10" t="str">
            <v>11003</v>
          </cell>
          <cell r="B10" t="str">
            <v>Cosecha Semana 03 Ene 10</v>
          </cell>
        </row>
        <row r="11">
          <cell r="A11" t="str">
            <v>11004</v>
          </cell>
          <cell r="B11" t="str">
            <v>Cosecha Semana 04 Ene 10</v>
          </cell>
        </row>
        <row r="12">
          <cell r="A12" t="str">
            <v>11005</v>
          </cell>
          <cell r="B12" t="str">
            <v>Cosecha Semana 05 Feb 10</v>
          </cell>
        </row>
        <row r="13">
          <cell r="A13" t="str">
            <v>11006</v>
          </cell>
          <cell r="B13" t="str">
            <v>Cosecha Semana 06 Feb 10</v>
          </cell>
        </row>
        <row r="14">
          <cell r="A14" t="str">
            <v>11007</v>
          </cell>
          <cell r="B14" t="str">
            <v>Cosecha Semana 07 Feb 10</v>
          </cell>
        </row>
        <row r="15">
          <cell r="A15" t="str">
            <v>11008</v>
          </cell>
          <cell r="B15" t="str">
            <v>Cosecha Semana 08 Feb 10</v>
          </cell>
        </row>
        <row r="16">
          <cell r="A16" t="str">
            <v>11009</v>
          </cell>
          <cell r="B16" t="str">
            <v>Cosecha Semana 09 Mar 10</v>
          </cell>
        </row>
        <row r="17">
          <cell r="A17" t="str">
            <v>11010</v>
          </cell>
          <cell r="B17" t="str">
            <v>Cosecha Semana 10 Mar 10</v>
          </cell>
        </row>
        <row r="18">
          <cell r="A18" t="str">
            <v>11011</v>
          </cell>
          <cell r="B18" t="str">
            <v>Cosecha Semana 11 Mar 10</v>
          </cell>
        </row>
        <row r="19">
          <cell r="A19" t="str">
            <v>11012</v>
          </cell>
          <cell r="B19" t="str">
            <v>Cosecha Semana 12 Mar 10</v>
          </cell>
        </row>
        <row r="20">
          <cell r="A20" t="str">
            <v>11013</v>
          </cell>
          <cell r="B20" t="str">
            <v>Cosecha Semana 13 Abr 10</v>
          </cell>
        </row>
        <row r="21">
          <cell r="A21" t="str">
            <v>11014</v>
          </cell>
          <cell r="B21" t="str">
            <v>Cosecha Semana 14 Abr 10</v>
          </cell>
        </row>
        <row r="22">
          <cell r="A22" t="str">
            <v>11015</v>
          </cell>
          <cell r="B22" t="str">
            <v>Cosecha Semana 15 Abr 10</v>
          </cell>
        </row>
        <row r="23">
          <cell r="A23" t="str">
            <v>11016</v>
          </cell>
          <cell r="B23" t="str">
            <v>Cosecha Semana 16 Abr 10</v>
          </cell>
        </row>
        <row r="24">
          <cell r="A24" t="str">
            <v>11017</v>
          </cell>
          <cell r="B24" t="str">
            <v>Cosecha Semana 17 Abr 10</v>
          </cell>
        </row>
        <row r="25">
          <cell r="A25" t="str">
            <v>11018</v>
          </cell>
          <cell r="B25" t="str">
            <v>Cosecha Semana 18 May 10</v>
          </cell>
        </row>
        <row r="26">
          <cell r="A26" t="str">
            <v>21000</v>
          </cell>
          <cell r="B26" t="str">
            <v>Preliquidación 01 Ene 10</v>
          </cell>
        </row>
        <row r="27">
          <cell r="A27" t="str">
            <v>21002</v>
          </cell>
          <cell r="B27" t="str">
            <v>Preliquidación 02 Ene 10</v>
          </cell>
        </row>
        <row r="28">
          <cell r="A28" t="str">
            <v>21003</v>
          </cell>
          <cell r="B28" t="str">
            <v>Preliquidación 03 Feb 10</v>
          </cell>
        </row>
        <row r="29">
          <cell r="A29" t="str">
            <v>21004</v>
          </cell>
          <cell r="B29" t="str">
            <v>Preliquidación 04 Feb 10</v>
          </cell>
        </row>
        <row r="30">
          <cell r="A30" t="str">
            <v>21005</v>
          </cell>
          <cell r="B30" t="str">
            <v>Preliquidación 05 Mar 10</v>
          </cell>
        </row>
        <row r="31">
          <cell r="A31" t="str">
            <v>21006</v>
          </cell>
          <cell r="B31" t="str">
            <v>Preliquidación 06 Mar 10</v>
          </cell>
        </row>
        <row r="32">
          <cell r="A32" t="str">
            <v>21007</v>
          </cell>
          <cell r="B32" t="str">
            <v>Preliquidación 07 Abr 10</v>
          </cell>
        </row>
        <row r="33">
          <cell r="A33" t="str">
            <v>21008</v>
          </cell>
          <cell r="B33" t="str">
            <v>Preliquidación 08 Abr 10</v>
          </cell>
        </row>
        <row r="34">
          <cell r="A34" t="str">
            <v>21009</v>
          </cell>
          <cell r="B34" t="str">
            <v>Preliquidación 09 May 10</v>
          </cell>
        </row>
        <row r="35">
          <cell r="A35" t="str">
            <v>21010</v>
          </cell>
          <cell r="B35" t="str">
            <v>Preliquidación 10 May 10</v>
          </cell>
        </row>
        <row r="36">
          <cell r="A36" t="str">
            <v>40900</v>
          </cell>
          <cell r="B36" t="str">
            <v>Liquidación 08-09 Mar 10</v>
          </cell>
        </row>
        <row r="37">
          <cell r="A37" t="str">
            <v>41001</v>
          </cell>
          <cell r="B37" t="str">
            <v>Liquidación 09-10 Jun 10</v>
          </cell>
        </row>
        <row r="38">
          <cell r="A38" t="str">
            <v>71002</v>
          </cell>
          <cell r="B38" t="str">
            <v>Complemento Liq. 09-10</v>
          </cell>
        </row>
        <row r="39">
          <cell r="A39" t="str">
            <v>70700</v>
          </cell>
          <cell r="B39" t="str">
            <v>Diferencias 06-07 Dic 09</v>
          </cell>
        </row>
        <row r="40">
          <cell r="A40" t="str">
            <v>70800</v>
          </cell>
          <cell r="B40" t="str">
            <v>Diferencias 07-08 Dic 09</v>
          </cell>
        </row>
        <row r="41">
          <cell r="A41" t="str">
            <v>70900</v>
          </cell>
          <cell r="B41" t="str">
            <v>Diferencias 08-09 Jul 10</v>
          </cell>
        </row>
        <row r="42">
          <cell r="A42" t="str">
            <v>80500</v>
          </cell>
          <cell r="B42" t="str">
            <v>30 Porciento Zafra 04-05</v>
          </cell>
        </row>
        <row r="43">
          <cell r="A43" t="str">
            <v>80700</v>
          </cell>
          <cell r="B43" t="str">
            <v>30 Porciento Zafra 06-07</v>
          </cell>
        </row>
        <row r="44">
          <cell r="A44" t="str">
            <v>80800</v>
          </cell>
          <cell r="B44" t="str">
            <v>30 Porciento Zafra 07-08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os"/>
      <sheetName val="ctas x cob"/>
      <sheetName val="inventarios 31-10-98"/>
      <sheetName val="inventarios 31-12-98"/>
      <sheetName val="inventarios"/>
      <sheetName val="A.F."/>
      <sheetName val="constr proceso 31-10-98"/>
      <sheetName val="constr proc 31-12-98"/>
      <sheetName val="Resumen A.F."/>
      <sheetName val="seguros"/>
      <sheetName val="otros activos"/>
      <sheetName val="ctas x pag"/>
      <sheetName val="cap cont"/>
      <sheetName val="edo. de resultados"/>
      <sheetName val="Edos Fin."/>
      <sheetName val="Marcas Estándar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urasEmitidas_Marzo2010a"/>
      <sheetName val="Procesos"/>
    </sheetNames>
    <sheetDataSet>
      <sheetData sheetId="0" refreshError="1"/>
      <sheetData sheetId="1">
        <row r="4">
          <cell r="A4" t="str">
            <v>11050</v>
          </cell>
          <cell r="B4" t="str">
            <v>Cosecha Semana 50 Dic 09</v>
          </cell>
        </row>
        <row r="5">
          <cell r="A5" t="str">
            <v>11051</v>
          </cell>
          <cell r="B5" t="str">
            <v>Cosecha Semana 51 Dic 09</v>
          </cell>
        </row>
        <row r="6">
          <cell r="A6" t="str">
            <v>11052</v>
          </cell>
          <cell r="B6" t="str">
            <v>Cosecha Semana 52 Ene 10</v>
          </cell>
        </row>
        <row r="7">
          <cell r="A7" t="str">
            <v>11001</v>
          </cell>
          <cell r="B7" t="str">
            <v>Cosecha Semana 01 Ene 10</v>
          </cell>
        </row>
        <row r="8">
          <cell r="A8" t="str">
            <v>11002</v>
          </cell>
          <cell r="B8" t="str">
            <v>Cosecha Semana 02 Ene 10</v>
          </cell>
        </row>
        <row r="9">
          <cell r="A9" t="str">
            <v>11003</v>
          </cell>
          <cell r="B9" t="str">
            <v>Cosecha Semana 03 Ene 10</v>
          </cell>
        </row>
        <row r="10">
          <cell r="A10" t="str">
            <v>11004</v>
          </cell>
          <cell r="B10" t="str">
            <v>Cosecha Semana 04 Ene 10</v>
          </cell>
        </row>
        <row r="11">
          <cell r="A11" t="str">
            <v>11005</v>
          </cell>
          <cell r="B11" t="str">
            <v>Cosecha Semana 05 Feb 10</v>
          </cell>
        </row>
        <row r="12">
          <cell r="A12" t="str">
            <v>11006</v>
          </cell>
          <cell r="B12" t="str">
            <v>Cosecha Semana 06 Feb 10</v>
          </cell>
        </row>
        <row r="13">
          <cell r="A13" t="str">
            <v>11007</v>
          </cell>
          <cell r="B13" t="str">
            <v>Cosecha Semana 07 Feb 10</v>
          </cell>
        </row>
        <row r="14">
          <cell r="A14" t="str">
            <v>11008</v>
          </cell>
          <cell r="B14" t="str">
            <v>Cosecha Semana 08 Feb 10</v>
          </cell>
        </row>
        <row r="15">
          <cell r="A15" t="str">
            <v>11009</v>
          </cell>
          <cell r="B15" t="str">
            <v>Cosecha Semana 09 Mar 10</v>
          </cell>
        </row>
        <row r="16">
          <cell r="A16" t="str">
            <v>11010</v>
          </cell>
          <cell r="B16" t="str">
            <v>Cosecha Semana 10 Mar 10</v>
          </cell>
        </row>
        <row r="17">
          <cell r="A17" t="str">
            <v>11011</v>
          </cell>
          <cell r="B17" t="str">
            <v>Cosecha Semana 11 Mar 10</v>
          </cell>
        </row>
        <row r="18">
          <cell r="A18" t="str">
            <v>11012</v>
          </cell>
          <cell r="B18" t="str">
            <v>Cosecha Semana 12 Mar 10</v>
          </cell>
        </row>
        <row r="19">
          <cell r="A19" t="str">
            <v>21000</v>
          </cell>
          <cell r="B19" t="str">
            <v>Preliquidación 01 Ene 10</v>
          </cell>
        </row>
        <row r="20">
          <cell r="A20" t="str">
            <v>21002</v>
          </cell>
          <cell r="B20" t="str">
            <v>Preliquidación 02 Ene 10</v>
          </cell>
        </row>
        <row r="21">
          <cell r="A21" t="str">
            <v>21003</v>
          </cell>
          <cell r="B21" t="str">
            <v>Preliquidación 03 Feb 10</v>
          </cell>
        </row>
        <row r="22">
          <cell r="A22" t="str">
            <v>21004</v>
          </cell>
          <cell r="B22" t="str">
            <v>Preliquidación 04 Feb 10</v>
          </cell>
        </row>
        <row r="23">
          <cell r="A23" t="str">
            <v>21005</v>
          </cell>
          <cell r="B23" t="str">
            <v>Preliquidación 05 Mar 10</v>
          </cell>
        </row>
        <row r="24">
          <cell r="A24" t="str">
            <v>21006</v>
          </cell>
          <cell r="B24" t="str">
            <v>Preliquidación 06 Mar 10</v>
          </cell>
        </row>
        <row r="25">
          <cell r="A25" t="str">
            <v>21007</v>
          </cell>
          <cell r="B25" t="str">
            <v>Preliquidación 07 Mar 10</v>
          </cell>
        </row>
        <row r="26">
          <cell r="A26" t="str">
            <v>40900</v>
          </cell>
          <cell r="B26" t="str">
            <v>Liquidación 08-09 Mar 10</v>
          </cell>
        </row>
        <row r="27">
          <cell r="A27" t="str">
            <v>70700</v>
          </cell>
          <cell r="B27" t="str">
            <v>Diferencias 06-07 Dic 09</v>
          </cell>
        </row>
        <row r="28">
          <cell r="A28" t="str">
            <v>70800</v>
          </cell>
          <cell r="B28" t="str">
            <v>Diferencias 07-08 Dic 09</v>
          </cell>
        </row>
        <row r="29">
          <cell r="A29" t="str">
            <v>70900</v>
          </cell>
          <cell r="B29" t="str">
            <v>Diferencias 08-09 Mar 10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lEnvironment"/>
      <sheetName val="dlgGoto"/>
      <sheetName val="dlgSelect"/>
      <sheetName val="dlgCFTA"/>
      <sheetName val="dlg2ndTax"/>
      <sheetName val="Checklist"/>
      <sheetName val="Summary"/>
      <sheetName val="Template Data"/>
      <sheetName val="TempDiff"/>
      <sheetName val="TaxEffect"/>
      <sheetName val="NOL"/>
      <sheetName val="OtherData"/>
      <sheetName val="WARNING!"/>
      <sheetName val="MonthlyData"/>
      <sheetName val="Comments"/>
      <sheetName val="Instructions"/>
      <sheetName val="Sch 1- Entity Information"/>
      <sheetName val="Sch 2 - Current Tax Calculation"/>
      <sheetName val="Sch 2.0 - 2nd Current Tax Calc"/>
      <sheetName val="Sch 2.1 - NOL Carryovers"/>
      <sheetName val="Sch 2.2 - Other Carryovers"/>
      <sheetName val="Sch 2.3 - Current Tax Rollforwd"/>
      <sheetName val="Sch 2.3.1 - Current Tax  Detail"/>
      <sheetName val="temp diff form ATR"/>
      <sheetName val="Sch 3 - Deferred Tax"/>
      <sheetName val="Sch 3.1 - Deferred Tax Summary"/>
      <sheetName val="Sch 3.2 - Valuation Allowance"/>
      <sheetName val="Sch 4 Income Tax Expense"/>
      <sheetName val="Sch 5 - Rate Rec &amp; Sign Off"/>
      <sheetName val="Summary of Journal Entries"/>
      <sheetName val="dlg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9">
          <cell r="A59" t="str">
            <v>9900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179">
          <cell r="G1179">
            <v>0</v>
          </cell>
        </row>
        <row r="1180">
          <cell r="G1180" t="str">
            <v>Loss Carryforward</v>
          </cell>
        </row>
        <row r="1182">
          <cell r="A1182" t="b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bo1"/>
      <sheetName val="DATOS"/>
      <sheetName val="NOMINA"/>
      <sheetName val="VARIABLES"/>
      <sheetName val="COB_01"/>
      <sheetName val="COB_02"/>
      <sheetName val="TABLA LISR 80"/>
      <sheetName val="SDI"/>
      <sheetName val="BITAL"/>
      <sheetName val="recibo2"/>
      <sheetName val="NO_ 1"/>
      <sheetName val="NO_ 2"/>
      <sheetName val="NO_ 3"/>
      <sheetName val="NO_ 4"/>
      <sheetName val="NO_ 5"/>
      <sheetName val="NO_ 6"/>
      <sheetName val="NO_ 7"/>
      <sheetName val="NO_ 8"/>
      <sheetName val="NO_ 9"/>
      <sheetName val="NO_ 10"/>
      <sheetName val="NO_11"/>
      <sheetName val="NO_ 12"/>
      <sheetName val="NO_ 13"/>
      <sheetName val="NO_ 14"/>
      <sheetName val="NO_ 15"/>
      <sheetName val="NO_ 16"/>
    </sheetNames>
    <sheetDataSet>
      <sheetData sheetId="0"/>
      <sheetData sheetId="1"/>
      <sheetData sheetId="2"/>
      <sheetData sheetId="3">
        <row r="8">
          <cell r="B8">
            <v>51.737671232876714</v>
          </cell>
        </row>
        <row r="16">
          <cell r="B16">
            <v>157.77000000000004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(2)"/>
      <sheetName val="INVENTARIOS"/>
      <sheetName val="TERRENOS"/>
      <sheetName val="DEDUCCIÓN INMEDIATA"/>
      <sheetName val="RESUMEN"/>
      <sheetName val="EQUIPO TRANSPORTE"/>
      <sheetName val="EQUIPO DE COMPUTO"/>
      <sheetName val="EQUIPO DE OFICINA  (2)"/>
      <sheetName val="EQUIPO DE LABORATORIO (2)"/>
      <sheetName val="EDIFICIOS"/>
      <sheetName val="MEJORAS"/>
      <sheetName val="INPC"/>
      <sheetName val="MARCAS"/>
    </sheetNames>
    <sheetDataSet>
      <sheetData sheetId="0" refreshError="1">
        <row r="5">
          <cell r="A5" t="str">
            <v>AÑO</v>
          </cell>
          <cell r="B5" t="str">
            <v>ENE</v>
          </cell>
          <cell r="C5" t="str">
            <v>FEB</v>
          </cell>
          <cell r="D5" t="str">
            <v>MAR</v>
          </cell>
          <cell r="E5" t="str">
            <v>ABR</v>
          </cell>
          <cell r="F5" t="str">
            <v>MAY</v>
          </cell>
          <cell r="G5" t="str">
            <v>JUN</v>
          </cell>
          <cell r="H5" t="str">
            <v>JUL</v>
          </cell>
          <cell r="I5" t="str">
            <v>AGO</v>
          </cell>
          <cell r="J5" t="str">
            <v>SEP</v>
          </cell>
          <cell r="K5" t="str">
            <v>OCT</v>
          </cell>
          <cell r="L5" t="str">
            <v>NOV</v>
          </cell>
          <cell r="M5" t="str">
            <v>DIC</v>
          </cell>
        </row>
        <row r="6">
          <cell r="A6">
            <v>1950</v>
          </cell>
          <cell r="B6">
            <v>9.2800000000000001E-3</v>
          </cell>
          <cell r="C6">
            <v>9.3910999999999994E-3</v>
          </cell>
          <cell r="D6">
            <v>9.8066000000000004E-3</v>
          </cell>
          <cell r="E6">
            <v>9.9031999999999992E-3</v>
          </cell>
          <cell r="F6">
            <v>9.8895000000000007E-3</v>
          </cell>
          <cell r="G6">
            <v>9.8203000000000006E-3</v>
          </cell>
          <cell r="H6">
            <v>9.8895000000000007E-3</v>
          </cell>
          <cell r="I6">
            <v>1.0056000000000001E-2</v>
          </cell>
          <cell r="J6">
            <v>1.0361E-2</v>
          </cell>
          <cell r="K6">
            <v>1.0612E-2</v>
          </cell>
          <cell r="L6">
            <v>1.0793000000000001E-2</v>
          </cell>
          <cell r="M6">
            <v>1.0905E-2</v>
          </cell>
        </row>
        <row r="7">
          <cell r="A7">
            <v>1951</v>
          </cell>
          <cell r="B7">
            <v>1.1132E-2</v>
          </cell>
          <cell r="C7">
            <v>1.159E-2</v>
          </cell>
          <cell r="D7">
            <v>1.2130999999999999E-2</v>
          </cell>
          <cell r="E7">
            <v>1.2435999999999999E-2</v>
          </cell>
          <cell r="F7">
            <v>1.2728E-2</v>
          </cell>
          <cell r="G7">
            <v>1.2936E-2</v>
          </cell>
          <cell r="H7">
            <v>1.2715000000000001E-2</v>
          </cell>
          <cell r="I7">
            <v>1.2467000000000001E-2</v>
          </cell>
          <cell r="J7">
            <v>1.2619E-2</v>
          </cell>
          <cell r="K7">
            <v>1.2674E-2</v>
          </cell>
          <cell r="L7">
            <v>1.2936E-2</v>
          </cell>
          <cell r="M7">
            <v>1.2893999999999999E-2</v>
          </cell>
        </row>
        <row r="8">
          <cell r="A8">
            <v>1952</v>
          </cell>
          <cell r="B8">
            <v>1.2956000000000001E-2</v>
          </cell>
          <cell r="C8">
            <v>1.2886999999999999E-2</v>
          </cell>
          <cell r="D8">
            <v>1.3011999999999999E-2</v>
          </cell>
          <cell r="E8">
            <v>1.3108E-2</v>
          </cell>
          <cell r="F8">
            <v>1.3067E-2</v>
          </cell>
          <cell r="G8">
            <v>1.3067E-2</v>
          </cell>
          <cell r="H8">
            <v>1.2886999999999999E-2</v>
          </cell>
          <cell r="I8">
            <v>1.2886999999999999E-2</v>
          </cell>
          <cell r="J8">
            <v>1.2625000000000001E-2</v>
          </cell>
          <cell r="K8">
            <v>1.2736000000000001E-2</v>
          </cell>
          <cell r="L8">
            <v>1.268E-2</v>
          </cell>
          <cell r="M8">
            <v>1.2611000000000001E-2</v>
          </cell>
        </row>
        <row r="9">
          <cell r="A9">
            <v>1953</v>
          </cell>
          <cell r="B9">
            <v>1.2514000000000001E-2</v>
          </cell>
          <cell r="C9">
            <v>1.2416999999999999E-2</v>
          </cell>
          <cell r="D9">
            <v>1.2486000000000001E-2</v>
          </cell>
          <cell r="E9">
            <v>1.2527999999999999E-2</v>
          </cell>
          <cell r="F9">
            <v>1.2708000000000001E-2</v>
          </cell>
          <cell r="G9">
            <v>1.2652999999999999E-2</v>
          </cell>
          <cell r="H9">
            <v>1.282E-2</v>
          </cell>
          <cell r="I9">
            <v>1.2777999999999999E-2</v>
          </cell>
          <cell r="J9">
            <v>1.2874999999999999E-2</v>
          </cell>
          <cell r="K9">
            <v>1.3056E-2</v>
          </cell>
          <cell r="L9">
            <v>1.2874E-2</v>
          </cell>
          <cell r="M9">
            <v>1.2874E-2</v>
          </cell>
        </row>
        <row r="10">
          <cell r="A10">
            <v>1954</v>
          </cell>
          <cell r="B10">
            <v>1.2786E-2</v>
          </cell>
          <cell r="C10">
            <v>1.2828000000000001E-2</v>
          </cell>
          <cell r="D10">
            <v>1.2952E-2</v>
          </cell>
          <cell r="E10">
            <v>1.3299999999999999E-2</v>
          </cell>
          <cell r="F10">
            <v>1.3939E-2</v>
          </cell>
          <cell r="G10">
            <v>1.4119E-2</v>
          </cell>
          <cell r="H10">
            <v>1.4133E-2</v>
          </cell>
          <cell r="I10">
            <v>1.4244E-2</v>
          </cell>
          <cell r="J10">
            <v>1.4203E-2</v>
          </cell>
          <cell r="K10">
            <v>1.4536E-2</v>
          </cell>
          <cell r="L10">
            <v>1.4800000000000001E-2</v>
          </cell>
          <cell r="M10">
            <v>1.4982000000000001E-2</v>
          </cell>
        </row>
        <row r="11">
          <cell r="A11">
            <v>1955</v>
          </cell>
          <cell r="B11">
            <v>1.4982000000000001E-2</v>
          </cell>
          <cell r="C11">
            <v>1.5134E-2</v>
          </cell>
          <cell r="D11">
            <v>1.5440000000000001E-2</v>
          </cell>
          <cell r="E11">
            <v>1.5606E-2</v>
          </cell>
          <cell r="F11">
            <v>1.5579000000000001E-2</v>
          </cell>
          <cell r="G11">
            <v>1.5675999999999999E-2</v>
          </cell>
          <cell r="H11">
            <v>1.5855999999999999E-2</v>
          </cell>
          <cell r="I11">
            <v>1.6022000000000002E-2</v>
          </cell>
          <cell r="J11">
            <v>1.6022000000000002E-2</v>
          </cell>
          <cell r="K11">
            <v>1.6187E-2</v>
          </cell>
          <cell r="L11">
            <v>1.6437E-2</v>
          </cell>
          <cell r="M11">
            <v>1.6396000000000001E-2</v>
          </cell>
        </row>
        <row r="12">
          <cell r="A12">
            <v>1956</v>
          </cell>
          <cell r="B12">
            <v>1.6518999999999999E-2</v>
          </cell>
          <cell r="C12">
            <v>1.6671999999999999E-2</v>
          </cell>
          <cell r="D12">
            <v>1.6657999999999999E-2</v>
          </cell>
          <cell r="E12">
            <v>1.6754999999999999E-2</v>
          </cell>
          <cell r="F12">
            <v>1.6643999999999999E-2</v>
          </cell>
          <cell r="G12">
            <v>1.6504999999999999E-2</v>
          </cell>
          <cell r="H12">
            <v>1.6298E-2</v>
          </cell>
          <cell r="I12">
            <v>1.6338999999999999E-2</v>
          </cell>
          <cell r="J12">
            <v>1.6338999999999999E-2</v>
          </cell>
          <cell r="K12">
            <v>1.6227999999999999E-2</v>
          </cell>
          <cell r="L12">
            <v>1.6365999999999999E-2</v>
          </cell>
          <cell r="M12">
            <v>1.6490999999999999E-2</v>
          </cell>
        </row>
        <row r="13">
          <cell r="A13">
            <v>1957</v>
          </cell>
          <cell r="B13">
            <v>1.6631E-2</v>
          </cell>
          <cell r="C13">
            <v>1.6645E-2</v>
          </cell>
          <cell r="D13">
            <v>1.6743000000000001E-2</v>
          </cell>
          <cell r="E13">
            <v>1.6992E-2</v>
          </cell>
          <cell r="F13">
            <v>1.7173000000000001E-2</v>
          </cell>
          <cell r="G13">
            <v>1.7145000000000001E-2</v>
          </cell>
          <cell r="H13">
            <v>1.7381000000000001E-2</v>
          </cell>
          <cell r="I13">
            <v>1.7672E-2</v>
          </cell>
          <cell r="J13">
            <v>1.7547E-2</v>
          </cell>
          <cell r="K13">
            <v>1.7562000000000001E-2</v>
          </cell>
          <cell r="L13">
            <v>1.7547E-2</v>
          </cell>
          <cell r="M13">
            <v>1.7576000000000001E-2</v>
          </cell>
        </row>
        <row r="14">
          <cell r="A14">
            <v>1958</v>
          </cell>
          <cell r="B14">
            <v>1.779E-2</v>
          </cell>
          <cell r="C14">
            <v>1.7734E-2</v>
          </cell>
          <cell r="D14">
            <v>1.7846000000000001E-2</v>
          </cell>
          <cell r="E14">
            <v>1.8024999999999999E-2</v>
          </cell>
          <cell r="F14">
            <v>1.8164E-2</v>
          </cell>
          <cell r="G14">
            <v>1.8095E-2</v>
          </cell>
          <cell r="H14">
            <v>1.8054000000000001E-2</v>
          </cell>
          <cell r="I14">
            <v>1.7971000000000001E-2</v>
          </cell>
          <cell r="J14">
            <v>1.7721000000000001E-2</v>
          </cell>
          <cell r="K14">
            <v>1.7860000000000001E-2</v>
          </cell>
          <cell r="L14">
            <v>1.8124000000000001E-2</v>
          </cell>
          <cell r="M14">
            <v>1.8262E-2</v>
          </cell>
        </row>
        <row r="15">
          <cell r="A15">
            <v>1959</v>
          </cell>
          <cell r="B15">
            <v>1.8211999999999999E-2</v>
          </cell>
          <cell r="C15">
            <v>1.8199E-2</v>
          </cell>
          <cell r="D15">
            <v>1.8296E-2</v>
          </cell>
          <cell r="E15">
            <v>1.8296E-2</v>
          </cell>
          <cell r="F15">
            <v>1.8128999999999999E-2</v>
          </cell>
          <cell r="G15">
            <v>1.8171E-2</v>
          </cell>
          <cell r="H15">
            <v>1.8128999999999999E-2</v>
          </cell>
          <cell r="I15">
            <v>1.8199E-2</v>
          </cell>
          <cell r="J15">
            <v>1.7908E-2</v>
          </cell>
          <cell r="K15">
            <v>1.806E-2</v>
          </cell>
          <cell r="L15">
            <v>1.8199E-2</v>
          </cell>
          <cell r="M15">
            <v>1.8253999999999999E-2</v>
          </cell>
        </row>
        <row r="16">
          <cell r="A16">
            <v>1960</v>
          </cell>
          <cell r="B16">
            <v>1.8282E-2</v>
          </cell>
          <cell r="C16">
            <v>1.8296E-2</v>
          </cell>
          <cell r="D16">
            <v>1.8737E-2</v>
          </cell>
          <cell r="E16">
            <v>1.9123000000000001E-2</v>
          </cell>
          <cell r="F16">
            <v>1.9054000000000001E-2</v>
          </cell>
          <cell r="G16">
            <v>1.9040999999999999E-2</v>
          </cell>
          <cell r="H16">
            <v>1.9179000000000002E-2</v>
          </cell>
          <cell r="I16">
            <v>1.9248000000000001E-2</v>
          </cell>
          <cell r="J16">
            <v>1.9344E-2</v>
          </cell>
          <cell r="K16">
            <v>1.9123000000000001E-2</v>
          </cell>
          <cell r="L16">
            <v>1.9054000000000001E-2</v>
          </cell>
          <cell r="M16">
            <v>1.9137000000000001E-2</v>
          </cell>
        </row>
        <row r="17">
          <cell r="A17">
            <v>1961</v>
          </cell>
          <cell r="B17">
            <v>1.9268E-2</v>
          </cell>
          <cell r="C17">
            <v>1.9213000000000001E-2</v>
          </cell>
          <cell r="D17">
            <v>1.9171000000000001E-2</v>
          </cell>
          <cell r="E17">
            <v>1.9296000000000001E-2</v>
          </cell>
          <cell r="F17">
            <v>1.9296000000000001E-2</v>
          </cell>
          <cell r="G17">
            <v>1.9309E-2</v>
          </cell>
          <cell r="H17">
            <v>1.9254E-2</v>
          </cell>
          <cell r="I17">
            <v>1.9033000000000001E-2</v>
          </cell>
          <cell r="J17">
            <v>1.8977999999999998E-2</v>
          </cell>
          <cell r="K17">
            <v>1.8991999999999998E-2</v>
          </cell>
          <cell r="L17">
            <v>1.9061000000000002E-2</v>
          </cell>
          <cell r="M17">
            <v>1.9074000000000001E-2</v>
          </cell>
        </row>
        <row r="18">
          <cell r="A18">
            <v>1962</v>
          </cell>
          <cell r="B18">
            <v>1.9129E-2</v>
          </cell>
          <cell r="C18">
            <v>1.924E-2</v>
          </cell>
          <cell r="D18">
            <v>1.9434E-2</v>
          </cell>
          <cell r="E18">
            <v>1.9585999999999999E-2</v>
          </cell>
          <cell r="F18">
            <v>1.9559E-2</v>
          </cell>
          <cell r="G18">
            <v>1.9585999999999999E-2</v>
          </cell>
          <cell r="H18">
            <v>1.9698E-2</v>
          </cell>
          <cell r="I18">
            <v>1.9740000000000001E-2</v>
          </cell>
          <cell r="J18">
            <v>1.9835999999999999E-2</v>
          </cell>
          <cell r="K18">
            <v>1.9753E-2</v>
          </cell>
          <cell r="L18">
            <v>1.9753E-2</v>
          </cell>
          <cell r="M18">
            <v>1.967E-2</v>
          </cell>
        </row>
        <row r="19">
          <cell r="A19">
            <v>1963</v>
          </cell>
          <cell r="B19">
            <v>1.9598999999999998E-2</v>
          </cell>
          <cell r="C19">
            <v>1.9682000000000002E-2</v>
          </cell>
          <cell r="D19">
            <v>1.9682000000000002E-2</v>
          </cell>
          <cell r="E19">
            <v>1.9709999999999998E-2</v>
          </cell>
          <cell r="F19">
            <v>1.9765999999999999E-2</v>
          </cell>
          <cell r="G19">
            <v>1.9682000000000002E-2</v>
          </cell>
          <cell r="H19">
            <v>1.9737999999999999E-2</v>
          </cell>
          <cell r="I19">
            <v>1.9668000000000001E-2</v>
          </cell>
          <cell r="J19">
            <v>1.9654999999999999E-2</v>
          </cell>
          <cell r="K19">
            <v>1.9585999999999999E-2</v>
          </cell>
          <cell r="L19">
            <v>1.9571999999999999E-2</v>
          </cell>
          <cell r="M19">
            <v>1.9709999999999998E-2</v>
          </cell>
        </row>
        <row r="20">
          <cell r="A20">
            <v>1964</v>
          </cell>
          <cell r="B20">
            <v>1.9945000000000001E-2</v>
          </cell>
          <cell r="C20">
            <v>2.0319E-2</v>
          </cell>
          <cell r="D20">
            <v>2.0277E-2</v>
          </cell>
          <cell r="E20">
            <v>2.0388E-2</v>
          </cell>
          <cell r="F20">
            <v>2.0444E-2</v>
          </cell>
          <cell r="G20">
            <v>2.0456999999999999E-2</v>
          </cell>
          <cell r="H20">
            <v>2.0650000000000002E-2</v>
          </cell>
          <cell r="I20">
            <v>2.0844999999999999E-2</v>
          </cell>
          <cell r="J20">
            <v>2.0553999999999999E-2</v>
          </cell>
          <cell r="K20">
            <v>2.0525999999999999E-2</v>
          </cell>
          <cell r="L20">
            <v>2.0733999999999999E-2</v>
          </cell>
          <cell r="M20">
            <v>2.0774999999999998E-2</v>
          </cell>
        </row>
        <row r="21">
          <cell r="A21">
            <v>1965</v>
          </cell>
          <cell r="B21">
            <v>2.0743000000000001E-2</v>
          </cell>
          <cell r="C21">
            <v>2.0826999999999998E-2</v>
          </cell>
          <cell r="D21">
            <v>2.0896000000000001E-2</v>
          </cell>
          <cell r="E21">
            <v>2.102E-2</v>
          </cell>
          <cell r="F21">
            <v>2.1034000000000001E-2</v>
          </cell>
          <cell r="G21">
            <v>2.1062000000000001E-2</v>
          </cell>
          <cell r="H21">
            <v>2.0965000000000001E-2</v>
          </cell>
          <cell r="I21">
            <v>2.0909000000000001E-2</v>
          </cell>
          <cell r="J21">
            <v>2.0993000000000001E-2</v>
          </cell>
          <cell r="K21">
            <v>2.0978E-2</v>
          </cell>
          <cell r="L21">
            <v>2.0909000000000001E-2</v>
          </cell>
          <cell r="M21">
            <v>2.0909000000000001E-2</v>
          </cell>
        </row>
        <row r="22">
          <cell r="A22">
            <v>1966</v>
          </cell>
          <cell r="B22">
            <v>2.0948999999999999E-2</v>
          </cell>
          <cell r="C22">
            <v>2.0934999999999999E-2</v>
          </cell>
          <cell r="D22">
            <v>2.0811E-2</v>
          </cell>
          <cell r="E22">
            <v>2.0934999999999999E-2</v>
          </cell>
          <cell r="F22">
            <v>2.0990000000000002E-2</v>
          </cell>
          <cell r="G22">
            <v>2.1073999999999999E-2</v>
          </cell>
          <cell r="H22">
            <v>2.1212000000000002E-2</v>
          </cell>
          <cell r="I22">
            <v>2.1336000000000001E-2</v>
          </cell>
          <cell r="J22">
            <v>2.1336000000000001E-2</v>
          </cell>
          <cell r="K22">
            <v>2.1406000000000001E-2</v>
          </cell>
          <cell r="L22">
            <v>2.1434000000000002E-2</v>
          </cell>
          <cell r="M22">
            <v>2.1447999999999998E-2</v>
          </cell>
        </row>
        <row r="23">
          <cell r="A23">
            <v>1967</v>
          </cell>
          <cell r="B23">
            <v>2.1602E-2</v>
          </cell>
          <cell r="C23">
            <v>2.1739999999999999E-2</v>
          </cell>
          <cell r="D23">
            <v>2.1781999999999999E-2</v>
          </cell>
          <cell r="E23">
            <v>2.1783E-2</v>
          </cell>
          <cell r="F23">
            <v>2.1644E-2</v>
          </cell>
          <cell r="G23">
            <v>2.1533E-2</v>
          </cell>
          <cell r="H23">
            <v>2.1684999999999999E-2</v>
          </cell>
          <cell r="I23">
            <v>2.1767999999999999E-2</v>
          </cell>
          <cell r="J23">
            <v>2.1850999999999999E-2</v>
          </cell>
          <cell r="K23">
            <v>2.1919999999999999E-2</v>
          </cell>
          <cell r="L23">
            <v>2.1878000000000002E-2</v>
          </cell>
          <cell r="M23">
            <v>2.1755E-2</v>
          </cell>
        </row>
        <row r="24">
          <cell r="A24">
            <v>1968</v>
          </cell>
          <cell r="B24">
            <v>2.1895000000000001E-2</v>
          </cell>
          <cell r="C24">
            <v>2.1895000000000001E-2</v>
          </cell>
          <cell r="D24">
            <v>2.2075999999999998E-2</v>
          </cell>
          <cell r="E24">
            <v>2.2242000000000001E-2</v>
          </cell>
          <cell r="F24">
            <v>2.2408000000000001E-2</v>
          </cell>
          <cell r="G24">
            <v>2.2228000000000001E-2</v>
          </cell>
          <cell r="H24">
            <v>2.2172000000000001E-2</v>
          </cell>
          <cell r="I24">
            <v>2.2283000000000001E-2</v>
          </cell>
          <cell r="J24">
            <v>2.2353000000000001E-2</v>
          </cell>
          <cell r="K24">
            <v>2.2283000000000001E-2</v>
          </cell>
          <cell r="L24">
            <v>2.2325000000000001E-2</v>
          </cell>
          <cell r="M24">
            <v>2.2283000000000001E-2</v>
          </cell>
        </row>
        <row r="25">
          <cell r="A25">
            <v>1969</v>
          </cell>
          <cell r="B25">
            <v>2.2381000000000002E-2</v>
          </cell>
          <cell r="C25">
            <v>2.2461999999999999E-2</v>
          </cell>
          <cell r="D25">
            <v>2.2484000000000001E-2</v>
          </cell>
          <cell r="E25">
            <v>2.2544999999999999E-2</v>
          </cell>
          <cell r="F25">
            <v>2.2544999999999999E-2</v>
          </cell>
          <cell r="G25">
            <v>2.2624999999999999E-2</v>
          </cell>
          <cell r="H25">
            <v>2.2710999999999999E-2</v>
          </cell>
          <cell r="I25">
            <v>2.2735999999999999E-2</v>
          </cell>
          <cell r="J25">
            <v>2.2949000000000001E-2</v>
          </cell>
          <cell r="K25">
            <v>2.3189999999999999E-2</v>
          </cell>
          <cell r="L25">
            <v>2.3192999999999998E-2</v>
          </cell>
          <cell r="M25">
            <v>2.3368E-2</v>
          </cell>
        </row>
        <row r="26">
          <cell r="A26">
            <v>1970</v>
          </cell>
          <cell r="B26">
            <v>2.3545E-2</v>
          </cell>
          <cell r="C26">
            <v>2.3542E-2</v>
          </cell>
          <cell r="D26">
            <v>2.3612000000000001E-2</v>
          </cell>
          <cell r="E26">
            <v>2.3642E-2</v>
          </cell>
          <cell r="F26">
            <v>2.3692000000000001E-2</v>
          </cell>
          <cell r="G26">
            <v>2.3836E-2</v>
          </cell>
          <cell r="H26">
            <v>2.3952000000000001E-2</v>
          </cell>
          <cell r="I26">
            <v>2.4063000000000001E-2</v>
          </cell>
          <cell r="J26">
            <v>2.4121E-2</v>
          </cell>
          <cell r="K26">
            <v>2.4129999999999999E-2</v>
          </cell>
          <cell r="L26">
            <v>2.426E-2</v>
          </cell>
          <cell r="M26">
            <v>2.4465000000000001E-2</v>
          </cell>
        </row>
        <row r="27">
          <cell r="A27">
            <v>1971</v>
          </cell>
          <cell r="B27">
            <v>2.4705999999999999E-2</v>
          </cell>
          <cell r="C27">
            <v>2.4808E-2</v>
          </cell>
          <cell r="D27">
            <v>2.4902000000000001E-2</v>
          </cell>
          <cell r="E27">
            <v>2.503E-2</v>
          </cell>
          <cell r="F27">
            <v>2.5083000000000001E-2</v>
          </cell>
          <cell r="G27">
            <v>2.5196E-2</v>
          </cell>
          <cell r="H27">
            <v>2.5177000000000001E-2</v>
          </cell>
          <cell r="I27">
            <v>2.5406999999999999E-2</v>
          </cell>
          <cell r="J27">
            <v>2.5489999999999999E-2</v>
          </cell>
          <cell r="K27">
            <v>2.5514999999999999E-2</v>
          </cell>
          <cell r="L27">
            <v>2.5555999999999999E-2</v>
          </cell>
          <cell r="M27">
            <v>2.5677999999999999E-2</v>
          </cell>
        </row>
        <row r="28">
          <cell r="A28">
            <v>1972</v>
          </cell>
          <cell r="B28">
            <v>2.5791999999999999E-2</v>
          </cell>
          <cell r="C28">
            <v>2.5871999999999999E-2</v>
          </cell>
          <cell r="D28">
            <v>2.6013000000000001E-2</v>
          </cell>
          <cell r="E28">
            <v>2.6176999999999999E-2</v>
          </cell>
          <cell r="F28">
            <v>2.6228999999999999E-2</v>
          </cell>
          <cell r="G28">
            <v>2.6422999999999999E-2</v>
          </cell>
          <cell r="H28">
            <v>2.6523000000000001E-2</v>
          </cell>
          <cell r="I28">
            <v>2.6698E-2</v>
          </cell>
          <cell r="J28">
            <v>2.682E-2</v>
          </cell>
          <cell r="K28">
            <v>2.6838999999999998E-2</v>
          </cell>
          <cell r="L28">
            <v>2.7012999999999999E-2</v>
          </cell>
          <cell r="M28">
            <v>2.7105000000000001E-2</v>
          </cell>
        </row>
        <row r="29">
          <cell r="A29">
            <v>1973</v>
          </cell>
          <cell r="B29">
            <v>2.7498000000000002E-2</v>
          </cell>
          <cell r="C29">
            <v>2.7725E-2</v>
          </cell>
          <cell r="D29">
            <v>2.7969000000000001E-2</v>
          </cell>
          <cell r="E29">
            <v>2.8412E-2</v>
          </cell>
          <cell r="F29">
            <v>2.8714E-2</v>
          </cell>
          <cell r="G29">
            <v>2.895E-2</v>
          </cell>
          <cell r="H29">
            <v>2.9692E-2</v>
          </cell>
          <cell r="I29">
            <v>3.0169000000000001E-2</v>
          </cell>
          <cell r="J29">
            <v>3.0886E-2</v>
          </cell>
          <cell r="K29">
            <v>3.1282999999999998E-2</v>
          </cell>
          <cell r="L29">
            <v>3.1668000000000002E-2</v>
          </cell>
          <cell r="M29">
            <v>3.2897999999999997E-2</v>
          </cell>
        </row>
        <row r="30">
          <cell r="A30">
            <v>1974</v>
          </cell>
          <cell r="B30">
            <v>3.4075000000000001E-2</v>
          </cell>
          <cell r="C30">
            <v>3.4845000000000001E-2</v>
          </cell>
          <cell r="D30">
            <v>3.5113999999999999E-2</v>
          </cell>
          <cell r="E30">
            <v>3.5589999999999997E-2</v>
          </cell>
          <cell r="F30">
            <v>3.5869999999999999E-2</v>
          </cell>
          <cell r="G30">
            <v>3.6225E-2</v>
          </cell>
          <cell r="H30">
            <v>3.6748000000000003E-2</v>
          </cell>
          <cell r="I30">
            <v>3.7136000000000002E-2</v>
          </cell>
          <cell r="J30">
            <v>3.7557E-2</v>
          </cell>
          <cell r="K30">
            <v>3.8302999999999997E-2</v>
          </cell>
          <cell r="L30">
            <v>3.9365999999999998E-2</v>
          </cell>
          <cell r="M30">
            <v>3.9674000000000001E-2</v>
          </cell>
        </row>
        <row r="31">
          <cell r="A31">
            <v>1975</v>
          </cell>
          <cell r="B31">
            <v>4.0181000000000001E-2</v>
          </cell>
          <cell r="C31">
            <v>4.0402E-2</v>
          </cell>
          <cell r="D31">
            <v>4.0656999999999999E-2</v>
          </cell>
          <cell r="E31">
            <v>4.1001000000000003E-2</v>
          </cell>
          <cell r="F31">
            <v>4.1549000000000003E-2</v>
          </cell>
          <cell r="G31">
            <v>4.2256000000000002E-2</v>
          </cell>
          <cell r="H31">
            <v>4.2594E-2</v>
          </cell>
          <cell r="I31">
            <v>4.2962E-2</v>
          </cell>
          <cell r="J31">
            <v>4.3275000000000001E-2</v>
          </cell>
          <cell r="K31">
            <v>4.3497000000000001E-2</v>
          </cell>
          <cell r="L31">
            <v>4.3802000000000001E-2</v>
          </cell>
          <cell r="M31">
            <v>4.4158999999999997E-2</v>
          </cell>
        </row>
        <row r="32">
          <cell r="A32">
            <v>1976</v>
          </cell>
          <cell r="B32">
            <v>4.5012000000000003E-2</v>
          </cell>
          <cell r="C32">
            <v>4.5853999999999999E-2</v>
          </cell>
          <cell r="D32">
            <v>4.6302999999999997E-2</v>
          </cell>
          <cell r="E32">
            <v>4.6627000000000002E-2</v>
          </cell>
          <cell r="F32">
            <v>4.6954000000000003E-2</v>
          </cell>
          <cell r="G32">
            <v>4.7142999999999997E-2</v>
          </cell>
          <cell r="H32">
            <v>4.7542000000000001E-2</v>
          </cell>
          <cell r="I32">
            <v>4.7995999999999997E-2</v>
          </cell>
          <cell r="J32">
            <v>4.9632999999999997E-2</v>
          </cell>
          <cell r="K32">
            <v>5.2428000000000002E-2</v>
          </cell>
          <cell r="L32">
            <v>5.4796999999999998E-2</v>
          </cell>
          <cell r="M32">
            <v>5.6170999999999999E-2</v>
          </cell>
        </row>
        <row r="33">
          <cell r="A33">
            <v>1977</v>
          </cell>
          <cell r="B33">
            <v>5.7960999999999999E-2</v>
          </cell>
          <cell r="C33">
            <v>5.9241000000000002E-2</v>
          </cell>
          <cell r="D33">
            <v>6.0274000000000001E-2</v>
          </cell>
          <cell r="E33">
            <v>6.1185000000000003E-2</v>
          </cell>
          <cell r="F33">
            <v>6.1723E-2</v>
          </cell>
          <cell r="G33">
            <v>6.2479E-2</v>
          </cell>
          <cell r="H33">
            <v>6.3186000000000006E-2</v>
          </cell>
          <cell r="I33">
            <v>6.4481999999999998E-2</v>
          </cell>
          <cell r="J33">
            <v>6.5626000000000004E-2</v>
          </cell>
          <cell r="K33">
            <v>6.6128000000000006E-2</v>
          </cell>
          <cell r="L33">
            <v>6.6850999999999994E-2</v>
          </cell>
          <cell r="M33">
            <v>6.7776000000000003E-2</v>
          </cell>
        </row>
        <row r="34">
          <cell r="A34">
            <v>1978</v>
          </cell>
          <cell r="B34">
            <v>6.9282999999999997E-2</v>
          </cell>
          <cell r="C34">
            <v>7.0277999999999993E-2</v>
          </cell>
          <cell r="D34">
            <v>7.1009000000000003E-2</v>
          </cell>
          <cell r="E34">
            <v>7.1799000000000002E-2</v>
          </cell>
          <cell r="F34">
            <v>7.2501999999999997E-2</v>
          </cell>
          <cell r="G34">
            <v>7.3499999999999996E-2</v>
          </cell>
          <cell r="H34">
            <v>7.4746000000000007E-2</v>
          </cell>
          <cell r="I34">
            <v>7.5491000000000003E-2</v>
          </cell>
          <cell r="J34">
            <v>7.6353000000000004E-2</v>
          </cell>
          <cell r="K34">
            <v>7.7277999999999999E-2</v>
          </cell>
          <cell r="L34">
            <v>7.8073000000000004E-2</v>
          </cell>
          <cell r="M34">
            <v>7.8736E-2</v>
          </cell>
        </row>
        <row r="35">
          <cell r="A35">
            <v>1979</v>
          </cell>
          <cell r="B35">
            <v>8.1531000000000006E-2</v>
          </cell>
          <cell r="C35">
            <v>8.2702999999999999E-2</v>
          </cell>
          <cell r="D35">
            <v>8.3824999999999997E-2</v>
          </cell>
          <cell r="E35">
            <v>8.4574999999999997E-2</v>
          </cell>
          <cell r="F35">
            <v>8.5683999999999996E-2</v>
          </cell>
          <cell r="G35">
            <v>8.6634000000000003E-2</v>
          </cell>
          <cell r="H35">
            <v>8.7683999999999998E-2</v>
          </cell>
          <cell r="I35">
            <v>8.9011000000000007E-2</v>
          </cell>
          <cell r="J35">
            <v>9.0102000000000002E-2</v>
          </cell>
          <cell r="K35">
            <v>9.1675999999999994E-2</v>
          </cell>
          <cell r="L35">
            <v>9.2855999999999994E-2</v>
          </cell>
          <cell r="M35">
            <v>9.4499E-2</v>
          </cell>
        </row>
        <row r="36">
          <cell r="A36">
            <v>1980</v>
          </cell>
          <cell r="B36">
            <v>9.9106E-2</v>
          </cell>
          <cell r="C36">
            <v>0.1014</v>
          </cell>
          <cell r="D36">
            <v>0.10348</v>
          </cell>
          <cell r="E36">
            <v>0.10528999999999999</v>
          </cell>
          <cell r="F36">
            <v>0.10700999999999999</v>
          </cell>
          <cell r="G36">
            <v>0.10913</v>
          </cell>
          <cell r="H36">
            <v>0.11218</v>
          </cell>
          <cell r="I36">
            <v>0.1145</v>
          </cell>
          <cell r="J36">
            <v>0.11577</v>
          </cell>
          <cell r="K36">
            <v>0.11753</v>
          </cell>
          <cell r="L36">
            <v>0.11957</v>
          </cell>
          <cell r="M36">
            <v>0.1227</v>
          </cell>
        </row>
        <row r="37">
          <cell r="A37">
            <v>1981</v>
          </cell>
          <cell r="B37">
            <v>0.12665999999999999</v>
          </cell>
          <cell r="C37">
            <v>0.12977</v>
          </cell>
          <cell r="D37">
            <v>0.13253999999999999</v>
          </cell>
          <cell r="E37">
            <v>0.13553000000000001</v>
          </cell>
          <cell r="F37">
            <v>0.13758000000000001</v>
          </cell>
          <cell r="G37">
            <v>0.13951</v>
          </cell>
          <cell r="H37">
            <v>0.14196</v>
          </cell>
          <cell r="I37">
            <v>0.14488999999999999</v>
          </cell>
          <cell r="J37">
            <v>0.14757999999999999</v>
          </cell>
          <cell r="K37">
            <v>0.15085999999999999</v>
          </cell>
          <cell r="L37">
            <v>0.15376000000000001</v>
          </cell>
          <cell r="M37">
            <v>0.15790000000000001</v>
          </cell>
        </row>
        <row r="38">
          <cell r="A38">
            <v>1982</v>
          </cell>
          <cell r="B38">
            <v>0.16575000000000001</v>
          </cell>
          <cell r="C38">
            <v>0.17226</v>
          </cell>
          <cell r="D38">
            <v>0.17854999999999999</v>
          </cell>
          <cell r="E38">
            <v>0.18823000000000001</v>
          </cell>
          <cell r="F38">
            <v>0.19880999999999999</v>
          </cell>
          <cell r="G38">
            <v>0.20838000000000001</v>
          </cell>
          <cell r="H38">
            <v>0.21912000000000001</v>
          </cell>
          <cell r="I38">
            <v>0.24371000000000001</v>
          </cell>
          <cell r="J38">
            <v>0.25672</v>
          </cell>
          <cell r="K38">
            <v>0.27002999999999999</v>
          </cell>
          <cell r="L38">
            <v>0.28367999999999999</v>
          </cell>
          <cell r="M38">
            <v>0.31397999999999998</v>
          </cell>
        </row>
        <row r="39">
          <cell r="A39">
            <v>1983</v>
          </cell>
          <cell r="B39">
            <v>0.34814000000000001</v>
          </cell>
          <cell r="C39">
            <v>0.36681999999999998</v>
          </cell>
          <cell r="D39">
            <v>0.38457999999999998</v>
          </cell>
          <cell r="E39">
            <v>0.40893000000000002</v>
          </cell>
          <cell r="F39">
            <v>0.42665999999999998</v>
          </cell>
          <cell r="G39">
            <v>0.44281999999999999</v>
          </cell>
          <cell r="H39">
            <v>0.46471000000000001</v>
          </cell>
          <cell r="I39">
            <v>0.48275000000000001</v>
          </cell>
          <cell r="J39">
            <v>0.49761</v>
          </cell>
          <cell r="K39">
            <v>0.51412000000000002</v>
          </cell>
          <cell r="L39">
            <v>0.54430999999999996</v>
          </cell>
          <cell r="M39">
            <v>0.56759999999999999</v>
          </cell>
        </row>
        <row r="40">
          <cell r="A40">
            <v>1984</v>
          </cell>
          <cell r="B40">
            <v>0.60365999999999997</v>
          </cell>
          <cell r="C40">
            <v>0.63551999999999997</v>
          </cell>
          <cell r="D40">
            <v>0.66268000000000005</v>
          </cell>
          <cell r="E40">
            <v>0.69135000000000002</v>
          </cell>
          <cell r="F40">
            <v>0.71426999999999996</v>
          </cell>
          <cell r="G40">
            <v>0.74012</v>
          </cell>
          <cell r="H40">
            <v>0.76437999999999995</v>
          </cell>
          <cell r="I40">
            <v>0.78610999999999998</v>
          </cell>
          <cell r="J40">
            <v>0.80952999999999997</v>
          </cell>
          <cell r="K40">
            <v>0.83781000000000005</v>
          </cell>
          <cell r="L40">
            <v>0.86656999999999995</v>
          </cell>
          <cell r="M40">
            <v>0.90337000000000001</v>
          </cell>
        </row>
        <row r="41">
          <cell r="A41">
            <v>1985</v>
          </cell>
          <cell r="B41">
            <v>0.97038000000000002</v>
          </cell>
          <cell r="C41">
            <v>1.0106999999999999</v>
          </cell>
          <cell r="D41">
            <v>1.0499000000000001</v>
          </cell>
          <cell r="E41">
            <v>1.0822000000000001</v>
          </cell>
          <cell r="F41">
            <v>1.1077999999999999</v>
          </cell>
          <cell r="G41">
            <v>1.1355</v>
          </cell>
          <cell r="H41">
            <v>1.1751</v>
          </cell>
          <cell r="I41">
            <v>1.2264999999999999</v>
          </cell>
          <cell r="J41">
            <v>1.2754000000000001</v>
          </cell>
          <cell r="K41">
            <v>1.3239000000000001</v>
          </cell>
          <cell r="L41">
            <v>1.385</v>
          </cell>
          <cell r="M41">
            <v>1.4793000000000001</v>
          </cell>
        </row>
        <row r="42">
          <cell r="A42">
            <v>1986</v>
          </cell>
          <cell r="B42">
            <v>1.61</v>
          </cell>
          <cell r="C42">
            <v>1.6816</v>
          </cell>
          <cell r="D42">
            <v>1.7598</v>
          </cell>
          <cell r="E42">
            <v>1.8516999999999999</v>
          </cell>
          <cell r="F42">
            <v>1.9545999999999999</v>
          </cell>
          <cell r="G42">
            <v>2.08</v>
          </cell>
          <cell r="H42">
            <v>2.1838000000000002</v>
          </cell>
          <cell r="I42">
            <v>2.3578999999999999</v>
          </cell>
          <cell r="J42">
            <v>2.4994000000000001</v>
          </cell>
          <cell r="K42">
            <v>2.6421999999999999</v>
          </cell>
          <cell r="L42">
            <v>2.8208000000000002</v>
          </cell>
          <cell r="M42">
            <v>3.0436000000000001</v>
          </cell>
        </row>
        <row r="43">
          <cell r="A43">
            <v>1987</v>
          </cell>
          <cell r="B43">
            <v>3.29</v>
          </cell>
          <cell r="C43">
            <v>3.5274000000000001</v>
          </cell>
          <cell r="D43">
            <v>3.7605</v>
          </cell>
          <cell r="E43">
            <v>4.0895000000000001</v>
          </cell>
          <cell r="F43">
            <v>4.3978000000000002</v>
          </cell>
          <cell r="G43">
            <v>4.7160000000000002</v>
          </cell>
          <cell r="H43">
            <v>5.0979999999999999</v>
          </cell>
          <cell r="I43">
            <v>5.5145999999999997</v>
          </cell>
          <cell r="J43">
            <v>5.8779000000000003</v>
          </cell>
          <cell r="K43">
            <v>6.3677999999999999</v>
          </cell>
          <cell r="L43">
            <v>6.8727999999999998</v>
          </cell>
          <cell r="M43">
            <v>7.8879999999999999</v>
          </cell>
        </row>
        <row r="44">
          <cell r="A44">
            <v>1988</v>
          </cell>
          <cell r="B44">
            <v>9.1075999999999997</v>
          </cell>
          <cell r="C44">
            <v>9.8673000000000002</v>
          </cell>
          <cell r="D44">
            <v>10.372999999999999</v>
          </cell>
          <cell r="E44">
            <v>10.692</v>
          </cell>
          <cell r="F44">
            <v>10.898999999999999</v>
          </cell>
          <cell r="G44">
            <v>11.121</v>
          </cell>
          <cell r="H44">
            <v>11.307</v>
          </cell>
          <cell r="I44">
            <v>11.411</v>
          </cell>
          <cell r="J44">
            <v>11.476000000000001</v>
          </cell>
          <cell r="K44">
            <v>11.563000000000001</v>
          </cell>
          <cell r="L44">
            <v>11.718</v>
          </cell>
          <cell r="M44">
            <v>11.962999999999999</v>
          </cell>
        </row>
        <row r="45">
          <cell r="A45">
            <v>1989</v>
          </cell>
          <cell r="B45">
            <v>12.256</v>
          </cell>
          <cell r="C45">
            <v>12.422000000000001</v>
          </cell>
          <cell r="D45">
            <v>12.555999999999999</v>
          </cell>
          <cell r="E45">
            <v>12.744</v>
          </cell>
          <cell r="F45">
            <v>12.92</v>
          </cell>
          <cell r="G45">
            <v>13.077</v>
          </cell>
          <cell r="H45">
            <v>13.207000000000001</v>
          </cell>
          <cell r="I45">
            <v>13.333</v>
          </cell>
          <cell r="J45">
            <v>13.461</v>
          </cell>
          <cell r="K45">
            <v>13.66</v>
          </cell>
          <cell r="L45">
            <v>13.852</v>
          </cell>
          <cell r="M45">
            <v>14.319000000000001</v>
          </cell>
        </row>
        <row r="46">
          <cell r="A46">
            <v>1990</v>
          </cell>
          <cell r="B46">
            <v>15.01</v>
          </cell>
          <cell r="C46">
            <v>15.35</v>
          </cell>
          <cell r="D46">
            <v>15.621</v>
          </cell>
          <cell r="E46">
            <v>15.858000000000001</v>
          </cell>
          <cell r="F46">
            <v>16.135000000000002</v>
          </cell>
          <cell r="G46">
            <v>16.489999999999998</v>
          </cell>
          <cell r="H46">
            <v>16.791</v>
          </cell>
          <cell r="I46">
            <v>17.077000000000002</v>
          </cell>
          <cell r="J46">
            <v>17.321000000000002</v>
          </cell>
          <cell r="K46">
            <v>17.57</v>
          </cell>
          <cell r="L46">
            <v>18.036000000000001</v>
          </cell>
          <cell r="M46">
            <v>18.605</v>
          </cell>
        </row>
        <row r="47">
          <cell r="A47">
            <v>1991</v>
          </cell>
          <cell r="B47">
            <v>19.079000000000001</v>
          </cell>
          <cell r="C47">
            <v>19.411999999999999</v>
          </cell>
          <cell r="D47">
            <v>19.689</v>
          </cell>
          <cell r="E47">
            <v>19.895</v>
          </cell>
          <cell r="F47">
            <v>20.088999999999999</v>
          </cell>
          <cell r="G47">
            <v>20.3</v>
          </cell>
          <cell r="H47">
            <v>20.48</v>
          </cell>
          <cell r="I47">
            <v>20.622</v>
          </cell>
          <cell r="J47">
            <v>20.827999999999999</v>
          </cell>
          <cell r="K47">
            <v>21.07</v>
          </cell>
          <cell r="L47">
            <v>21.593</v>
          </cell>
          <cell r="M47">
            <v>22.100999999999999</v>
          </cell>
        </row>
        <row r="48">
          <cell r="A48">
            <v>1992</v>
          </cell>
          <cell r="B48">
            <v>22.503</v>
          </cell>
          <cell r="C48">
            <v>22.77</v>
          </cell>
          <cell r="D48">
            <v>23.001000000000001</v>
          </cell>
          <cell r="E48">
            <v>23.206</v>
          </cell>
          <cell r="F48">
            <v>23.359000000000002</v>
          </cell>
          <cell r="G48">
            <v>23.516999999999999</v>
          </cell>
          <cell r="H48">
            <v>23.666</v>
          </cell>
          <cell r="I48">
            <v>23.811</v>
          </cell>
          <cell r="J48">
            <v>24.018000000000001</v>
          </cell>
          <cell r="K48">
            <v>24.190999999999999</v>
          </cell>
          <cell r="L48">
            <v>24.391999999999999</v>
          </cell>
          <cell r="M48">
            <v>24.74</v>
          </cell>
        </row>
        <row r="49">
          <cell r="A49">
            <v>1993</v>
          </cell>
          <cell r="B49">
            <v>25.05</v>
          </cell>
          <cell r="C49">
            <v>25.254999999999999</v>
          </cell>
          <cell r="D49">
            <v>25.402000000000001</v>
          </cell>
          <cell r="E49">
            <v>25.547999999999998</v>
          </cell>
          <cell r="F49">
            <v>25.693999999999999</v>
          </cell>
          <cell r="G49">
            <v>25.838999999999999</v>
          </cell>
          <cell r="H49">
            <v>25.963000000000001</v>
          </cell>
          <cell r="I49">
            <v>26.102</v>
          </cell>
          <cell r="J49">
            <v>26.295000000000002</v>
          </cell>
          <cell r="K49">
            <v>26.402999999999999</v>
          </cell>
          <cell r="L49">
            <v>26.518999999999998</v>
          </cell>
          <cell r="M49">
            <v>26.721</v>
          </cell>
        </row>
        <row r="50">
          <cell r="A50">
            <v>1994</v>
          </cell>
          <cell r="B50">
            <v>26.928000000000001</v>
          </cell>
          <cell r="C50">
            <v>27.067</v>
          </cell>
          <cell r="D50">
            <v>27.206</v>
          </cell>
          <cell r="E50">
            <v>27.338999999999999</v>
          </cell>
          <cell r="F50">
            <v>27.471</v>
          </cell>
          <cell r="G50">
            <v>27.609000000000002</v>
          </cell>
          <cell r="H50">
            <v>27.731000000000002</v>
          </cell>
          <cell r="I50">
            <v>27.861000000000001</v>
          </cell>
          <cell r="J50">
            <v>28.059000000000001</v>
          </cell>
          <cell r="K50">
            <v>28.206</v>
          </cell>
          <cell r="L50">
            <v>28.356999999999999</v>
          </cell>
          <cell r="M50">
            <v>28.605</v>
          </cell>
        </row>
        <row r="51">
          <cell r="A51">
            <v>1995</v>
          </cell>
          <cell r="B51">
            <v>29.681999999999999</v>
          </cell>
          <cell r="C51">
            <v>30.94</v>
          </cell>
          <cell r="D51">
            <v>32.764000000000003</v>
          </cell>
          <cell r="E51">
            <v>35.375</v>
          </cell>
          <cell r="F51">
            <v>36.853000000000002</v>
          </cell>
          <cell r="G51">
            <v>38.023000000000003</v>
          </cell>
          <cell r="H51">
            <v>38.798000000000002</v>
          </cell>
          <cell r="I51">
            <v>39.442</v>
          </cell>
          <cell r="J51">
            <v>40.258000000000003</v>
          </cell>
          <cell r="K51">
            <v>41.085999999999999</v>
          </cell>
          <cell r="L51">
            <v>42.098999999999997</v>
          </cell>
          <cell r="M51">
            <v>43.470999999999997</v>
          </cell>
        </row>
        <row r="52">
          <cell r="A52">
            <v>1996</v>
          </cell>
          <cell r="B52">
            <v>45.033000000000001</v>
          </cell>
          <cell r="C52">
            <v>46.084000000000003</v>
          </cell>
          <cell r="D52">
            <v>47.098999999999997</v>
          </cell>
          <cell r="E52">
            <v>48.438000000000002</v>
          </cell>
          <cell r="F52">
            <v>49.320999999999998</v>
          </cell>
          <cell r="G52">
            <v>50.124000000000002</v>
          </cell>
          <cell r="H52">
            <v>50.835999999999999</v>
          </cell>
          <cell r="I52">
            <v>51.512</v>
          </cell>
          <cell r="J52">
            <v>52.335999999999999</v>
          </cell>
          <cell r="K52">
            <v>52.988999999999997</v>
          </cell>
          <cell r="L52">
            <v>53.792000000000002</v>
          </cell>
          <cell r="M52">
            <v>55.514000000000003</v>
          </cell>
        </row>
        <row r="53">
          <cell r="A53">
            <v>1997</v>
          </cell>
          <cell r="B53">
            <v>56.942</v>
          </cell>
          <cell r="C53">
            <v>57.898000000000003</v>
          </cell>
          <cell r="D53">
            <v>58.619</v>
          </cell>
          <cell r="E53">
            <v>59.252000000000002</v>
          </cell>
          <cell r="F53">
            <v>59.792999999999999</v>
          </cell>
          <cell r="G53">
            <v>60.323999999999998</v>
          </cell>
          <cell r="H53">
            <v>60.848999999999997</v>
          </cell>
          <cell r="I53">
            <v>61.39</v>
          </cell>
          <cell r="J53">
            <v>62.155000000000001</v>
          </cell>
          <cell r="K53">
            <v>62.652000000000001</v>
          </cell>
          <cell r="L53">
            <v>63.351999999999997</v>
          </cell>
          <cell r="M53">
            <v>64.239999999999995</v>
          </cell>
        </row>
        <row r="54">
          <cell r="A54">
            <v>1998</v>
          </cell>
          <cell r="B54">
            <v>65.638000000000005</v>
          </cell>
          <cell r="C54">
            <v>66.787000000000006</v>
          </cell>
          <cell r="D54">
            <v>67.569000000000003</v>
          </cell>
          <cell r="E54">
            <v>68.200999999999993</v>
          </cell>
          <cell r="F54">
            <v>68.745000000000005</v>
          </cell>
          <cell r="G54">
            <v>69.557000000000002</v>
          </cell>
          <cell r="H54">
            <v>70.227999999999994</v>
          </cell>
          <cell r="I54">
            <v>70.903000000000006</v>
          </cell>
          <cell r="J54">
            <v>72.052999999999997</v>
          </cell>
          <cell r="K54">
            <v>73.084999999999994</v>
          </cell>
          <cell r="L54">
            <v>74.38</v>
          </cell>
          <cell r="M54">
            <v>76.194999999999993</v>
          </cell>
        </row>
        <row r="55">
          <cell r="A55">
            <v>1999</v>
          </cell>
          <cell r="B55">
            <v>78.119</v>
          </cell>
          <cell r="C55">
            <v>79.168999999999997</v>
          </cell>
          <cell r="D55">
            <v>79.903999999999996</v>
          </cell>
          <cell r="E55">
            <v>80.637</v>
          </cell>
          <cell r="F55">
            <v>81.122</v>
          </cell>
          <cell r="G55">
            <v>81.655000000000001</v>
          </cell>
          <cell r="H55">
            <v>82.194999999999993</v>
          </cell>
          <cell r="I55">
            <v>82.658000000000001</v>
          </cell>
          <cell r="J55">
            <v>83.456000000000003</v>
          </cell>
          <cell r="K55">
            <v>83.984999999999999</v>
          </cell>
          <cell r="L55">
            <v>84.731999999999999</v>
          </cell>
          <cell r="M55">
            <v>85.581000000000003</v>
          </cell>
        </row>
        <row r="56">
          <cell r="A56">
            <v>2000</v>
          </cell>
          <cell r="B56">
            <v>86.73</v>
          </cell>
          <cell r="C56">
            <v>87.498999999999995</v>
          </cell>
          <cell r="D56">
            <v>87.983999999999995</v>
          </cell>
          <cell r="E56">
            <v>88.484999999999999</v>
          </cell>
          <cell r="F56">
            <v>88.816000000000003</v>
          </cell>
          <cell r="G56">
            <v>89.341999999999999</v>
          </cell>
          <cell r="H56">
            <v>89.69</v>
          </cell>
          <cell r="I56">
            <v>90.183000000000007</v>
          </cell>
          <cell r="J56">
            <v>90.841999999999999</v>
          </cell>
          <cell r="K56">
            <v>91.466999999999999</v>
          </cell>
          <cell r="L56">
            <v>92.248999999999995</v>
          </cell>
          <cell r="M56">
            <v>93.248000000000005</v>
          </cell>
        </row>
        <row r="57">
          <cell r="A57">
            <v>2001</v>
          </cell>
          <cell r="B57">
            <v>93.765000000000001</v>
          </cell>
          <cell r="C57">
            <v>93.703000000000003</v>
          </cell>
          <cell r="D57">
            <v>94.296999999999997</v>
          </cell>
          <cell r="E57">
            <v>94.772000000000006</v>
          </cell>
          <cell r="F57">
            <v>94.99</v>
          </cell>
          <cell r="G57">
            <v>95.215000000000003</v>
          </cell>
          <cell r="H57">
            <v>94.966999999999999</v>
          </cell>
          <cell r="I57">
            <v>95.53</v>
          </cell>
          <cell r="J57">
            <v>96.418999999999997</v>
          </cell>
          <cell r="K57">
            <v>96.855000000000004</v>
          </cell>
          <cell r="L57">
            <v>97.22</v>
          </cell>
          <cell r="M57">
            <v>97.353999999999999</v>
          </cell>
        </row>
        <row r="58">
          <cell r="A58">
            <v>2002</v>
          </cell>
          <cell r="B58">
            <v>98.253</v>
          </cell>
          <cell r="C58">
            <v>98.19</v>
          </cell>
          <cell r="D58">
            <v>98.691999999999993</v>
          </cell>
          <cell r="E58">
            <v>99.230999999999995</v>
          </cell>
          <cell r="F58">
            <v>99.432000000000002</v>
          </cell>
          <cell r="G58">
            <v>99.917000000000002</v>
          </cell>
          <cell r="H58">
            <v>100.20399999999999</v>
          </cell>
          <cell r="I58">
            <v>100.58499999999999</v>
          </cell>
          <cell r="J58">
            <v>101.19</v>
          </cell>
          <cell r="K58">
            <v>101.636</v>
          </cell>
          <cell r="L58">
            <v>102.458</v>
          </cell>
          <cell r="M58">
            <v>102.90389999999999</v>
          </cell>
        </row>
        <row r="59">
          <cell r="A59">
            <v>2003</v>
          </cell>
          <cell r="B59">
            <v>103.32</v>
          </cell>
          <cell r="C59">
            <v>103.607</v>
          </cell>
          <cell r="D59">
            <v>104.261</v>
          </cell>
          <cell r="E59">
            <v>104.43899999999999</v>
          </cell>
          <cell r="F59">
            <v>104.102</v>
          </cell>
          <cell r="G59">
            <v>104.188</v>
          </cell>
          <cell r="H59">
            <v>104.339</v>
          </cell>
          <cell r="I59">
            <v>104.652</v>
          </cell>
          <cell r="J59">
            <v>105.27500000000001</v>
          </cell>
          <cell r="K59">
            <v>105.661</v>
          </cell>
          <cell r="L59">
            <v>106.538</v>
          </cell>
          <cell r="M59">
            <v>106.996</v>
          </cell>
        </row>
        <row r="60">
          <cell r="A60">
            <v>2004</v>
          </cell>
          <cell r="B60">
            <v>107.661</v>
          </cell>
          <cell r="C60">
            <v>108.30500000000001</v>
          </cell>
          <cell r="D60">
            <v>108.672</v>
          </cell>
          <cell r="E60">
            <v>108.836</v>
          </cell>
          <cell r="F60">
            <v>108.563</v>
          </cell>
          <cell r="G60">
            <v>108.73699999999999</v>
          </cell>
          <cell r="H60">
            <v>109.02200000000001</v>
          </cell>
          <cell r="I60">
            <v>109.69499999999999</v>
          </cell>
          <cell r="J60">
            <v>110.602</v>
          </cell>
          <cell r="K60">
            <v>111.36799999999999</v>
          </cell>
          <cell r="L60">
            <v>112.318</v>
          </cell>
          <cell r="M60">
            <v>112.55</v>
          </cell>
        </row>
        <row r="61">
          <cell r="A61">
            <v>2005</v>
          </cell>
          <cell r="B61">
            <v>112.554</v>
          </cell>
          <cell r="C61">
            <v>112.929</v>
          </cell>
          <cell r="D61">
            <v>113.438</v>
          </cell>
          <cell r="E61">
            <v>113.842</v>
          </cell>
          <cell r="F61">
            <v>113.556</v>
          </cell>
          <cell r="G61">
            <v>113.447</v>
          </cell>
          <cell r="H61">
            <v>113.89100000000001</v>
          </cell>
          <cell r="I61">
            <v>114.027</v>
          </cell>
          <cell r="J61">
            <v>114.48399999999999</v>
          </cell>
          <cell r="K61">
            <v>114.765</v>
          </cell>
          <cell r="L61">
            <v>115.59099999999999</v>
          </cell>
          <cell r="M61">
            <v>116.301</v>
          </cell>
        </row>
        <row r="62">
          <cell r="A62">
            <v>2006</v>
          </cell>
          <cell r="B62">
            <v>116.983</v>
          </cell>
          <cell r="C62">
            <v>117.16200000000001</v>
          </cell>
          <cell r="D62">
            <v>117.309</v>
          </cell>
          <cell r="E62">
            <v>117.48099999999999</v>
          </cell>
          <cell r="F62">
            <v>116.958</v>
          </cell>
          <cell r="G62">
            <v>117.059</v>
          </cell>
          <cell r="H62">
            <v>117.38</v>
          </cell>
          <cell r="I62">
            <v>117.979</v>
          </cell>
          <cell r="J62">
            <v>119.17</v>
          </cell>
          <cell r="K62">
            <v>119.691</v>
          </cell>
          <cell r="L62">
            <v>120.319</v>
          </cell>
          <cell r="M62">
            <v>121.015</v>
          </cell>
        </row>
        <row r="63">
          <cell r="A63">
            <v>2007</v>
          </cell>
        </row>
        <row r="64">
          <cell r="A64">
            <v>2008</v>
          </cell>
        </row>
        <row r="65">
          <cell r="A65">
            <v>2009</v>
          </cell>
        </row>
        <row r="66">
          <cell r="A66">
            <v>2010</v>
          </cell>
        </row>
        <row r="67">
          <cell r="A67">
            <v>2011</v>
          </cell>
        </row>
        <row r="68">
          <cell r="A68">
            <v>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PRECIACION"/>
      <sheetName val=" amortizaciòn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/>
      <sheetData sheetId="1">
        <row r="2">
          <cell r="E2">
            <v>0.1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PTU"/>
      <sheetName val="Componente"/>
      <sheetName val="Resultados"/>
      <sheetName val="INPC"/>
      <sheetName val="Tickmarks"/>
    </sheetNames>
    <sheetDataSet>
      <sheetData sheetId="0">
        <row r="9">
          <cell r="D9">
            <v>32596</v>
          </cell>
        </row>
        <row r="10">
          <cell r="D10">
            <v>227588</v>
          </cell>
        </row>
      </sheetData>
      <sheetData sheetId="1"/>
      <sheetData sheetId="2"/>
      <sheetData sheetId="3">
        <row r="7">
          <cell r="B7">
            <v>16389955</v>
          </cell>
        </row>
        <row r="10">
          <cell r="B10">
            <v>16289716</v>
          </cell>
        </row>
        <row r="18">
          <cell r="B18">
            <v>2044</v>
          </cell>
        </row>
      </sheetData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PTU"/>
      <sheetName val="Componente"/>
      <sheetName val="Resultados"/>
      <sheetName val="INPC"/>
      <sheetName val="Tickmarks"/>
    </sheetNames>
    <sheetDataSet>
      <sheetData sheetId="0">
        <row r="9">
          <cell r="D9">
            <v>32596</v>
          </cell>
        </row>
        <row r="10">
          <cell r="D10">
            <v>227588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ance General"/>
      <sheetName val="Estado de Resultados"/>
      <sheetName val="Balanza "/>
      <sheetName val="CCF"/>
      <sheetName val="Res"/>
    </sheetNames>
    <sheetDataSet>
      <sheetData sheetId="0"/>
      <sheetData sheetId="1"/>
      <sheetData sheetId="2"/>
      <sheetData sheetId="3">
        <row r="8">
          <cell r="B8">
            <v>1194204.73</v>
          </cell>
        </row>
        <row r="78">
          <cell r="D78">
            <v>340083.72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8"/>
  <sheetViews>
    <sheetView workbookViewId="0">
      <selection activeCell="C4" sqref="C4:G4"/>
    </sheetView>
  </sheetViews>
  <sheetFormatPr baseColWidth="10" defaultRowHeight="13.2"/>
  <cols>
    <col min="1" max="1" width="1.6640625" customWidth="1"/>
    <col min="2" max="2" width="37.88671875" customWidth="1"/>
    <col min="4" max="4" width="15.109375" style="1" bestFit="1" customWidth="1"/>
    <col min="5" max="5" width="16.44140625" customWidth="1"/>
    <col min="6" max="6" width="11.88671875" style="108" customWidth="1"/>
    <col min="7" max="7" width="15.33203125" style="117" customWidth="1"/>
    <col min="8" max="8" width="8.6640625" style="108" customWidth="1"/>
    <col min="9" max="9" width="16.5546875" style="117" customWidth="1"/>
    <col min="10" max="10" width="17" style="118" customWidth="1"/>
    <col min="11" max="11" width="17" customWidth="1"/>
    <col min="12" max="12" width="13.6640625" customWidth="1"/>
    <col min="13" max="13" width="1.6640625" customWidth="1"/>
    <col min="14" max="14" width="3.109375" customWidth="1"/>
    <col min="16" max="16" width="11.44140625" style="139"/>
  </cols>
  <sheetData>
    <row r="2" spans="2:14" ht="25.8">
      <c r="B2" s="107" t="str">
        <f>+CCF!A2</f>
        <v>AL SERVICIOS MULTIPLES EMPRESARIALES SA DE CV</v>
      </c>
      <c r="G2" s="109"/>
      <c r="H2" s="110"/>
      <c r="I2" s="110"/>
      <c r="J2" s="110"/>
      <c r="L2" s="111"/>
    </row>
    <row r="3" spans="2:14" ht="25.8">
      <c r="B3" s="112" t="s">
        <v>173</v>
      </c>
      <c r="G3" s="113"/>
      <c r="H3" s="114"/>
      <c r="I3" s="115"/>
      <c r="J3" s="116"/>
      <c r="L3" s="111"/>
    </row>
    <row r="4" spans="2:14">
      <c r="H4" s="114"/>
      <c r="I4" s="115"/>
    </row>
    <row r="7" spans="2:14" ht="13.8" thickBot="1"/>
    <row r="8" spans="2:14" ht="15" customHeight="1">
      <c r="B8" s="256" t="s">
        <v>174</v>
      </c>
      <c r="C8" s="256" t="s">
        <v>175</v>
      </c>
      <c r="D8" s="259" t="s">
        <v>176</v>
      </c>
      <c r="E8" s="256" t="s">
        <v>177</v>
      </c>
      <c r="F8" s="262" t="s">
        <v>178</v>
      </c>
      <c r="G8" s="263"/>
      <c r="H8" s="262" t="s">
        <v>179</v>
      </c>
      <c r="I8" s="263"/>
      <c r="J8" s="253" t="s">
        <v>180</v>
      </c>
      <c r="K8" s="256" t="s">
        <v>181</v>
      </c>
      <c r="L8" s="256" t="s">
        <v>182</v>
      </c>
      <c r="M8" s="119"/>
      <c r="N8" s="120"/>
    </row>
    <row r="9" spans="2:14" ht="14.4">
      <c r="B9" s="257"/>
      <c r="C9" s="257"/>
      <c r="D9" s="260"/>
      <c r="E9" s="257"/>
      <c r="F9" s="264"/>
      <c r="G9" s="265"/>
      <c r="H9" s="264"/>
      <c r="I9" s="265"/>
      <c r="J9" s="254"/>
      <c r="K9" s="257"/>
      <c r="L9" s="257"/>
      <c r="M9" s="119"/>
      <c r="N9" s="120"/>
    </row>
    <row r="10" spans="2:14" ht="14.4">
      <c r="B10" s="257"/>
      <c r="C10" s="257"/>
      <c r="D10" s="260"/>
      <c r="E10" s="257"/>
      <c r="F10" s="264"/>
      <c r="G10" s="265"/>
      <c r="H10" s="264"/>
      <c r="I10" s="265"/>
      <c r="J10" s="254"/>
      <c r="K10" s="257"/>
      <c r="L10" s="257"/>
      <c r="M10" s="119"/>
      <c r="N10" s="120"/>
    </row>
    <row r="11" spans="2:14" ht="14.4">
      <c r="B11" s="257"/>
      <c r="C11" s="257"/>
      <c r="D11" s="260"/>
      <c r="E11" s="257"/>
      <c r="F11" s="264"/>
      <c r="G11" s="265"/>
      <c r="H11" s="264"/>
      <c r="I11" s="265"/>
      <c r="J11" s="254"/>
      <c r="K11" s="257"/>
      <c r="L11" s="257"/>
      <c r="M11" s="119"/>
      <c r="N11" s="120"/>
    </row>
    <row r="12" spans="2:14" ht="15" thickBot="1">
      <c r="B12" s="258"/>
      <c r="C12" s="258"/>
      <c r="D12" s="261"/>
      <c r="E12" s="258"/>
      <c r="F12" s="266"/>
      <c r="G12" s="267"/>
      <c r="H12" s="266"/>
      <c r="I12" s="267"/>
      <c r="J12" s="255"/>
      <c r="K12" s="258"/>
      <c r="L12" s="258"/>
      <c r="M12" s="119"/>
      <c r="N12" s="120"/>
    </row>
    <row r="13" spans="2:14" ht="14.4" hidden="1">
      <c r="B13" s="121" t="s">
        <v>183</v>
      </c>
      <c r="C13" s="122">
        <v>39853</v>
      </c>
      <c r="D13" s="123">
        <v>0</v>
      </c>
      <c r="E13" s="124">
        <f>+D13</f>
        <v>0</v>
      </c>
      <c r="F13" s="125">
        <f>+C13</f>
        <v>39853</v>
      </c>
      <c r="G13" s="126">
        <v>69.609493999999998</v>
      </c>
      <c r="H13" s="127">
        <v>40148</v>
      </c>
      <c r="I13" s="128">
        <v>71.771855000000002</v>
      </c>
      <c r="J13" s="129">
        <f>TRUNC(+I13/G13,4)</f>
        <v>1.0309999999999999</v>
      </c>
      <c r="K13" s="130"/>
      <c r="L13" s="131">
        <f>+E13*J13</f>
        <v>0</v>
      </c>
      <c r="M13" s="1"/>
    </row>
    <row r="14" spans="2:14" hidden="1">
      <c r="B14" s="132" t="s">
        <v>184</v>
      </c>
      <c r="C14" s="133"/>
      <c r="D14" s="134"/>
      <c r="E14" s="135">
        <f>+E13</f>
        <v>0</v>
      </c>
      <c r="F14" s="127">
        <v>40148</v>
      </c>
      <c r="G14" s="128">
        <v>71.771855000000002</v>
      </c>
      <c r="H14" s="127">
        <v>40513</v>
      </c>
      <c r="I14" s="128">
        <v>74.930954</v>
      </c>
      <c r="J14" s="136">
        <f t="shared" ref="J14:J25" si="0">TRUNC(+I14/G14,4)</f>
        <v>1.044</v>
      </c>
      <c r="K14" s="137">
        <f>+L13</f>
        <v>0</v>
      </c>
      <c r="L14" s="138">
        <f>J14*K14</f>
        <v>0</v>
      </c>
      <c r="M14" s="1"/>
    </row>
    <row r="15" spans="2:14" hidden="1">
      <c r="B15" s="132" t="s">
        <v>185</v>
      </c>
      <c r="C15" s="133"/>
      <c r="D15" s="134"/>
      <c r="E15" s="135">
        <f t="shared" ref="E15:E20" si="1">+E14</f>
        <v>0</v>
      </c>
      <c r="F15" s="127">
        <v>40513</v>
      </c>
      <c r="G15" s="128">
        <v>74.930954</v>
      </c>
      <c r="H15" s="127">
        <v>40878</v>
      </c>
      <c r="I15" s="128">
        <v>77.792384999999996</v>
      </c>
      <c r="J15" s="136">
        <f t="shared" si="0"/>
        <v>1.0381</v>
      </c>
      <c r="K15" s="137">
        <f t="shared" ref="K15:K25" si="2">+L14</f>
        <v>0</v>
      </c>
      <c r="L15" s="138">
        <f t="shared" ref="L15:L24" si="3">J15*K15</f>
        <v>0</v>
      </c>
      <c r="M15" s="1"/>
    </row>
    <row r="16" spans="2:14" hidden="1">
      <c r="B16" s="132" t="s">
        <v>186</v>
      </c>
      <c r="C16" s="133"/>
      <c r="D16" s="134"/>
      <c r="E16" s="135">
        <f t="shared" si="1"/>
        <v>0</v>
      </c>
      <c r="F16" s="127">
        <v>40878</v>
      </c>
      <c r="G16" s="128">
        <v>77.792384999999996</v>
      </c>
      <c r="H16" s="127">
        <v>41244</v>
      </c>
      <c r="I16" s="128">
        <v>80.568242999999995</v>
      </c>
      <c r="J16" s="136">
        <f t="shared" si="0"/>
        <v>1.0356000000000001</v>
      </c>
      <c r="K16" s="137">
        <f t="shared" si="2"/>
        <v>0</v>
      </c>
      <c r="L16" s="138">
        <f t="shared" si="3"/>
        <v>0</v>
      </c>
      <c r="M16" s="1"/>
    </row>
    <row r="17" spans="2:15" hidden="1">
      <c r="B17" s="132" t="s">
        <v>187</v>
      </c>
      <c r="C17" s="133"/>
      <c r="D17" s="134"/>
      <c r="E17" s="135">
        <f t="shared" si="1"/>
        <v>0</v>
      </c>
      <c r="F17" s="127">
        <v>41244</v>
      </c>
      <c r="G17" s="128">
        <v>80.568242999999995</v>
      </c>
      <c r="H17" s="127">
        <v>41609</v>
      </c>
      <c r="I17" s="128">
        <v>83.770058000000006</v>
      </c>
      <c r="J17" s="136">
        <f t="shared" si="0"/>
        <v>1.0397000000000001</v>
      </c>
      <c r="K17" s="137">
        <f t="shared" si="2"/>
        <v>0</v>
      </c>
      <c r="L17" s="138">
        <f t="shared" si="3"/>
        <v>0</v>
      </c>
      <c r="M17" s="1"/>
    </row>
    <row r="18" spans="2:15" hidden="1">
      <c r="B18" s="132" t="s">
        <v>188</v>
      </c>
      <c r="C18" s="133"/>
      <c r="D18" s="134"/>
      <c r="E18" s="135">
        <f t="shared" si="1"/>
        <v>0</v>
      </c>
      <c r="F18" s="127">
        <v>41609</v>
      </c>
      <c r="G18" s="128">
        <v>83.770058000000006</v>
      </c>
      <c r="H18" s="127">
        <v>41974</v>
      </c>
      <c r="I18" s="128">
        <v>87.188984000000005</v>
      </c>
      <c r="J18" s="136">
        <f t="shared" si="0"/>
        <v>1.0407999999999999</v>
      </c>
      <c r="K18" s="137">
        <f t="shared" si="2"/>
        <v>0</v>
      </c>
      <c r="L18" s="138">
        <f t="shared" si="3"/>
        <v>0</v>
      </c>
      <c r="M18" s="1"/>
    </row>
    <row r="19" spans="2:15" hidden="1">
      <c r="B19" s="132" t="s">
        <v>189</v>
      </c>
      <c r="C19" s="133"/>
      <c r="D19" s="134"/>
      <c r="E19" s="135">
        <f t="shared" si="1"/>
        <v>0</v>
      </c>
      <c r="F19" s="127">
        <v>41974</v>
      </c>
      <c r="G19" s="128">
        <v>87.188984000000005</v>
      </c>
      <c r="H19" s="127">
        <v>42339</v>
      </c>
      <c r="I19" s="128">
        <v>89.046818000000002</v>
      </c>
      <c r="J19" s="136">
        <f t="shared" si="0"/>
        <v>1.0213000000000001</v>
      </c>
      <c r="K19" s="137">
        <f t="shared" si="2"/>
        <v>0</v>
      </c>
      <c r="L19" s="138">
        <f t="shared" si="3"/>
        <v>0</v>
      </c>
      <c r="M19" s="1"/>
    </row>
    <row r="20" spans="2:15" ht="13.8" hidden="1" thickBot="1">
      <c r="B20" s="132" t="s">
        <v>190</v>
      </c>
      <c r="C20" s="133"/>
      <c r="D20" s="134">
        <v>0</v>
      </c>
      <c r="E20" s="135">
        <f t="shared" si="1"/>
        <v>0</v>
      </c>
      <c r="F20" s="127">
        <v>42339</v>
      </c>
      <c r="G20" s="128">
        <f>+I19</f>
        <v>89.046818000000002</v>
      </c>
      <c r="H20" s="127">
        <v>42705</v>
      </c>
      <c r="I20" s="128">
        <v>92.039034999999998</v>
      </c>
      <c r="J20" s="136">
        <f t="shared" si="0"/>
        <v>1.0336000000000001</v>
      </c>
      <c r="K20" s="137">
        <f t="shared" si="2"/>
        <v>0</v>
      </c>
      <c r="L20" s="138">
        <f t="shared" si="3"/>
        <v>0</v>
      </c>
      <c r="M20" s="1"/>
      <c r="O20" s="140"/>
    </row>
    <row r="21" spans="2:15">
      <c r="B21" s="121" t="s">
        <v>183</v>
      </c>
      <c r="C21" s="122">
        <v>42933</v>
      </c>
      <c r="D21" s="123">
        <v>200000</v>
      </c>
      <c r="E21" s="135">
        <f t="shared" ref="E21:E26" si="4">E20+D21</f>
        <v>200000</v>
      </c>
      <c r="F21" s="127">
        <v>42917</v>
      </c>
      <c r="G21" s="128">
        <v>95.322736000000006</v>
      </c>
      <c r="H21" s="127">
        <v>43070</v>
      </c>
      <c r="I21" s="128">
        <v>98.272882999999993</v>
      </c>
      <c r="J21" s="136">
        <f>TRUNC(+I21/G21,4)</f>
        <v>1.0308999999999999</v>
      </c>
      <c r="K21" s="137">
        <f t="shared" si="2"/>
        <v>0</v>
      </c>
      <c r="L21" s="131">
        <f>+E21*J21</f>
        <v>206180</v>
      </c>
      <c r="M21" s="1"/>
    </row>
    <row r="22" spans="2:15">
      <c r="B22" s="132" t="s">
        <v>191</v>
      </c>
      <c r="C22" s="133"/>
      <c r="D22" s="134">
        <v>0</v>
      </c>
      <c r="E22" s="135">
        <f t="shared" si="4"/>
        <v>200000</v>
      </c>
      <c r="F22" s="127">
        <f>+H21</f>
        <v>43070</v>
      </c>
      <c r="G22" s="128">
        <f>I21</f>
        <v>98.272882999999993</v>
      </c>
      <c r="H22" s="127">
        <v>43435</v>
      </c>
      <c r="I22" s="128">
        <v>103.02</v>
      </c>
      <c r="J22" s="136">
        <f t="shared" si="0"/>
        <v>1.0483</v>
      </c>
      <c r="K22" s="137">
        <f t="shared" si="2"/>
        <v>206180</v>
      </c>
      <c r="L22" s="138">
        <f t="shared" si="3"/>
        <v>216138.49400000001</v>
      </c>
      <c r="M22" s="1"/>
    </row>
    <row r="23" spans="2:15">
      <c r="B23" s="132" t="s">
        <v>192</v>
      </c>
      <c r="C23" s="133"/>
      <c r="D23" s="134">
        <v>0</v>
      </c>
      <c r="E23" s="135">
        <f t="shared" si="4"/>
        <v>200000</v>
      </c>
      <c r="F23" s="127">
        <f>+H22</f>
        <v>43435</v>
      </c>
      <c r="G23" s="128">
        <f>I22</f>
        <v>103.02</v>
      </c>
      <c r="H23" s="127">
        <v>43800</v>
      </c>
      <c r="I23" s="128">
        <v>105.934</v>
      </c>
      <c r="J23" s="136">
        <f t="shared" si="0"/>
        <v>1.0282</v>
      </c>
      <c r="K23" s="137">
        <f t="shared" si="2"/>
        <v>216138.49400000001</v>
      </c>
      <c r="L23" s="138">
        <f t="shared" si="3"/>
        <v>222233.59953080001</v>
      </c>
      <c r="M23" s="1"/>
    </row>
    <row r="24" spans="2:15">
      <c r="B24" s="132" t="s">
        <v>193</v>
      </c>
      <c r="C24" s="133"/>
      <c r="D24" s="134">
        <v>0</v>
      </c>
      <c r="E24" s="135">
        <f t="shared" si="4"/>
        <v>200000</v>
      </c>
      <c r="F24" s="127">
        <f>+H23</f>
        <v>43800</v>
      </c>
      <c r="G24" s="128">
        <f>I23</f>
        <v>105.934</v>
      </c>
      <c r="H24" s="127">
        <v>44166</v>
      </c>
      <c r="I24" s="128">
        <v>109.271</v>
      </c>
      <c r="J24" s="136">
        <f t="shared" si="0"/>
        <v>1.0315000000000001</v>
      </c>
      <c r="K24" s="137">
        <f t="shared" si="2"/>
        <v>222233.59953080001</v>
      </c>
      <c r="L24" s="138">
        <f t="shared" si="3"/>
        <v>229233.95791602024</v>
      </c>
      <c r="M24" s="1"/>
    </row>
    <row r="25" spans="2:15">
      <c r="B25" s="132" t="s">
        <v>194</v>
      </c>
      <c r="C25" s="133"/>
      <c r="D25" s="134"/>
      <c r="E25" s="135">
        <f t="shared" si="4"/>
        <v>200000</v>
      </c>
      <c r="F25" s="141">
        <v>44166</v>
      </c>
      <c r="G25" s="128">
        <v>109.271</v>
      </c>
      <c r="H25" s="127">
        <v>44531</v>
      </c>
      <c r="I25" s="128">
        <v>117.30800000000001</v>
      </c>
      <c r="J25" s="136">
        <f t="shared" si="0"/>
        <v>1.0734999999999999</v>
      </c>
      <c r="K25" s="137">
        <f t="shared" si="2"/>
        <v>229233.95791602024</v>
      </c>
      <c r="L25" s="138">
        <f>J25*K25</f>
        <v>246082.6538228477</v>
      </c>
      <c r="M25" s="1"/>
    </row>
    <row r="26" spans="2:15">
      <c r="B26" s="132" t="s">
        <v>360</v>
      </c>
      <c r="C26" s="133"/>
      <c r="D26" s="134"/>
      <c r="E26" s="135">
        <f t="shared" si="4"/>
        <v>200000</v>
      </c>
      <c r="F26" s="141">
        <v>44531</v>
      </c>
      <c r="G26" s="128">
        <f>+I25</f>
        <v>117.30800000000001</v>
      </c>
      <c r="H26" s="127">
        <v>44896</v>
      </c>
      <c r="I26" s="128">
        <v>126.47799999999999</v>
      </c>
      <c r="J26" s="136">
        <f t="shared" ref="J26" si="5">TRUNC(+I26/G26,4)</f>
        <v>1.0781000000000001</v>
      </c>
      <c r="K26" s="137">
        <f t="shared" ref="K26" si="6">+L25</f>
        <v>246082.6538228477</v>
      </c>
      <c r="L26" s="138">
        <f>J26*K26</f>
        <v>265301.7090864121</v>
      </c>
      <c r="M26" s="1"/>
    </row>
    <row r="27" spans="2:15">
      <c r="B27" s="132" t="s">
        <v>418</v>
      </c>
      <c r="C27" s="133"/>
      <c r="D27" s="134"/>
      <c r="E27" s="135">
        <f>E26+D27</f>
        <v>200000</v>
      </c>
      <c r="F27" s="230">
        <f>+H26</f>
        <v>44896</v>
      </c>
      <c r="G27" s="128">
        <f>+I26</f>
        <v>126.47799999999999</v>
      </c>
      <c r="H27" s="127">
        <v>45261</v>
      </c>
      <c r="I27" s="128">
        <v>132.37299999999999</v>
      </c>
      <c r="J27" s="136">
        <f t="shared" ref="J27" si="7">TRUNC(+I27/G27,4)</f>
        <v>1.0466</v>
      </c>
      <c r="K27" s="137">
        <f t="shared" ref="K27" si="8">+L26</f>
        <v>265301.7090864121</v>
      </c>
      <c r="L27" s="138">
        <f>J27*K27</f>
        <v>277664.76872983889</v>
      </c>
      <c r="M27" s="1"/>
    </row>
    <row r="28" spans="2:15">
      <c r="B28" s="132" t="s">
        <v>445</v>
      </c>
      <c r="C28" s="133"/>
      <c r="D28" s="134"/>
      <c r="E28" s="135">
        <f>E27+D28</f>
        <v>200000</v>
      </c>
      <c r="F28" s="230">
        <f>+H27</f>
        <v>45261</v>
      </c>
      <c r="G28" s="128">
        <f>+I27</f>
        <v>132.37299999999999</v>
      </c>
      <c r="H28" s="127">
        <v>45627</v>
      </c>
      <c r="I28" s="128">
        <v>137.94900000000001</v>
      </c>
      <c r="J28" s="136">
        <f t="shared" ref="J28" si="9">TRUNC(+I28/G28,4)</f>
        <v>1.0421</v>
      </c>
      <c r="K28" s="137">
        <f t="shared" ref="K28" si="10">+L27</f>
        <v>277664.76872983889</v>
      </c>
      <c r="L28" s="138">
        <f>J28*K28</f>
        <v>289354.45549336512</v>
      </c>
      <c r="M28" s="1"/>
    </row>
    <row r="29" spans="2:15" ht="13.8" thickBot="1">
      <c r="B29" s="142"/>
      <c r="C29" s="143"/>
      <c r="D29" s="144"/>
      <c r="E29" s="145"/>
      <c r="F29" s="146"/>
      <c r="G29" s="147"/>
      <c r="H29" s="148"/>
      <c r="I29" s="149"/>
      <c r="J29" s="150"/>
      <c r="K29" s="151"/>
      <c r="L29" s="152"/>
    </row>
    <row r="30" spans="2:15">
      <c r="E30" s="153"/>
      <c r="F30" s="154"/>
    </row>
    <row r="31" spans="2:15" ht="14.4">
      <c r="B31" s="155"/>
      <c r="E31" s="153"/>
      <c r="F31" s="154"/>
      <c r="J31" s="118">
        <f>TRUNC(+I26/G21,4)</f>
        <v>1.3268</v>
      </c>
      <c r="L31" s="1">
        <f>+D21*J31</f>
        <v>265360</v>
      </c>
    </row>
    <row r="32" spans="2:15">
      <c r="E32" s="153"/>
      <c r="F32" s="154"/>
      <c r="L32" s="153">
        <f>+L31-L26</f>
        <v>58.290913587901741</v>
      </c>
    </row>
    <row r="33" spans="3:6">
      <c r="E33" s="153"/>
      <c r="F33" s="154"/>
    </row>
    <row r="34" spans="3:6">
      <c r="E34" s="153"/>
      <c r="F34" s="154"/>
    </row>
    <row r="35" spans="3:6">
      <c r="C35" s="139"/>
      <c r="E35" s="153"/>
      <c r="F35" s="154"/>
    </row>
    <row r="36" spans="3:6">
      <c r="C36" s="139"/>
      <c r="E36" s="153"/>
      <c r="F36" s="154"/>
    </row>
    <row r="38" spans="3:6">
      <c r="C38" s="139"/>
    </row>
  </sheetData>
  <mergeCells count="9">
    <mergeCell ref="J8:J12"/>
    <mergeCell ref="K8:K12"/>
    <mergeCell ref="L8:L12"/>
    <mergeCell ref="B8:B12"/>
    <mergeCell ref="C8:C12"/>
    <mergeCell ref="D8:D12"/>
    <mergeCell ref="E8:E12"/>
    <mergeCell ref="F8:G12"/>
    <mergeCell ref="H8:I12"/>
  </mergeCells>
  <phoneticPr fontId="5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85"/>
  <sheetViews>
    <sheetView topLeftCell="E15" workbookViewId="0">
      <selection activeCell="C4" sqref="C4:G4"/>
    </sheetView>
  </sheetViews>
  <sheetFormatPr baseColWidth="10" defaultRowHeight="13.2"/>
  <cols>
    <col min="1" max="1" width="53" style="156" customWidth="1"/>
    <col min="2" max="2" width="13.109375" style="156" hidden="1" customWidth="1"/>
    <col min="3" max="3" width="16.5546875" style="158" bestFit="1" customWidth="1"/>
    <col min="4" max="12" width="13.88671875" style="158" customWidth="1"/>
    <col min="13" max="243" width="11.44140625" style="156"/>
    <col min="244" max="244" width="52.6640625" style="156" customWidth="1"/>
    <col min="245" max="246" width="12.109375" style="156" customWidth="1"/>
    <col min="247" max="247" width="13.5546875" style="156" customWidth="1"/>
    <col min="248" max="248" width="11.44140625" style="156"/>
    <col min="249" max="249" width="11.88671875" style="156" bestFit="1" customWidth="1"/>
    <col min="250" max="252" width="12.109375" style="156" bestFit="1" customWidth="1"/>
    <col min="253" max="253" width="11.44140625" style="156"/>
    <col min="254" max="254" width="11.88671875" style="156" bestFit="1" customWidth="1"/>
    <col min="255" max="259" width="12.109375" style="156" bestFit="1" customWidth="1"/>
    <col min="260" max="499" width="11.44140625" style="156"/>
    <col min="500" max="500" width="52.6640625" style="156" customWidth="1"/>
    <col min="501" max="502" width="12.109375" style="156" customWidth="1"/>
    <col min="503" max="503" width="13.5546875" style="156" customWidth="1"/>
    <col min="504" max="504" width="11.44140625" style="156"/>
    <col min="505" max="505" width="11.88671875" style="156" bestFit="1" customWidth="1"/>
    <col min="506" max="508" width="12.109375" style="156" bestFit="1" customWidth="1"/>
    <col min="509" max="509" width="11.44140625" style="156"/>
    <col min="510" max="510" width="11.88671875" style="156" bestFit="1" customWidth="1"/>
    <col min="511" max="515" width="12.109375" style="156" bestFit="1" customWidth="1"/>
    <col min="516" max="755" width="11.44140625" style="156"/>
    <col min="756" max="756" width="52.6640625" style="156" customWidth="1"/>
    <col min="757" max="758" width="12.109375" style="156" customWidth="1"/>
    <col min="759" max="759" width="13.5546875" style="156" customWidth="1"/>
    <col min="760" max="760" width="11.44140625" style="156"/>
    <col min="761" max="761" width="11.88671875" style="156" bestFit="1" customWidth="1"/>
    <col min="762" max="764" width="12.109375" style="156" bestFit="1" customWidth="1"/>
    <col min="765" max="765" width="11.44140625" style="156"/>
    <col min="766" max="766" width="11.88671875" style="156" bestFit="1" customWidth="1"/>
    <col min="767" max="771" width="12.109375" style="156" bestFit="1" customWidth="1"/>
    <col min="772" max="1011" width="11.44140625" style="156"/>
    <col min="1012" max="1012" width="52.6640625" style="156" customWidth="1"/>
    <col min="1013" max="1014" width="12.109375" style="156" customWidth="1"/>
    <col min="1015" max="1015" width="13.5546875" style="156" customWidth="1"/>
    <col min="1016" max="1016" width="11.44140625" style="156"/>
    <col min="1017" max="1017" width="11.88671875" style="156" bestFit="1" customWidth="1"/>
    <col min="1018" max="1020" width="12.109375" style="156" bestFit="1" customWidth="1"/>
    <col min="1021" max="1021" width="11.44140625" style="156"/>
    <col min="1022" max="1022" width="11.88671875" style="156" bestFit="1" customWidth="1"/>
    <col min="1023" max="1027" width="12.109375" style="156" bestFit="1" customWidth="1"/>
    <col min="1028" max="1267" width="11.44140625" style="156"/>
    <col min="1268" max="1268" width="52.6640625" style="156" customWidth="1"/>
    <col min="1269" max="1270" width="12.109375" style="156" customWidth="1"/>
    <col min="1271" max="1271" width="13.5546875" style="156" customWidth="1"/>
    <col min="1272" max="1272" width="11.44140625" style="156"/>
    <col min="1273" max="1273" width="11.88671875" style="156" bestFit="1" customWidth="1"/>
    <col min="1274" max="1276" width="12.109375" style="156" bestFit="1" customWidth="1"/>
    <col min="1277" max="1277" width="11.44140625" style="156"/>
    <col min="1278" max="1278" width="11.88671875" style="156" bestFit="1" customWidth="1"/>
    <col min="1279" max="1283" width="12.109375" style="156" bestFit="1" customWidth="1"/>
    <col min="1284" max="1523" width="11.44140625" style="156"/>
    <col min="1524" max="1524" width="52.6640625" style="156" customWidth="1"/>
    <col min="1525" max="1526" width="12.109375" style="156" customWidth="1"/>
    <col min="1527" max="1527" width="13.5546875" style="156" customWidth="1"/>
    <col min="1528" max="1528" width="11.44140625" style="156"/>
    <col min="1529" max="1529" width="11.88671875" style="156" bestFit="1" customWidth="1"/>
    <col min="1530" max="1532" width="12.109375" style="156" bestFit="1" customWidth="1"/>
    <col min="1533" max="1533" width="11.44140625" style="156"/>
    <col min="1534" max="1534" width="11.88671875" style="156" bestFit="1" customWidth="1"/>
    <col min="1535" max="1539" width="12.109375" style="156" bestFit="1" customWidth="1"/>
    <col min="1540" max="1779" width="11.44140625" style="156"/>
    <col min="1780" max="1780" width="52.6640625" style="156" customWidth="1"/>
    <col min="1781" max="1782" width="12.109375" style="156" customWidth="1"/>
    <col min="1783" max="1783" width="13.5546875" style="156" customWidth="1"/>
    <col min="1784" max="1784" width="11.44140625" style="156"/>
    <col min="1785" max="1785" width="11.88671875" style="156" bestFit="1" customWidth="1"/>
    <col min="1786" max="1788" width="12.109375" style="156" bestFit="1" customWidth="1"/>
    <col min="1789" max="1789" width="11.44140625" style="156"/>
    <col min="1790" max="1790" width="11.88671875" style="156" bestFit="1" customWidth="1"/>
    <col min="1791" max="1795" width="12.109375" style="156" bestFit="1" customWidth="1"/>
    <col min="1796" max="2035" width="11.44140625" style="156"/>
    <col min="2036" max="2036" width="52.6640625" style="156" customWidth="1"/>
    <col min="2037" max="2038" width="12.109375" style="156" customWidth="1"/>
    <col min="2039" max="2039" width="13.5546875" style="156" customWidth="1"/>
    <col min="2040" max="2040" width="11.44140625" style="156"/>
    <col min="2041" max="2041" width="11.88671875" style="156" bestFit="1" customWidth="1"/>
    <col min="2042" max="2044" width="12.109375" style="156" bestFit="1" customWidth="1"/>
    <col min="2045" max="2045" width="11.44140625" style="156"/>
    <col min="2046" max="2046" width="11.88671875" style="156" bestFit="1" customWidth="1"/>
    <col min="2047" max="2051" width="12.109375" style="156" bestFit="1" customWidth="1"/>
    <col min="2052" max="2291" width="11.44140625" style="156"/>
    <col min="2292" max="2292" width="52.6640625" style="156" customWidth="1"/>
    <col min="2293" max="2294" width="12.109375" style="156" customWidth="1"/>
    <col min="2295" max="2295" width="13.5546875" style="156" customWidth="1"/>
    <col min="2296" max="2296" width="11.44140625" style="156"/>
    <col min="2297" max="2297" width="11.88671875" style="156" bestFit="1" customWidth="1"/>
    <col min="2298" max="2300" width="12.109375" style="156" bestFit="1" customWidth="1"/>
    <col min="2301" max="2301" width="11.44140625" style="156"/>
    <col min="2302" max="2302" width="11.88671875" style="156" bestFit="1" customWidth="1"/>
    <col min="2303" max="2307" width="12.109375" style="156" bestFit="1" customWidth="1"/>
    <col min="2308" max="2547" width="11.44140625" style="156"/>
    <col min="2548" max="2548" width="52.6640625" style="156" customWidth="1"/>
    <col min="2549" max="2550" width="12.109375" style="156" customWidth="1"/>
    <col min="2551" max="2551" width="13.5546875" style="156" customWidth="1"/>
    <col min="2552" max="2552" width="11.44140625" style="156"/>
    <col min="2553" max="2553" width="11.88671875" style="156" bestFit="1" customWidth="1"/>
    <col min="2554" max="2556" width="12.109375" style="156" bestFit="1" customWidth="1"/>
    <col min="2557" max="2557" width="11.44140625" style="156"/>
    <col min="2558" max="2558" width="11.88671875" style="156" bestFit="1" customWidth="1"/>
    <col min="2559" max="2563" width="12.109375" style="156" bestFit="1" customWidth="1"/>
    <col min="2564" max="2803" width="11.44140625" style="156"/>
    <col min="2804" max="2804" width="52.6640625" style="156" customWidth="1"/>
    <col min="2805" max="2806" width="12.109375" style="156" customWidth="1"/>
    <col min="2807" max="2807" width="13.5546875" style="156" customWidth="1"/>
    <col min="2808" max="2808" width="11.44140625" style="156"/>
    <col min="2809" max="2809" width="11.88671875" style="156" bestFit="1" customWidth="1"/>
    <col min="2810" max="2812" width="12.109375" style="156" bestFit="1" customWidth="1"/>
    <col min="2813" max="2813" width="11.44140625" style="156"/>
    <col min="2814" max="2814" width="11.88671875" style="156" bestFit="1" customWidth="1"/>
    <col min="2815" max="2819" width="12.109375" style="156" bestFit="1" customWidth="1"/>
    <col min="2820" max="3059" width="11.44140625" style="156"/>
    <col min="3060" max="3060" width="52.6640625" style="156" customWidth="1"/>
    <col min="3061" max="3062" width="12.109375" style="156" customWidth="1"/>
    <col min="3063" max="3063" width="13.5546875" style="156" customWidth="1"/>
    <col min="3064" max="3064" width="11.44140625" style="156"/>
    <col min="3065" max="3065" width="11.88671875" style="156" bestFit="1" customWidth="1"/>
    <col min="3066" max="3068" width="12.109375" style="156" bestFit="1" customWidth="1"/>
    <col min="3069" max="3069" width="11.44140625" style="156"/>
    <col min="3070" max="3070" width="11.88671875" style="156" bestFit="1" customWidth="1"/>
    <col min="3071" max="3075" width="12.109375" style="156" bestFit="1" customWidth="1"/>
    <col min="3076" max="3315" width="11.44140625" style="156"/>
    <col min="3316" max="3316" width="52.6640625" style="156" customWidth="1"/>
    <col min="3317" max="3318" width="12.109375" style="156" customWidth="1"/>
    <col min="3319" max="3319" width="13.5546875" style="156" customWidth="1"/>
    <col min="3320" max="3320" width="11.44140625" style="156"/>
    <col min="3321" max="3321" width="11.88671875" style="156" bestFit="1" customWidth="1"/>
    <col min="3322" max="3324" width="12.109375" style="156" bestFit="1" customWidth="1"/>
    <col min="3325" max="3325" width="11.44140625" style="156"/>
    <col min="3326" max="3326" width="11.88671875" style="156" bestFit="1" customWidth="1"/>
    <col min="3327" max="3331" width="12.109375" style="156" bestFit="1" customWidth="1"/>
    <col min="3332" max="3571" width="11.44140625" style="156"/>
    <col min="3572" max="3572" width="52.6640625" style="156" customWidth="1"/>
    <col min="3573" max="3574" width="12.109375" style="156" customWidth="1"/>
    <col min="3575" max="3575" width="13.5546875" style="156" customWidth="1"/>
    <col min="3576" max="3576" width="11.44140625" style="156"/>
    <col min="3577" max="3577" width="11.88671875" style="156" bestFit="1" customWidth="1"/>
    <col min="3578" max="3580" width="12.109375" style="156" bestFit="1" customWidth="1"/>
    <col min="3581" max="3581" width="11.44140625" style="156"/>
    <col min="3582" max="3582" width="11.88671875" style="156" bestFit="1" customWidth="1"/>
    <col min="3583" max="3587" width="12.109375" style="156" bestFit="1" customWidth="1"/>
    <col min="3588" max="3827" width="11.44140625" style="156"/>
    <col min="3828" max="3828" width="52.6640625" style="156" customWidth="1"/>
    <col min="3829" max="3830" width="12.109375" style="156" customWidth="1"/>
    <col min="3831" max="3831" width="13.5546875" style="156" customWidth="1"/>
    <col min="3832" max="3832" width="11.44140625" style="156"/>
    <col min="3833" max="3833" width="11.88671875" style="156" bestFit="1" customWidth="1"/>
    <col min="3834" max="3836" width="12.109375" style="156" bestFit="1" customWidth="1"/>
    <col min="3837" max="3837" width="11.44140625" style="156"/>
    <col min="3838" max="3838" width="11.88671875" style="156" bestFit="1" customWidth="1"/>
    <col min="3839" max="3843" width="12.109375" style="156" bestFit="1" customWidth="1"/>
    <col min="3844" max="4083" width="11.44140625" style="156"/>
    <col min="4084" max="4084" width="52.6640625" style="156" customWidth="1"/>
    <col min="4085" max="4086" width="12.109375" style="156" customWidth="1"/>
    <col min="4087" max="4087" width="13.5546875" style="156" customWidth="1"/>
    <col min="4088" max="4088" width="11.44140625" style="156"/>
    <col min="4089" max="4089" width="11.88671875" style="156" bestFit="1" customWidth="1"/>
    <col min="4090" max="4092" width="12.109375" style="156" bestFit="1" customWidth="1"/>
    <col min="4093" max="4093" width="11.44140625" style="156"/>
    <col min="4094" max="4094" width="11.88671875" style="156" bestFit="1" customWidth="1"/>
    <col min="4095" max="4099" width="12.109375" style="156" bestFit="1" customWidth="1"/>
    <col min="4100" max="4339" width="11.44140625" style="156"/>
    <col min="4340" max="4340" width="52.6640625" style="156" customWidth="1"/>
    <col min="4341" max="4342" width="12.109375" style="156" customWidth="1"/>
    <col min="4343" max="4343" width="13.5546875" style="156" customWidth="1"/>
    <col min="4344" max="4344" width="11.44140625" style="156"/>
    <col min="4345" max="4345" width="11.88671875" style="156" bestFit="1" customWidth="1"/>
    <col min="4346" max="4348" width="12.109375" style="156" bestFit="1" customWidth="1"/>
    <col min="4349" max="4349" width="11.44140625" style="156"/>
    <col min="4350" max="4350" width="11.88671875" style="156" bestFit="1" customWidth="1"/>
    <col min="4351" max="4355" width="12.109375" style="156" bestFit="1" customWidth="1"/>
    <col min="4356" max="4595" width="11.44140625" style="156"/>
    <col min="4596" max="4596" width="52.6640625" style="156" customWidth="1"/>
    <col min="4597" max="4598" width="12.109375" style="156" customWidth="1"/>
    <col min="4599" max="4599" width="13.5546875" style="156" customWidth="1"/>
    <col min="4600" max="4600" width="11.44140625" style="156"/>
    <col min="4601" max="4601" width="11.88671875" style="156" bestFit="1" customWidth="1"/>
    <col min="4602" max="4604" width="12.109375" style="156" bestFit="1" customWidth="1"/>
    <col min="4605" max="4605" width="11.44140625" style="156"/>
    <col min="4606" max="4606" width="11.88671875" style="156" bestFit="1" customWidth="1"/>
    <col min="4607" max="4611" width="12.109375" style="156" bestFit="1" customWidth="1"/>
    <col min="4612" max="4851" width="11.44140625" style="156"/>
    <col min="4852" max="4852" width="52.6640625" style="156" customWidth="1"/>
    <col min="4853" max="4854" width="12.109375" style="156" customWidth="1"/>
    <col min="4855" max="4855" width="13.5546875" style="156" customWidth="1"/>
    <col min="4856" max="4856" width="11.44140625" style="156"/>
    <col min="4857" max="4857" width="11.88671875" style="156" bestFit="1" customWidth="1"/>
    <col min="4858" max="4860" width="12.109375" style="156" bestFit="1" customWidth="1"/>
    <col min="4861" max="4861" width="11.44140625" style="156"/>
    <col min="4862" max="4862" width="11.88671875" style="156" bestFit="1" customWidth="1"/>
    <col min="4863" max="4867" width="12.109375" style="156" bestFit="1" customWidth="1"/>
    <col min="4868" max="5107" width="11.44140625" style="156"/>
    <col min="5108" max="5108" width="52.6640625" style="156" customWidth="1"/>
    <col min="5109" max="5110" width="12.109375" style="156" customWidth="1"/>
    <col min="5111" max="5111" width="13.5546875" style="156" customWidth="1"/>
    <col min="5112" max="5112" width="11.44140625" style="156"/>
    <col min="5113" max="5113" width="11.88671875" style="156" bestFit="1" customWidth="1"/>
    <col min="5114" max="5116" width="12.109375" style="156" bestFit="1" customWidth="1"/>
    <col min="5117" max="5117" width="11.44140625" style="156"/>
    <col min="5118" max="5118" width="11.88671875" style="156" bestFit="1" customWidth="1"/>
    <col min="5119" max="5123" width="12.109375" style="156" bestFit="1" customWidth="1"/>
    <col min="5124" max="5363" width="11.44140625" style="156"/>
    <col min="5364" max="5364" width="52.6640625" style="156" customWidth="1"/>
    <col min="5365" max="5366" width="12.109375" style="156" customWidth="1"/>
    <col min="5367" max="5367" width="13.5546875" style="156" customWidth="1"/>
    <col min="5368" max="5368" width="11.44140625" style="156"/>
    <col min="5369" max="5369" width="11.88671875" style="156" bestFit="1" customWidth="1"/>
    <col min="5370" max="5372" width="12.109375" style="156" bestFit="1" customWidth="1"/>
    <col min="5373" max="5373" width="11.44140625" style="156"/>
    <col min="5374" max="5374" width="11.88671875" style="156" bestFit="1" customWidth="1"/>
    <col min="5375" max="5379" width="12.109375" style="156" bestFit="1" customWidth="1"/>
    <col min="5380" max="5619" width="11.44140625" style="156"/>
    <col min="5620" max="5620" width="52.6640625" style="156" customWidth="1"/>
    <col min="5621" max="5622" width="12.109375" style="156" customWidth="1"/>
    <col min="5623" max="5623" width="13.5546875" style="156" customWidth="1"/>
    <col min="5624" max="5624" width="11.44140625" style="156"/>
    <col min="5625" max="5625" width="11.88671875" style="156" bestFit="1" customWidth="1"/>
    <col min="5626" max="5628" width="12.109375" style="156" bestFit="1" customWidth="1"/>
    <col min="5629" max="5629" width="11.44140625" style="156"/>
    <col min="5630" max="5630" width="11.88671875" style="156" bestFit="1" customWidth="1"/>
    <col min="5631" max="5635" width="12.109375" style="156" bestFit="1" customWidth="1"/>
    <col min="5636" max="5875" width="11.44140625" style="156"/>
    <col min="5876" max="5876" width="52.6640625" style="156" customWidth="1"/>
    <col min="5877" max="5878" width="12.109375" style="156" customWidth="1"/>
    <col min="5879" max="5879" width="13.5546875" style="156" customWidth="1"/>
    <col min="5880" max="5880" width="11.44140625" style="156"/>
    <col min="5881" max="5881" width="11.88671875" style="156" bestFit="1" customWidth="1"/>
    <col min="5882" max="5884" width="12.109375" style="156" bestFit="1" customWidth="1"/>
    <col min="5885" max="5885" width="11.44140625" style="156"/>
    <col min="5886" max="5886" width="11.88671875" style="156" bestFit="1" customWidth="1"/>
    <col min="5887" max="5891" width="12.109375" style="156" bestFit="1" customWidth="1"/>
    <col min="5892" max="6131" width="11.44140625" style="156"/>
    <col min="6132" max="6132" width="52.6640625" style="156" customWidth="1"/>
    <col min="6133" max="6134" width="12.109375" style="156" customWidth="1"/>
    <col min="6135" max="6135" width="13.5546875" style="156" customWidth="1"/>
    <col min="6136" max="6136" width="11.44140625" style="156"/>
    <col min="6137" max="6137" width="11.88671875" style="156" bestFit="1" customWidth="1"/>
    <col min="6138" max="6140" width="12.109375" style="156" bestFit="1" customWidth="1"/>
    <col min="6141" max="6141" width="11.44140625" style="156"/>
    <col min="6142" max="6142" width="11.88671875" style="156" bestFit="1" customWidth="1"/>
    <col min="6143" max="6147" width="12.109375" style="156" bestFit="1" customWidth="1"/>
    <col min="6148" max="6387" width="11.44140625" style="156"/>
    <col min="6388" max="6388" width="52.6640625" style="156" customWidth="1"/>
    <col min="6389" max="6390" width="12.109375" style="156" customWidth="1"/>
    <col min="6391" max="6391" width="13.5546875" style="156" customWidth="1"/>
    <col min="6392" max="6392" width="11.44140625" style="156"/>
    <col min="6393" max="6393" width="11.88671875" style="156" bestFit="1" customWidth="1"/>
    <col min="6394" max="6396" width="12.109375" style="156" bestFit="1" customWidth="1"/>
    <col min="6397" max="6397" width="11.44140625" style="156"/>
    <col min="6398" max="6398" width="11.88671875" style="156" bestFit="1" customWidth="1"/>
    <col min="6399" max="6403" width="12.109375" style="156" bestFit="1" customWidth="1"/>
    <col min="6404" max="6643" width="11.44140625" style="156"/>
    <col min="6644" max="6644" width="52.6640625" style="156" customWidth="1"/>
    <col min="6645" max="6646" width="12.109375" style="156" customWidth="1"/>
    <col min="6647" max="6647" width="13.5546875" style="156" customWidth="1"/>
    <col min="6648" max="6648" width="11.44140625" style="156"/>
    <col min="6649" max="6649" width="11.88671875" style="156" bestFit="1" customWidth="1"/>
    <col min="6650" max="6652" width="12.109375" style="156" bestFit="1" customWidth="1"/>
    <col min="6653" max="6653" width="11.44140625" style="156"/>
    <col min="6654" max="6654" width="11.88671875" style="156" bestFit="1" customWidth="1"/>
    <col min="6655" max="6659" width="12.109375" style="156" bestFit="1" customWidth="1"/>
    <col min="6660" max="6899" width="11.44140625" style="156"/>
    <col min="6900" max="6900" width="52.6640625" style="156" customWidth="1"/>
    <col min="6901" max="6902" width="12.109375" style="156" customWidth="1"/>
    <col min="6903" max="6903" width="13.5546875" style="156" customWidth="1"/>
    <col min="6904" max="6904" width="11.44140625" style="156"/>
    <col min="6905" max="6905" width="11.88671875" style="156" bestFit="1" customWidth="1"/>
    <col min="6906" max="6908" width="12.109375" style="156" bestFit="1" customWidth="1"/>
    <col min="6909" max="6909" width="11.44140625" style="156"/>
    <col min="6910" max="6910" width="11.88671875" style="156" bestFit="1" customWidth="1"/>
    <col min="6911" max="6915" width="12.109375" style="156" bestFit="1" customWidth="1"/>
    <col min="6916" max="7155" width="11.44140625" style="156"/>
    <col min="7156" max="7156" width="52.6640625" style="156" customWidth="1"/>
    <col min="7157" max="7158" width="12.109375" style="156" customWidth="1"/>
    <col min="7159" max="7159" width="13.5546875" style="156" customWidth="1"/>
    <col min="7160" max="7160" width="11.44140625" style="156"/>
    <col min="7161" max="7161" width="11.88671875" style="156" bestFit="1" customWidth="1"/>
    <col min="7162" max="7164" width="12.109375" style="156" bestFit="1" customWidth="1"/>
    <col min="7165" max="7165" width="11.44140625" style="156"/>
    <col min="7166" max="7166" width="11.88671875" style="156" bestFit="1" customWidth="1"/>
    <col min="7167" max="7171" width="12.109375" style="156" bestFit="1" customWidth="1"/>
    <col min="7172" max="7411" width="11.44140625" style="156"/>
    <col min="7412" max="7412" width="52.6640625" style="156" customWidth="1"/>
    <col min="7413" max="7414" width="12.109375" style="156" customWidth="1"/>
    <col min="7415" max="7415" width="13.5546875" style="156" customWidth="1"/>
    <col min="7416" max="7416" width="11.44140625" style="156"/>
    <col min="7417" max="7417" width="11.88671875" style="156" bestFit="1" customWidth="1"/>
    <col min="7418" max="7420" width="12.109375" style="156" bestFit="1" customWidth="1"/>
    <col min="7421" max="7421" width="11.44140625" style="156"/>
    <col min="7422" max="7422" width="11.88671875" style="156" bestFit="1" customWidth="1"/>
    <col min="7423" max="7427" width="12.109375" style="156" bestFit="1" customWidth="1"/>
    <col min="7428" max="7667" width="11.44140625" style="156"/>
    <col min="7668" max="7668" width="52.6640625" style="156" customWidth="1"/>
    <col min="7669" max="7670" width="12.109375" style="156" customWidth="1"/>
    <col min="7671" max="7671" width="13.5546875" style="156" customWidth="1"/>
    <col min="7672" max="7672" width="11.44140625" style="156"/>
    <col min="7673" max="7673" width="11.88671875" style="156" bestFit="1" customWidth="1"/>
    <col min="7674" max="7676" width="12.109375" style="156" bestFit="1" customWidth="1"/>
    <col min="7677" max="7677" width="11.44140625" style="156"/>
    <col min="7678" max="7678" width="11.88671875" style="156" bestFit="1" customWidth="1"/>
    <col min="7679" max="7683" width="12.109375" style="156" bestFit="1" customWidth="1"/>
    <col min="7684" max="7923" width="11.44140625" style="156"/>
    <col min="7924" max="7924" width="52.6640625" style="156" customWidth="1"/>
    <col min="7925" max="7926" width="12.109375" style="156" customWidth="1"/>
    <col min="7927" max="7927" width="13.5546875" style="156" customWidth="1"/>
    <col min="7928" max="7928" width="11.44140625" style="156"/>
    <col min="7929" max="7929" width="11.88671875" style="156" bestFit="1" customWidth="1"/>
    <col min="7930" max="7932" width="12.109375" style="156" bestFit="1" customWidth="1"/>
    <col min="7933" max="7933" width="11.44140625" style="156"/>
    <col min="7934" max="7934" width="11.88671875" style="156" bestFit="1" customWidth="1"/>
    <col min="7935" max="7939" width="12.109375" style="156" bestFit="1" customWidth="1"/>
    <col min="7940" max="8179" width="11.44140625" style="156"/>
    <col min="8180" max="8180" width="52.6640625" style="156" customWidth="1"/>
    <col min="8181" max="8182" width="12.109375" style="156" customWidth="1"/>
    <col min="8183" max="8183" width="13.5546875" style="156" customWidth="1"/>
    <col min="8184" max="8184" width="11.44140625" style="156"/>
    <col min="8185" max="8185" width="11.88671875" style="156" bestFit="1" customWidth="1"/>
    <col min="8186" max="8188" width="12.109375" style="156" bestFit="1" customWidth="1"/>
    <col min="8189" max="8189" width="11.44140625" style="156"/>
    <col min="8190" max="8190" width="11.88671875" style="156" bestFit="1" customWidth="1"/>
    <col min="8191" max="8195" width="12.109375" style="156" bestFit="1" customWidth="1"/>
    <col min="8196" max="8435" width="11.44140625" style="156"/>
    <col min="8436" max="8436" width="52.6640625" style="156" customWidth="1"/>
    <col min="8437" max="8438" width="12.109375" style="156" customWidth="1"/>
    <col min="8439" max="8439" width="13.5546875" style="156" customWidth="1"/>
    <col min="8440" max="8440" width="11.44140625" style="156"/>
    <col min="8441" max="8441" width="11.88671875" style="156" bestFit="1" customWidth="1"/>
    <col min="8442" max="8444" width="12.109375" style="156" bestFit="1" customWidth="1"/>
    <col min="8445" max="8445" width="11.44140625" style="156"/>
    <col min="8446" max="8446" width="11.88671875" style="156" bestFit="1" customWidth="1"/>
    <col min="8447" max="8451" width="12.109375" style="156" bestFit="1" customWidth="1"/>
    <col min="8452" max="8691" width="11.44140625" style="156"/>
    <col min="8692" max="8692" width="52.6640625" style="156" customWidth="1"/>
    <col min="8693" max="8694" width="12.109375" style="156" customWidth="1"/>
    <col min="8695" max="8695" width="13.5546875" style="156" customWidth="1"/>
    <col min="8696" max="8696" width="11.44140625" style="156"/>
    <col min="8697" max="8697" width="11.88671875" style="156" bestFit="1" customWidth="1"/>
    <col min="8698" max="8700" width="12.109375" style="156" bestFit="1" customWidth="1"/>
    <col min="8701" max="8701" width="11.44140625" style="156"/>
    <col min="8702" max="8702" width="11.88671875" style="156" bestFit="1" customWidth="1"/>
    <col min="8703" max="8707" width="12.109375" style="156" bestFit="1" customWidth="1"/>
    <col min="8708" max="8947" width="11.44140625" style="156"/>
    <col min="8948" max="8948" width="52.6640625" style="156" customWidth="1"/>
    <col min="8949" max="8950" width="12.109375" style="156" customWidth="1"/>
    <col min="8951" max="8951" width="13.5546875" style="156" customWidth="1"/>
    <col min="8952" max="8952" width="11.44140625" style="156"/>
    <col min="8953" max="8953" width="11.88671875" style="156" bestFit="1" customWidth="1"/>
    <col min="8954" max="8956" width="12.109375" style="156" bestFit="1" customWidth="1"/>
    <col min="8957" max="8957" width="11.44140625" style="156"/>
    <col min="8958" max="8958" width="11.88671875" style="156" bestFit="1" customWidth="1"/>
    <col min="8959" max="8963" width="12.109375" style="156" bestFit="1" customWidth="1"/>
    <col min="8964" max="9203" width="11.44140625" style="156"/>
    <col min="9204" max="9204" width="52.6640625" style="156" customWidth="1"/>
    <col min="9205" max="9206" width="12.109375" style="156" customWidth="1"/>
    <col min="9207" max="9207" width="13.5546875" style="156" customWidth="1"/>
    <col min="9208" max="9208" width="11.44140625" style="156"/>
    <col min="9209" max="9209" width="11.88671875" style="156" bestFit="1" customWidth="1"/>
    <col min="9210" max="9212" width="12.109375" style="156" bestFit="1" customWidth="1"/>
    <col min="9213" max="9213" width="11.44140625" style="156"/>
    <col min="9214" max="9214" width="11.88671875" style="156" bestFit="1" customWidth="1"/>
    <col min="9215" max="9219" width="12.109375" style="156" bestFit="1" customWidth="1"/>
    <col min="9220" max="9459" width="11.44140625" style="156"/>
    <col min="9460" max="9460" width="52.6640625" style="156" customWidth="1"/>
    <col min="9461" max="9462" width="12.109375" style="156" customWidth="1"/>
    <col min="9463" max="9463" width="13.5546875" style="156" customWidth="1"/>
    <col min="9464" max="9464" width="11.44140625" style="156"/>
    <col min="9465" max="9465" width="11.88671875" style="156" bestFit="1" customWidth="1"/>
    <col min="9466" max="9468" width="12.109375" style="156" bestFit="1" customWidth="1"/>
    <col min="9469" max="9469" width="11.44140625" style="156"/>
    <col min="9470" max="9470" width="11.88671875" style="156" bestFit="1" customWidth="1"/>
    <col min="9471" max="9475" width="12.109375" style="156" bestFit="1" customWidth="1"/>
    <col min="9476" max="9715" width="11.44140625" style="156"/>
    <col min="9716" max="9716" width="52.6640625" style="156" customWidth="1"/>
    <col min="9717" max="9718" width="12.109375" style="156" customWidth="1"/>
    <col min="9719" max="9719" width="13.5546875" style="156" customWidth="1"/>
    <col min="9720" max="9720" width="11.44140625" style="156"/>
    <col min="9721" max="9721" width="11.88671875" style="156" bestFit="1" customWidth="1"/>
    <col min="9722" max="9724" width="12.109375" style="156" bestFit="1" customWidth="1"/>
    <col min="9725" max="9725" width="11.44140625" style="156"/>
    <col min="9726" max="9726" width="11.88671875" style="156" bestFit="1" customWidth="1"/>
    <col min="9727" max="9731" width="12.109375" style="156" bestFit="1" customWidth="1"/>
    <col min="9732" max="9971" width="11.44140625" style="156"/>
    <col min="9972" max="9972" width="52.6640625" style="156" customWidth="1"/>
    <col min="9973" max="9974" width="12.109375" style="156" customWidth="1"/>
    <col min="9975" max="9975" width="13.5546875" style="156" customWidth="1"/>
    <col min="9976" max="9976" width="11.44140625" style="156"/>
    <col min="9977" max="9977" width="11.88671875" style="156" bestFit="1" customWidth="1"/>
    <col min="9978" max="9980" width="12.109375" style="156" bestFit="1" customWidth="1"/>
    <col min="9981" max="9981" width="11.44140625" style="156"/>
    <col min="9982" max="9982" width="11.88671875" style="156" bestFit="1" customWidth="1"/>
    <col min="9983" max="9987" width="12.109375" style="156" bestFit="1" customWidth="1"/>
    <col min="9988" max="10227" width="11.44140625" style="156"/>
    <col min="10228" max="10228" width="52.6640625" style="156" customWidth="1"/>
    <col min="10229" max="10230" width="12.109375" style="156" customWidth="1"/>
    <col min="10231" max="10231" width="13.5546875" style="156" customWidth="1"/>
    <col min="10232" max="10232" width="11.44140625" style="156"/>
    <col min="10233" max="10233" width="11.88671875" style="156" bestFit="1" customWidth="1"/>
    <col min="10234" max="10236" width="12.109375" style="156" bestFit="1" customWidth="1"/>
    <col min="10237" max="10237" width="11.44140625" style="156"/>
    <col min="10238" max="10238" width="11.88671875" style="156" bestFit="1" customWidth="1"/>
    <col min="10239" max="10243" width="12.109375" style="156" bestFit="1" customWidth="1"/>
    <col min="10244" max="10483" width="11.44140625" style="156"/>
    <col min="10484" max="10484" width="52.6640625" style="156" customWidth="1"/>
    <col min="10485" max="10486" width="12.109375" style="156" customWidth="1"/>
    <col min="10487" max="10487" width="13.5546875" style="156" customWidth="1"/>
    <col min="10488" max="10488" width="11.44140625" style="156"/>
    <col min="10489" max="10489" width="11.88671875" style="156" bestFit="1" customWidth="1"/>
    <col min="10490" max="10492" width="12.109375" style="156" bestFit="1" customWidth="1"/>
    <col min="10493" max="10493" width="11.44140625" style="156"/>
    <col min="10494" max="10494" width="11.88671875" style="156" bestFit="1" customWidth="1"/>
    <col min="10495" max="10499" width="12.109375" style="156" bestFit="1" customWidth="1"/>
    <col min="10500" max="10739" width="11.44140625" style="156"/>
    <col min="10740" max="10740" width="52.6640625" style="156" customWidth="1"/>
    <col min="10741" max="10742" width="12.109375" style="156" customWidth="1"/>
    <col min="10743" max="10743" width="13.5546875" style="156" customWidth="1"/>
    <col min="10744" max="10744" width="11.44140625" style="156"/>
    <col min="10745" max="10745" width="11.88671875" style="156" bestFit="1" customWidth="1"/>
    <col min="10746" max="10748" width="12.109375" style="156" bestFit="1" customWidth="1"/>
    <col min="10749" max="10749" width="11.44140625" style="156"/>
    <col min="10750" max="10750" width="11.88671875" style="156" bestFit="1" customWidth="1"/>
    <col min="10751" max="10755" width="12.109375" style="156" bestFit="1" customWidth="1"/>
    <col min="10756" max="10995" width="11.44140625" style="156"/>
    <col min="10996" max="10996" width="52.6640625" style="156" customWidth="1"/>
    <col min="10997" max="10998" width="12.109375" style="156" customWidth="1"/>
    <col min="10999" max="10999" width="13.5546875" style="156" customWidth="1"/>
    <col min="11000" max="11000" width="11.44140625" style="156"/>
    <col min="11001" max="11001" width="11.88671875" style="156" bestFit="1" customWidth="1"/>
    <col min="11002" max="11004" width="12.109375" style="156" bestFit="1" customWidth="1"/>
    <col min="11005" max="11005" width="11.44140625" style="156"/>
    <col min="11006" max="11006" width="11.88671875" style="156" bestFit="1" customWidth="1"/>
    <col min="11007" max="11011" width="12.109375" style="156" bestFit="1" customWidth="1"/>
    <col min="11012" max="11251" width="11.44140625" style="156"/>
    <col min="11252" max="11252" width="52.6640625" style="156" customWidth="1"/>
    <col min="11253" max="11254" width="12.109375" style="156" customWidth="1"/>
    <col min="11255" max="11255" width="13.5546875" style="156" customWidth="1"/>
    <col min="11256" max="11256" width="11.44140625" style="156"/>
    <col min="11257" max="11257" width="11.88671875" style="156" bestFit="1" customWidth="1"/>
    <col min="11258" max="11260" width="12.109375" style="156" bestFit="1" customWidth="1"/>
    <col min="11261" max="11261" width="11.44140625" style="156"/>
    <col min="11262" max="11262" width="11.88671875" style="156" bestFit="1" customWidth="1"/>
    <col min="11263" max="11267" width="12.109375" style="156" bestFit="1" customWidth="1"/>
    <col min="11268" max="11507" width="11.44140625" style="156"/>
    <col min="11508" max="11508" width="52.6640625" style="156" customWidth="1"/>
    <col min="11509" max="11510" width="12.109375" style="156" customWidth="1"/>
    <col min="11511" max="11511" width="13.5546875" style="156" customWidth="1"/>
    <col min="11512" max="11512" width="11.44140625" style="156"/>
    <col min="11513" max="11513" width="11.88671875" style="156" bestFit="1" customWidth="1"/>
    <col min="11514" max="11516" width="12.109375" style="156" bestFit="1" customWidth="1"/>
    <col min="11517" max="11517" width="11.44140625" style="156"/>
    <col min="11518" max="11518" width="11.88671875" style="156" bestFit="1" customWidth="1"/>
    <col min="11519" max="11523" width="12.109375" style="156" bestFit="1" customWidth="1"/>
    <col min="11524" max="11763" width="11.44140625" style="156"/>
    <col min="11764" max="11764" width="52.6640625" style="156" customWidth="1"/>
    <col min="11765" max="11766" width="12.109375" style="156" customWidth="1"/>
    <col min="11767" max="11767" width="13.5546875" style="156" customWidth="1"/>
    <col min="11768" max="11768" width="11.44140625" style="156"/>
    <col min="11769" max="11769" width="11.88671875" style="156" bestFit="1" customWidth="1"/>
    <col min="11770" max="11772" width="12.109375" style="156" bestFit="1" customWidth="1"/>
    <col min="11773" max="11773" width="11.44140625" style="156"/>
    <col min="11774" max="11774" width="11.88671875" style="156" bestFit="1" customWidth="1"/>
    <col min="11775" max="11779" width="12.109375" style="156" bestFit="1" customWidth="1"/>
    <col min="11780" max="12019" width="11.44140625" style="156"/>
    <col min="12020" max="12020" width="52.6640625" style="156" customWidth="1"/>
    <col min="12021" max="12022" width="12.109375" style="156" customWidth="1"/>
    <col min="12023" max="12023" width="13.5546875" style="156" customWidth="1"/>
    <col min="12024" max="12024" width="11.44140625" style="156"/>
    <col min="12025" max="12025" width="11.88671875" style="156" bestFit="1" customWidth="1"/>
    <col min="12026" max="12028" width="12.109375" style="156" bestFit="1" customWidth="1"/>
    <col min="12029" max="12029" width="11.44140625" style="156"/>
    <col min="12030" max="12030" width="11.88671875" style="156" bestFit="1" customWidth="1"/>
    <col min="12031" max="12035" width="12.109375" style="156" bestFit="1" customWidth="1"/>
    <col min="12036" max="12275" width="11.44140625" style="156"/>
    <col min="12276" max="12276" width="52.6640625" style="156" customWidth="1"/>
    <col min="12277" max="12278" width="12.109375" style="156" customWidth="1"/>
    <col min="12279" max="12279" width="13.5546875" style="156" customWidth="1"/>
    <col min="12280" max="12280" width="11.44140625" style="156"/>
    <col min="12281" max="12281" width="11.88671875" style="156" bestFit="1" customWidth="1"/>
    <col min="12282" max="12284" width="12.109375" style="156" bestFit="1" customWidth="1"/>
    <col min="12285" max="12285" width="11.44140625" style="156"/>
    <col min="12286" max="12286" width="11.88671875" style="156" bestFit="1" customWidth="1"/>
    <col min="12287" max="12291" width="12.109375" style="156" bestFit="1" customWidth="1"/>
    <col min="12292" max="12531" width="11.44140625" style="156"/>
    <col min="12532" max="12532" width="52.6640625" style="156" customWidth="1"/>
    <col min="12533" max="12534" width="12.109375" style="156" customWidth="1"/>
    <col min="12535" max="12535" width="13.5546875" style="156" customWidth="1"/>
    <col min="12536" max="12536" width="11.44140625" style="156"/>
    <col min="12537" max="12537" width="11.88671875" style="156" bestFit="1" customWidth="1"/>
    <col min="12538" max="12540" width="12.109375" style="156" bestFit="1" customWidth="1"/>
    <col min="12541" max="12541" width="11.44140625" style="156"/>
    <col min="12542" max="12542" width="11.88671875" style="156" bestFit="1" customWidth="1"/>
    <col min="12543" max="12547" width="12.109375" style="156" bestFit="1" customWidth="1"/>
    <col min="12548" max="12787" width="11.44140625" style="156"/>
    <col min="12788" max="12788" width="52.6640625" style="156" customWidth="1"/>
    <col min="12789" max="12790" width="12.109375" style="156" customWidth="1"/>
    <col min="12791" max="12791" width="13.5546875" style="156" customWidth="1"/>
    <col min="12792" max="12792" width="11.44140625" style="156"/>
    <col min="12793" max="12793" width="11.88671875" style="156" bestFit="1" customWidth="1"/>
    <col min="12794" max="12796" width="12.109375" style="156" bestFit="1" customWidth="1"/>
    <col min="12797" max="12797" width="11.44140625" style="156"/>
    <col min="12798" max="12798" width="11.88671875" style="156" bestFit="1" customWidth="1"/>
    <col min="12799" max="12803" width="12.109375" style="156" bestFit="1" customWidth="1"/>
    <col min="12804" max="13043" width="11.44140625" style="156"/>
    <col min="13044" max="13044" width="52.6640625" style="156" customWidth="1"/>
    <col min="13045" max="13046" width="12.109375" style="156" customWidth="1"/>
    <col min="13047" max="13047" width="13.5546875" style="156" customWidth="1"/>
    <col min="13048" max="13048" width="11.44140625" style="156"/>
    <col min="13049" max="13049" width="11.88671875" style="156" bestFit="1" customWidth="1"/>
    <col min="13050" max="13052" width="12.109375" style="156" bestFit="1" customWidth="1"/>
    <col min="13053" max="13053" width="11.44140625" style="156"/>
    <col min="13054" max="13054" width="11.88671875" style="156" bestFit="1" customWidth="1"/>
    <col min="13055" max="13059" width="12.109375" style="156" bestFit="1" customWidth="1"/>
    <col min="13060" max="13299" width="11.44140625" style="156"/>
    <col min="13300" max="13300" width="52.6640625" style="156" customWidth="1"/>
    <col min="13301" max="13302" width="12.109375" style="156" customWidth="1"/>
    <col min="13303" max="13303" width="13.5546875" style="156" customWidth="1"/>
    <col min="13304" max="13304" width="11.44140625" style="156"/>
    <col min="13305" max="13305" width="11.88671875" style="156" bestFit="1" customWidth="1"/>
    <col min="13306" max="13308" width="12.109375" style="156" bestFit="1" customWidth="1"/>
    <col min="13309" max="13309" width="11.44140625" style="156"/>
    <col min="13310" max="13310" width="11.88671875" style="156" bestFit="1" customWidth="1"/>
    <col min="13311" max="13315" width="12.109375" style="156" bestFit="1" customWidth="1"/>
    <col min="13316" max="13555" width="11.44140625" style="156"/>
    <col min="13556" max="13556" width="52.6640625" style="156" customWidth="1"/>
    <col min="13557" max="13558" width="12.109375" style="156" customWidth="1"/>
    <col min="13559" max="13559" width="13.5546875" style="156" customWidth="1"/>
    <col min="13560" max="13560" width="11.44140625" style="156"/>
    <col min="13561" max="13561" width="11.88671875" style="156" bestFit="1" customWidth="1"/>
    <col min="13562" max="13564" width="12.109375" style="156" bestFit="1" customWidth="1"/>
    <col min="13565" max="13565" width="11.44140625" style="156"/>
    <col min="13566" max="13566" width="11.88671875" style="156" bestFit="1" customWidth="1"/>
    <col min="13567" max="13571" width="12.109375" style="156" bestFit="1" customWidth="1"/>
    <col min="13572" max="13811" width="11.44140625" style="156"/>
    <col min="13812" max="13812" width="52.6640625" style="156" customWidth="1"/>
    <col min="13813" max="13814" width="12.109375" style="156" customWidth="1"/>
    <col min="13815" max="13815" width="13.5546875" style="156" customWidth="1"/>
    <col min="13816" max="13816" width="11.44140625" style="156"/>
    <col min="13817" max="13817" width="11.88671875" style="156" bestFit="1" customWidth="1"/>
    <col min="13818" max="13820" width="12.109375" style="156" bestFit="1" customWidth="1"/>
    <col min="13821" max="13821" width="11.44140625" style="156"/>
    <col min="13822" max="13822" width="11.88671875" style="156" bestFit="1" customWidth="1"/>
    <col min="13823" max="13827" width="12.109375" style="156" bestFit="1" customWidth="1"/>
    <col min="13828" max="14067" width="11.44140625" style="156"/>
    <col min="14068" max="14068" width="52.6640625" style="156" customWidth="1"/>
    <col min="14069" max="14070" width="12.109375" style="156" customWidth="1"/>
    <col min="14071" max="14071" width="13.5546875" style="156" customWidth="1"/>
    <col min="14072" max="14072" width="11.44140625" style="156"/>
    <col min="14073" max="14073" width="11.88671875" style="156" bestFit="1" customWidth="1"/>
    <col min="14074" max="14076" width="12.109375" style="156" bestFit="1" customWidth="1"/>
    <col min="14077" max="14077" width="11.44140625" style="156"/>
    <col min="14078" max="14078" width="11.88671875" style="156" bestFit="1" customWidth="1"/>
    <col min="14079" max="14083" width="12.109375" style="156" bestFit="1" customWidth="1"/>
    <col min="14084" max="14323" width="11.44140625" style="156"/>
    <col min="14324" max="14324" width="52.6640625" style="156" customWidth="1"/>
    <col min="14325" max="14326" width="12.109375" style="156" customWidth="1"/>
    <col min="14327" max="14327" width="13.5546875" style="156" customWidth="1"/>
    <col min="14328" max="14328" width="11.44140625" style="156"/>
    <col min="14329" max="14329" width="11.88671875" style="156" bestFit="1" customWidth="1"/>
    <col min="14330" max="14332" width="12.109375" style="156" bestFit="1" customWidth="1"/>
    <col min="14333" max="14333" width="11.44140625" style="156"/>
    <col min="14334" max="14334" width="11.88671875" style="156" bestFit="1" customWidth="1"/>
    <col min="14335" max="14339" width="12.109375" style="156" bestFit="1" customWidth="1"/>
    <col min="14340" max="14579" width="11.44140625" style="156"/>
    <col min="14580" max="14580" width="52.6640625" style="156" customWidth="1"/>
    <col min="14581" max="14582" width="12.109375" style="156" customWidth="1"/>
    <col min="14583" max="14583" width="13.5546875" style="156" customWidth="1"/>
    <col min="14584" max="14584" width="11.44140625" style="156"/>
    <col min="14585" max="14585" width="11.88671875" style="156" bestFit="1" customWidth="1"/>
    <col min="14586" max="14588" width="12.109375" style="156" bestFit="1" customWidth="1"/>
    <col min="14589" max="14589" width="11.44140625" style="156"/>
    <col min="14590" max="14590" width="11.88671875" style="156" bestFit="1" customWidth="1"/>
    <col min="14591" max="14595" width="12.109375" style="156" bestFit="1" customWidth="1"/>
    <col min="14596" max="14835" width="11.44140625" style="156"/>
    <col min="14836" max="14836" width="52.6640625" style="156" customWidth="1"/>
    <col min="14837" max="14838" width="12.109375" style="156" customWidth="1"/>
    <col min="14839" max="14839" width="13.5546875" style="156" customWidth="1"/>
    <col min="14840" max="14840" width="11.44140625" style="156"/>
    <col min="14841" max="14841" width="11.88671875" style="156" bestFit="1" customWidth="1"/>
    <col min="14842" max="14844" width="12.109375" style="156" bestFit="1" customWidth="1"/>
    <col min="14845" max="14845" width="11.44140625" style="156"/>
    <col min="14846" max="14846" width="11.88671875" style="156" bestFit="1" customWidth="1"/>
    <col min="14847" max="14851" width="12.109375" style="156" bestFit="1" customWidth="1"/>
    <col min="14852" max="15091" width="11.44140625" style="156"/>
    <col min="15092" max="15092" width="52.6640625" style="156" customWidth="1"/>
    <col min="15093" max="15094" width="12.109375" style="156" customWidth="1"/>
    <col min="15095" max="15095" width="13.5546875" style="156" customWidth="1"/>
    <col min="15096" max="15096" width="11.44140625" style="156"/>
    <col min="15097" max="15097" width="11.88671875" style="156" bestFit="1" customWidth="1"/>
    <col min="15098" max="15100" width="12.109375" style="156" bestFit="1" customWidth="1"/>
    <col min="15101" max="15101" width="11.44140625" style="156"/>
    <col min="15102" max="15102" width="11.88671875" style="156" bestFit="1" customWidth="1"/>
    <col min="15103" max="15107" width="12.109375" style="156" bestFit="1" customWidth="1"/>
    <col min="15108" max="15347" width="11.44140625" style="156"/>
    <col min="15348" max="15348" width="52.6640625" style="156" customWidth="1"/>
    <col min="15349" max="15350" width="12.109375" style="156" customWidth="1"/>
    <col min="15351" max="15351" width="13.5546875" style="156" customWidth="1"/>
    <col min="15352" max="15352" width="11.44140625" style="156"/>
    <col min="15353" max="15353" width="11.88671875" style="156" bestFit="1" customWidth="1"/>
    <col min="15354" max="15356" width="12.109375" style="156" bestFit="1" customWidth="1"/>
    <col min="15357" max="15357" width="11.44140625" style="156"/>
    <col min="15358" max="15358" width="11.88671875" style="156" bestFit="1" customWidth="1"/>
    <col min="15359" max="15363" width="12.109375" style="156" bestFit="1" customWidth="1"/>
    <col min="15364" max="15603" width="11.44140625" style="156"/>
    <col min="15604" max="15604" width="52.6640625" style="156" customWidth="1"/>
    <col min="15605" max="15606" width="12.109375" style="156" customWidth="1"/>
    <col min="15607" max="15607" width="13.5546875" style="156" customWidth="1"/>
    <col min="15608" max="15608" width="11.44140625" style="156"/>
    <col min="15609" max="15609" width="11.88671875" style="156" bestFit="1" customWidth="1"/>
    <col min="15610" max="15612" width="12.109375" style="156" bestFit="1" customWidth="1"/>
    <col min="15613" max="15613" width="11.44140625" style="156"/>
    <col min="15614" max="15614" width="11.88671875" style="156" bestFit="1" customWidth="1"/>
    <col min="15615" max="15619" width="12.109375" style="156" bestFit="1" customWidth="1"/>
    <col min="15620" max="15859" width="11.44140625" style="156"/>
    <col min="15860" max="15860" width="52.6640625" style="156" customWidth="1"/>
    <col min="15861" max="15862" width="12.109375" style="156" customWidth="1"/>
    <col min="15863" max="15863" width="13.5546875" style="156" customWidth="1"/>
    <col min="15864" max="15864" width="11.44140625" style="156"/>
    <col min="15865" max="15865" width="11.88671875" style="156" bestFit="1" customWidth="1"/>
    <col min="15866" max="15868" width="12.109375" style="156" bestFit="1" customWidth="1"/>
    <col min="15869" max="15869" width="11.44140625" style="156"/>
    <col min="15870" max="15870" width="11.88671875" style="156" bestFit="1" customWidth="1"/>
    <col min="15871" max="15875" width="12.109375" style="156" bestFit="1" customWidth="1"/>
    <col min="15876" max="16115" width="11.44140625" style="156"/>
    <col min="16116" max="16116" width="52.6640625" style="156" customWidth="1"/>
    <col min="16117" max="16118" width="12.109375" style="156" customWidth="1"/>
    <col min="16119" max="16119" width="13.5546875" style="156" customWidth="1"/>
    <col min="16120" max="16120" width="11.44140625" style="156"/>
    <col min="16121" max="16121" width="11.88671875" style="156" bestFit="1" customWidth="1"/>
    <col min="16122" max="16124" width="12.109375" style="156" bestFit="1" customWidth="1"/>
    <col min="16125" max="16125" width="11.44140625" style="156"/>
    <col min="16126" max="16126" width="11.88671875" style="156" bestFit="1" customWidth="1"/>
    <col min="16127" max="16131" width="12.109375" style="156" bestFit="1" customWidth="1"/>
    <col min="16132" max="16384" width="11.44140625" style="156"/>
  </cols>
  <sheetData>
    <row r="2" spans="1:12" ht="14.4">
      <c r="A2" s="268" t="str">
        <f>+CCF!A2</f>
        <v>AL SERVICIOS MULTIPLES EMPRESARIALES SA DE CV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2">
      <c r="A3" s="270" t="s">
        <v>195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</row>
    <row r="4" spans="1:12">
      <c r="B4" s="157"/>
    </row>
    <row r="6" spans="1:12" s="159" customFormat="1">
      <c r="B6" s="160">
        <v>2014</v>
      </c>
      <c r="C6" s="161">
        <v>2015</v>
      </c>
      <c r="D6" s="161">
        <v>2016</v>
      </c>
      <c r="E6" s="161">
        <v>2017</v>
      </c>
      <c r="F6" s="161">
        <v>2018</v>
      </c>
      <c r="G6" s="161">
        <v>2019</v>
      </c>
      <c r="H6" s="161">
        <v>2020</v>
      </c>
      <c r="I6" s="161">
        <v>2021</v>
      </c>
      <c r="J6" s="161">
        <v>2022</v>
      </c>
      <c r="K6" s="161">
        <v>2023</v>
      </c>
      <c r="L6" s="161">
        <v>2024</v>
      </c>
    </row>
    <row r="7" spans="1:12" s="159" customFormat="1">
      <c r="C7" s="162"/>
      <c r="D7" s="162"/>
      <c r="E7" s="162"/>
      <c r="F7" s="162"/>
      <c r="G7" s="162"/>
      <c r="H7" s="162"/>
      <c r="I7" s="162"/>
      <c r="J7" s="162"/>
      <c r="K7" s="162"/>
      <c r="L7" s="162"/>
    </row>
    <row r="8" spans="1:12">
      <c r="A8" s="163" t="s">
        <v>196</v>
      </c>
      <c r="B8" s="164">
        <v>0</v>
      </c>
      <c r="C8" s="164">
        <v>0</v>
      </c>
      <c r="D8" s="164">
        <v>0</v>
      </c>
      <c r="E8" s="164">
        <v>65148</v>
      </c>
      <c r="F8" s="164">
        <v>47265</v>
      </c>
      <c r="G8" s="164">
        <v>63635</v>
      </c>
      <c r="H8" s="164">
        <v>0</v>
      </c>
      <c r="I8" s="164">
        <v>119623.18308300152</v>
      </c>
      <c r="J8" s="164">
        <v>0</v>
      </c>
      <c r="K8" s="164">
        <v>0</v>
      </c>
      <c r="L8" s="164" t="e">
        <f>+CCF!D84</f>
        <v>#REF!</v>
      </c>
    </row>
    <row r="9" spans="1:12">
      <c r="A9" s="163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</row>
    <row r="10" spans="1:12">
      <c r="A10" s="163" t="s">
        <v>197</v>
      </c>
      <c r="B10" s="164">
        <f t="shared" ref="B10" si="0">+B8*0.3</f>
        <v>0</v>
      </c>
      <c r="C10" s="164">
        <f>+C8*0.3</f>
        <v>0</v>
      </c>
      <c r="D10" s="164">
        <f t="shared" ref="D10:I10" si="1">+D8*0.3</f>
        <v>0</v>
      </c>
      <c r="E10" s="164">
        <f t="shared" si="1"/>
        <v>19544.399999999998</v>
      </c>
      <c r="F10" s="164">
        <f t="shared" si="1"/>
        <v>14179.5</v>
      </c>
      <c r="G10" s="164">
        <f t="shared" si="1"/>
        <v>19090.5</v>
      </c>
      <c r="H10" s="164">
        <f t="shared" si="1"/>
        <v>0</v>
      </c>
      <c r="I10" s="164">
        <f t="shared" si="1"/>
        <v>35886.954924900456</v>
      </c>
      <c r="J10" s="164">
        <f t="shared" ref="J10:L10" si="2">+J8*0.3</f>
        <v>0</v>
      </c>
      <c r="K10" s="164">
        <v>0</v>
      </c>
      <c r="L10" s="164" t="e">
        <f t="shared" si="2"/>
        <v>#REF!</v>
      </c>
    </row>
    <row r="11" spans="1:12">
      <c r="A11" s="163"/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</row>
    <row r="12" spans="1:12">
      <c r="A12" s="163" t="s">
        <v>34</v>
      </c>
      <c r="B12" s="164">
        <v>0</v>
      </c>
      <c r="C12" s="164">
        <v>0</v>
      </c>
      <c r="D12" s="164">
        <v>0</v>
      </c>
      <c r="E12" s="164">
        <v>0</v>
      </c>
      <c r="F12" s="164">
        <v>34061</v>
      </c>
      <c r="G12" s="164">
        <v>97565</v>
      </c>
      <c r="H12" s="164">
        <v>2515</v>
      </c>
      <c r="I12" s="164">
        <v>269252.40000000002</v>
      </c>
      <c r="J12" s="164">
        <v>147060</v>
      </c>
      <c r="K12" s="164">
        <v>133883.31</v>
      </c>
      <c r="L12" s="164">
        <f>+CCF!B55</f>
        <v>43318.29</v>
      </c>
    </row>
    <row r="13" spans="1:12">
      <c r="A13" s="163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</row>
    <row r="14" spans="1:12">
      <c r="A14" s="163" t="s">
        <v>198</v>
      </c>
      <c r="B14" s="164">
        <v>0</v>
      </c>
      <c r="C14" s="164">
        <v>0</v>
      </c>
      <c r="D14" s="164">
        <v>0</v>
      </c>
      <c r="E14" s="164">
        <v>0</v>
      </c>
      <c r="F14" s="164">
        <v>0</v>
      </c>
      <c r="G14" s="164">
        <v>0</v>
      </c>
      <c r="H14" s="164">
        <v>0</v>
      </c>
      <c r="I14" s="164">
        <v>0</v>
      </c>
      <c r="J14" s="164">
        <v>0</v>
      </c>
      <c r="K14" s="164">
        <v>0</v>
      </c>
      <c r="L14" s="164">
        <v>0</v>
      </c>
    </row>
    <row r="15" spans="1:12">
      <c r="A15" s="163"/>
      <c r="B15" s="164"/>
    </row>
    <row r="16" spans="1:12">
      <c r="A16" s="163" t="s">
        <v>199</v>
      </c>
      <c r="B16" s="164"/>
    </row>
    <row r="17" spans="1:12" ht="13.8" thickBot="1">
      <c r="A17" s="163"/>
      <c r="B17" s="165"/>
      <c r="C17" s="166"/>
      <c r="D17" s="166"/>
      <c r="E17" s="166"/>
      <c r="F17" s="166"/>
      <c r="G17" s="166"/>
      <c r="H17" s="166"/>
      <c r="I17" s="166"/>
      <c r="J17" s="166"/>
      <c r="K17" s="166"/>
      <c r="L17" s="166"/>
    </row>
    <row r="18" spans="1:12">
      <c r="A18" s="163"/>
      <c r="B18" s="164"/>
    </row>
    <row r="19" spans="1:12">
      <c r="A19" s="163" t="s">
        <v>200</v>
      </c>
      <c r="B19" s="164">
        <f t="shared" ref="B19:C19" si="3">+B8-B10-B12-B14-B16</f>
        <v>0</v>
      </c>
      <c r="C19" s="167">
        <f t="shared" si="3"/>
        <v>0</v>
      </c>
      <c r="D19" s="167">
        <f>+D8-D10-D12-D14-D16</f>
        <v>0</v>
      </c>
      <c r="E19" s="164">
        <f t="shared" ref="E19:H19" si="4">+E8-E10-E12-E14-E16</f>
        <v>45603.600000000006</v>
      </c>
      <c r="F19" s="164">
        <f t="shared" si="4"/>
        <v>-975.5</v>
      </c>
      <c r="G19" s="164">
        <f t="shared" si="4"/>
        <v>-53020.5</v>
      </c>
      <c r="H19" s="164">
        <f t="shared" si="4"/>
        <v>-2515</v>
      </c>
      <c r="I19" s="164">
        <f>+I8-I10-I12-I14-I16</f>
        <v>-185516.17184189896</v>
      </c>
      <c r="J19" s="164">
        <f>+J8-J10-J12-J14-J16</f>
        <v>-147060</v>
      </c>
      <c r="K19" s="164">
        <f>+K8-K10-K12-K14-K16</f>
        <v>-133883.31</v>
      </c>
      <c r="L19" s="164" t="e">
        <f>+L8-L10-L12-L14-L16</f>
        <v>#REF!</v>
      </c>
    </row>
    <row r="20" spans="1:12">
      <c r="B20" s="168"/>
    </row>
    <row r="21" spans="1:12">
      <c r="B21" s="164"/>
    </row>
    <row r="22" spans="1:12" s="171" customFormat="1" ht="14.4">
      <c r="A22" s="163"/>
      <c r="B22" s="169" t="s">
        <v>201</v>
      </c>
      <c r="C22" s="170" t="str">
        <f>+B25</f>
        <v>DIC.2014</v>
      </c>
      <c r="D22" s="170" t="str">
        <f t="shared" ref="D22:G23" si="5">+C25</f>
        <v>DIC.2015</v>
      </c>
      <c r="E22" s="170" t="str">
        <f t="shared" si="5"/>
        <v>DIC.2016</v>
      </c>
      <c r="F22" s="170" t="str">
        <f t="shared" si="5"/>
        <v>DIC.2017</v>
      </c>
      <c r="G22" s="170" t="str">
        <f t="shared" si="5"/>
        <v>DIC.2018</v>
      </c>
      <c r="H22" s="170" t="str">
        <f t="shared" ref="H22:I23" si="6">+G25</f>
        <v>DIC.2019</v>
      </c>
      <c r="I22" s="170" t="str">
        <f t="shared" si="6"/>
        <v>DIC.2020</v>
      </c>
      <c r="J22" s="170" t="s">
        <v>209</v>
      </c>
      <c r="K22" s="170" t="s">
        <v>361</v>
      </c>
      <c r="L22" s="170" t="str">
        <f>+K25</f>
        <v>DIC.2023</v>
      </c>
    </row>
    <row r="23" spans="1:12" ht="14.4">
      <c r="B23" s="172">
        <v>83.77</v>
      </c>
      <c r="C23" s="173">
        <f>+B26</f>
        <v>87.188999999999993</v>
      </c>
      <c r="D23" s="173">
        <f>+C26</f>
        <v>89.046999999999997</v>
      </c>
      <c r="E23" s="173">
        <f>+D26</f>
        <v>92.039000000000001</v>
      </c>
      <c r="F23" s="173">
        <f t="shared" si="5"/>
        <v>98.272999999999996</v>
      </c>
      <c r="G23" s="173">
        <f>+F26</f>
        <v>103.02</v>
      </c>
      <c r="H23" s="173">
        <f t="shared" si="6"/>
        <v>105.934</v>
      </c>
      <c r="I23" s="173">
        <f t="shared" si="6"/>
        <v>109.271</v>
      </c>
      <c r="J23" s="173">
        <v>117.30800000000001</v>
      </c>
      <c r="K23" s="173">
        <v>126.47799999999999</v>
      </c>
      <c r="L23" s="173">
        <f>+K26</f>
        <v>132.37299999999999</v>
      </c>
    </row>
    <row r="24" spans="1:12">
      <c r="B24" s="174"/>
      <c r="C24" s="175"/>
    </row>
    <row r="25" spans="1:12" s="171" customFormat="1" ht="14.4">
      <c r="B25" s="169" t="s">
        <v>202</v>
      </c>
      <c r="C25" s="176" t="s">
        <v>203</v>
      </c>
      <c r="D25" s="177" t="s">
        <v>204</v>
      </c>
      <c r="E25" s="177" t="s">
        <v>205</v>
      </c>
      <c r="F25" s="177" t="s">
        <v>206</v>
      </c>
      <c r="G25" s="177" t="s">
        <v>207</v>
      </c>
      <c r="H25" s="177" t="s">
        <v>208</v>
      </c>
      <c r="I25" s="177" t="s">
        <v>209</v>
      </c>
      <c r="J25" s="177" t="s">
        <v>361</v>
      </c>
      <c r="K25" s="177" t="s">
        <v>419</v>
      </c>
      <c r="L25" s="177" t="s">
        <v>446</v>
      </c>
    </row>
    <row r="26" spans="1:12" ht="14.4">
      <c r="B26" s="172">
        <v>87.188999999999993</v>
      </c>
      <c r="C26" s="178">
        <v>89.046999999999997</v>
      </c>
      <c r="D26" s="178">
        <v>92.039000000000001</v>
      </c>
      <c r="E26" s="178">
        <v>98.272999999999996</v>
      </c>
      <c r="F26" s="178">
        <v>103.02</v>
      </c>
      <c r="G26" s="178">
        <v>105.934</v>
      </c>
      <c r="H26" s="178">
        <v>109.271</v>
      </c>
      <c r="I26" s="178">
        <v>117.30800000000001</v>
      </c>
      <c r="J26" s="178">
        <v>126.47799999999999</v>
      </c>
      <c r="K26" s="178">
        <v>132.37299999999999</v>
      </c>
      <c r="L26" s="178">
        <v>137.94900000000001</v>
      </c>
    </row>
    <row r="27" spans="1:12">
      <c r="B27" s="174"/>
    </row>
    <row r="28" spans="1:12" s="171" customFormat="1" ht="14.4">
      <c r="A28" s="179" t="s">
        <v>210</v>
      </c>
      <c r="B28" s="180">
        <f>TRUNC(B26/B23,4)</f>
        <v>1.0407999999999999</v>
      </c>
      <c r="C28" s="181">
        <f t="shared" ref="C28:H28" si="7">TRUNC(C26/C23,4)</f>
        <v>1.0213000000000001</v>
      </c>
      <c r="D28" s="181">
        <f t="shared" si="7"/>
        <v>1.0336000000000001</v>
      </c>
      <c r="E28" s="181">
        <f t="shared" si="7"/>
        <v>1.0677000000000001</v>
      </c>
      <c r="F28" s="181">
        <f t="shared" si="7"/>
        <v>1.0483</v>
      </c>
      <c r="G28" s="181">
        <f t="shared" si="7"/>
        <v>1.0282</v>
      </c>
      <c r="H28" s="181">
        <f t="shared" si="7"/>
        <v>1.0315000000000001</v>
      </c>
      <c r="I28" s="181">
        <f>TRUNC(I26/I23,4)</f>
        <v>1.0734999999999999</v>
      </c>
      <c r="J28" s="181">
        <f>TRUNC(J26/J23,4)</f>
        <v>1.0781000000000001</v>
      </c>
      <c r="K28" s="181">
        <f>TRUNC(K26/K23,4)</f>
        <v>1.0466</v>
      </c>
      <c r="L28" s="181">
        <f>TRUNC(L26/L23,4)</f>
        <v>1.0421</v>
      </c>
    </row>
    <row r="29" spans="1:12">
      <c r="B29" s="174"/>
    </row>
    <row r="30" spans="1:12">
      <c r="B30" s="174"/>
    </row>
    <row r="31" spans="1:12">
      <c r="B31" s="174"/>
    </row>
    <row r="32" spans="1:12">
      <c r="B32" s="174"/>
    </row>
    <row r="33" spans="1:12">
      <c r="B33" s="174"/>
    </row>
    <row r="34" spans="1:12">
      <c r="B34" s="174"/>
    </row>
    <row r="35" spans="1:12">
      <c r="B35" s="174"/>
    </row>
    <row r="36" spans="1:12" ht="14.4">
      <c r="A36" s="179" t="s">
        <v>211</v>
      </c>
      <c r="B36" s="174">
        <v>0</v>
      </c>
      <c r="C36" s="182">
        <f t="shared" ref="C36:E36" si="8">+B39</f>
        <v>0</v>
      </c>
      <c r="D36" s="182">
        <f t="shared" si="8"/>
        <v>0</v>
      </c>
      <c r="E36" s="182">
        <f t="shared" si="8"/>
        <v>0</v>
      </c>
      <c r="F36" s="182">
        <f>+E39</f>
        <v>45603.600000000006</v>
      </c>
      <c r="G36" s="182">
        <f>+F39</f>
        <v>46830.753880000004</v>
      </c>
      <c r="H36" s="182">
        <f>+G39</f>
        <v>-4869.1188605839925</v>
      </c>
      <c r="I36" s="182">
        <f>+H39</f>
        <v>-7537.4961046923891</v>
      </c>
      <c r="J36" s="182">
        <f t="shared" ref="J36:L36" si="9">+I39</f>
        <v>-193607.67391028625</v>
      </c>
      <c r="K36" s="182">
        <f t="shared" si="9"/>
        <v>-355788.43324267957</v>
      </c>
      <c r="L36" s="182">
        <f t="shared" si="9"/>
        <v>-506251.48423178843</v>
      </c>
    </row>
    <row r="37" spans="1:12">
      <c r="B37" s="174"/>
    </row>
    <row r="38" spans="1:12" ht="14.4">
      <c r="A38" s="179" t="s">
        <v>212</v>
      </c>
      <c r="B38" s="183">
        <f>+B36*B28</f>
        <v>0</v>
      </c>
      <c r="C38" s="184">
        <f t="shared" ref="C38:E38" si="10">+C36*C28</f>
        <v>0</v>
      </c>
      <c r="D38" s="184">
        <f t="shared" si="10"/>
        <v>0</v>
      </c>
      <c r="E38" s="184">
        <f t="shared" si="10"/>
        <v>0</v>
      </c>
      <c r="F38" s="184">
        <f t="shared" ref="F38:H38" si="11">+F36*F28</f>
        <v>47806.253880000004</v>
      </c>
      <c r="G38" s="184">
        <f t="shared" si="11"/>
        <v>48151.381139416007</v>
      </c>
      <c r="H38" s="184">
        <f t="shared" si="11"/>
        <v>-5022.4961046923891</v>
      </c>
      <c r="I38" s="184">
        <f>+I36*I28</f>
        <v>-8091.502068387279</v>
      </c>
      <c r="J38" s="184">
        <f>+J36*J28</f>
        <v>-208728.4332426796</v>
      </c>
      <c r="K38" s="184">
        <f>+K36*K28</f>
        <v>-372368.17423178843</v>
      </c>
      <c r="L38" s="184">
        <f>+L36*L28</f>
        <v>-527564.67171794677</v>
      </c>
    </row>
    <row r="39" spans="1:12" ht="14.4">
      <c r="A39" s="179" t="s">
        <v>213</v>
      </c>
      <c r="B39" s="185">
        <f t="shared" ref="B39:H39" si="12">+B38+B19</f>
        <v>0</v>
      </c>
      <c r="C39" s="186">
        <f t="shared" si="12"/>
        <v>0</v>
      </c>
      <c r="D39" s="186">
        <f t="shared" si="12"/>
        <v>0</v>
      </c>
      <c r="E39" s="186">
        <f t="shared" si="12"/>
        <v>45603.600000000006</v>
      </c>
      <c r="F39" s="186">
        <f t="shared" si="12"/>
        <v>46830.753880000004</v>
      </c>
      <c r="G39" s="186">
        <f>+G38+G19</f>
        <v>-4869.1188605839925</v>
      </c>
      <c r="H39" s="186">
        <f t="shared" si="12"/>
        <v>-7537.4961046923891</v>
      </c>
      <c r="I39" s="186">
        <f>+I38+I19</f>
        <v>-193607.67391028625</v>
      </c>
      <c r="J39" s="186">
        <f>+J38+J19</f>
        <v>-355788.43324267957</v>
      </c>
      <c r="K39" s="186">
        <f>+K38+K19</f>
        <v>-506251.48423178843</v>
      </c>
      <c r="L39" s="186" t="e">
        <f>+L38+L19</f>
        <v>#REF!</v>
      </c>
    </row>
    <row r="46" spans="1:12">
      <c r="C46" s="156"/>
      <c r="D46" s="156"/>
      <c r="E46" s="156"/>
      <c r="F46" s="156"/>
      <c r="G46" s="156"/>
      <c r="H46" s="156"/>
      <c r="I46" s="156"/>
      <c r="J46" s="156"/>
      <c r="K46" s="156"/>
      <c r="L46" s="156"/>
    </row>
    <row r="47" spans="1:12">
      <c r="C47" s="156"/>
      <c r="D47" s="156"/>
      <c r="E47" s="156"/>
      <c r="F47" s="156"/>
      <c r="G47" s="156"/>
      <c r="H47" s="156"/>
      <c r="I47" s="156"/>
      <c r="J47" s="156"/>
      <c r="K47" s="156"/>
      <c r="L47" s="156"/>
    </row>
    <row r="48" spans="1:12">
      <c r="C48" s="156"/>
      <c r="D48" s="156"/>
      <c r="E48" s="156"/>
      <c r="F48" s="156"/>
      <c r="G48" s="156"/>
      <c r="H48" s="156"/>
      <c r="I48" s="156"/>
      <c r="J48" s="156"/>
      <c r="K48" s="156"/>
      <c r="L48" s="156"/>
    </row>
    <row r="49" s="156" customFormat="1"/>
    <row r="50" s="156" customFormat="1"/>
    <row r="51" s="156" customFormat="1"/>
    <row r="52" s="156" customFormat="1"/>
    <row r="54" s="156" customFormat="1"/>
    <row r="55" s="156" customFormat="1"/>
    <row r="56" s="156" customFormat="1"/>
    <row r="57" s="156" customFormat="1"/>
    <row r="58" s="156" customFormat="1"/>
    <row r="60" s="156" customFormat="1"/>
    <row r="61" s="156" customFormat="1"/>
    <row r="62" s="156" customFormat="1"/>
    <row r="63" s="156" customFormat="1"/>
    <row r="64" s="156" customFormat="1"/>
    <row r="65" s="156" customFormat="1"/>
    <row r="66" s="156" customFormat="1"/>
    <row r="67" s="156" customFormat="1"/>
    <row r="69" s="156" customFormat="1"/>
    <row r="70" s="156" customFormat="1"/>
    <row r="71" s="156" customFormat="1"/>
    <row r="72" s="156" customFormat="1"/>
    <row r="73" s="156" customFormat="1"/>
    <row r="74" s="156" customFormat="1"/>
    <row r="75" s="156" customFormat="1"/>
    <row r="77" s="156" customFormat="1"/>
    <row r="78" s="156" customFormat="1"/>
    <row r="79" s="156" customFormat="1"/>
    <row r="80" s="156" customFormat="1"/>
    <row r="81" s="156" customFormat="1"/>
    <row r="82" s="156" customFormat="1"/>
    <row r="83" s="156" customFormat="1"/>
    <row r="85" s="156" customFormat="1"/>
  </sheetData>
  <mergeCells count="2">
    <mergeCell ref="A2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98"/>
  <sheetViews>
    <sheetView topLeftCell="A46" zoomScale="70" zoomScaleNormal="70" workbookViewId="0">
      <selection activeCell="C4" sqref="C4:G4"/>
    </sheetView>
  </sheetViews>
  <sheetFormatPr baseColWidth="10" defaultRowHeight="13.2"/>
  <cols>
    <col min="1" max="1" width="81.6640625" customWidth="1"/>
    <col min="2" max="5" width="17" bestFit="1" customWidth="1"/>
    <col min="6" max="6" width="21.109375" bestFit="1" customWidth="1"/>
    <col min="7" max="7" width="19.88671875" customWidth="1"/>
    <col min="8" max="8" width="15.5546875" bestFit="1" customWidth="1"/>
    <col min="9" max="9" width="17.33203125" bestFit="1" customWidth="1"/>
    <col min="257" max="257" width="81.6640625" customWidth="1"/>
    <col min="258" max="261" width="17" bestFit="1" customWidth="1"/>
    <col min="262" max="262" width="19.44140625" bestFit="1" customWidth="1"/>
    <col min="263" max="263" width="19.88671875" customWidth="1"/>
    <col min="513" max="513" width="81.6640625" customWidth="1"/>
    <col min="514" max="517" width="17" bestFit="1" customWidth="1"/>
    <col min="518" max="518" width="19.44140625" bestFit="1" customWidth="1"/>
    <col min="519" max="519" width="19.88671875" customWidth="1"/>
    <col min="769" max="769" width="81.6640625" customWidth="1"/>
    <col min="770" max="773" width="17" bestFit="1" customWidth="1"/>
    <col min="774" max="774" width="19.44140625" bestFit="1" customWidth="1"/>
    <col min="775" max="775" width="19.88671875" customWidth="1"/>
    <col min="1025" max="1025" width="81.6640625" customWidth="1"/>
    <col min="1026" max="1029" width="17" bestFit="1" customWidth="1"/>
    <col min="1030" max="1030" width="19.44140625" bestFit="1" customWidth="1"/>
    <col min="1031" max="1031" width="19.88671875" customWidth="1"/>
    <col min="1281" max="1281" width="81.6640625" customWidth="1"/>
    <col min="1282" max="1285" width="17" bestFit="1" customWidth="1"/>
    <col min="1286" max="1286" width="19.44140625" bestFit="1" customWidth="1"/>
    <col min="1287" max="1287" width="19.88671875" customWidth="1"/>
    <col min="1537" max="1537" width="81.6640625" customWidth="1"/>
    <col min="1538" max="1541" width="17" bestFit="1" customWidth="1"/>
    <col min="1542" max="1542" width="19.44140625" bestFit="1" customWidth="1"/>
    <col min="1543" max="1543" width="19.88671875" customWidth="1"/>
    <col min="1793" max="1793" width="81.6640625" customWidth="1"/>
    <col min="1794" max="1797" width="17" bestFit="1" customWidth="1"/>
    <col min="1798" max="1798" width="19.44140625" bestFit="1" customWidth="1"/>
    <col min="1799" max="1799" width="19.88671875" customWidth="1"/>
    <col min="2049" max="2049" width="81.6640625" customWidth="1"/>
    <col min="2050" max="2053" width="17" bestFit="1" customWidth="1"/>
    <col min="2054" max="2054" width="19.44140625" bestFit="1" customWidth="1"/>
    <col min="2055" max="2055" width="19.88671875" customWidth="1"/>
    <col min="2305" max="2305" width="81.6640625" customWidth="1"/>
    <col min="2306" max="2309" width="17" bestFit="1" customWidth="1"/>
    <col min="2310" max="2310" width="19.44140625" bestFit="1" customWidth="1"/>
    <col min="2311" max="2311" width="19.88671875" customWidth="1"/>
    <col min="2561" max="2561" width="81.6640625" customWidth="1"/>
    <col min="2562" max="2565" width="17" bestFit="1" customWidth="1"/>
    <col min="2566" max="2566" width="19.44140625" bestFit="1" customWidth="1"/>
    <col min="2567" max="2567" width="19.88671875" customWidth="1"/>
    <col min="2817" max="2817" width="81.6640625" customWidth="1"/>
    <col min="2818" max="2821" width="17" bestFit="1" customWidth="1"/>
    <col min="2822" max="2822" width="19.44140625" bestFit="1" customWidth="1"/>
    <col min="2823" max="2823" width="19.88671875" customWidth="1"/>
    <col min="3073" max="3073" width="81.6640625" customWidth="1"/>
    <col min="3074" max="3077" width="17" bestFit="1" customWidth="1"/>
    <col min="3078" max="3078" width="19.44140625" bestFit="1" customWidth="1"/>
    <col min="3079" max="3079" width="19.88671875" customWidth="1"/>
    <col min="3329" max="3329" width="81.6640625" customWidth="1"/>
    <col min="3330" max="3333" width="17" bestFit="1" customWidth="1"/>
    <col min="3334" max="3334" width="19.44140625" bestFit="1" customWidth="1"/>
    <col min="3335" max="3335" width="19.88671875" customWidth="1"/>
    <col min="3585" max="3585" width="81.6640625" customWidth="1"/>
    <col min="3586" max="3589" width="17" bestFit="1" customWidth="1"/>
    <col min="3590" max="3590" width="19.44140625" bestFit="1" customWidth="1"/>
    <col min="3591" max="3591" width="19.88671875" customWidth="1"/>
    <col min="3841" max="3841" width="81.6640625" customWidth="1"/>
    <col min="3842" max="3845" width="17" bestFit="1" customWidth="1"/>
    <col min="3846" max="3846" width="19.44140625" bestFit="1" customWidth="1"/>
    <col min="3847" max="3847" width="19.88671875" customWidth="1"/>
    <col min="4097" max="4097" width="81.6640625" customWidth="1"/>
    <col min="4098" max="4101" width="17" bestFit="1" customWidth="1"/>
    <col min="4102" max="4102" width="19.44140625" bestFit="1" customWidth="1"/>
    <col min="4103" max="4103" width="19.88671875" customWidth="1"/>
    <col min="4353" max="4353" width="81.6640625" customWidth="1"/>
    <col min="4354" max="4357" width="17" bestFit="1" customWidth="1"/>
    <col min="4358" max="4358" width="19.44140625" bestFit="1" customWidth="1"/>
    <col min="4359" max="4359" width="19.88671875" customWidth="1"/>
    <col min="4609" max="4609" width="81.6640625" customWidth="1"/>
    <col min="4610" max="4613" width="17" bestFit="1" customWidth="1"/>
    <col min="4614" max="4614" width="19.44140625" bestFit="1" customWidth="1"/>
    <col min="4615" max="4615" width="19.88671875" customWidth="1"/>
    <col min="4865" max="4865" width="81.6640625" customWidth="1"/>
    <col min="4866" max="4869" width="17" bestFit="1" customWidth="1"/>
    <col min="4870" max="4870" width="19.44140625" bestFit="1" customWidth="1"/>
    <col min="4871" max="4871" width="19.88671875" customWidth="1"/>
    <col min="5121" max="5121" width="81.6640625" customWidth="1"/>
    <col min="5122" max="5125" width="17" bestFit="1" customWidth="1"/>
    <col min="5126" max="5126" width="19.44140625" bestFit="1" customWidth="1"/>
    <col min="5127" max="5127" width="19.88671875" customWidth="1"/>
    <col min="5377" max="5377" width="81.6640625" customWidth="1"/>
    <col min="5378" max="5381" width="17" bestFit="1" customWidth="1"/>
    <col min="5382" max="5382" width="19.44140625" bestFit="1" customWidth="1"/>
    <col min="5383" max="5383" width="19.88671875" customWidth="1"/>
    <col min="5633" max="5633" width="81.6640625" customWidth="1"/>
    <col min="5634" max="5637" width="17" bestFit="1" customWidth="1"/>
    <col min="5638" max="5638" width="19.44140625" bestFit="1" customWidth="1"/>
    <col min="5639" max="5639" width="19.88671875" customWidth="1"/>
    <col min="5889" max="5889" width="81.6640625" customWidth="1"/>
    <col min="5890" max="5893" width="17" bestFit="1" customWidth="1"/>
    <col min="5894" max="5894" width="19.44140625" bestFit="1" customWidth="1"/>
    <col min="5895" max="5895" width="19.88671875" customWidth="1"/>
    <col min="6145" max="6145" width="81.6640625" customWidth="1"/>
    <col min="6146" max="6149" width="17" bestFit="1" customWidth="1"/>
    <col min="6150" max="6150" width="19.44140625" bestFit="1" customWidth="1"/>
    <col min="6151" max="6151" width="19.88671875" customWidth="1"/>
    <col min="6401" max="6401" width="81.6640625" customWidth="1"/>
    <col min="6402" max="6405" width="17" bestFit="1" customWidth="1"/>
    <col min="6406" max="6406" width="19.44140625" bestFit="1" customWidth="1"/>
    <col min="6407" max="6407" width="19.88671875" customWidth="1"/>
    <col min="6657" max="6657" width="81.6640625" customWidth="1"/>
    <col min="6658" max="6661" width="17" bestFit="1" customWidth="1"/>
    <col min="6662" max="6662" width="19.44140625" bestFit="1" customWidth="1"/>
    <col min="6663" max="6663" width="19.88671875" customWidth="1"/>
    <col min="6913" max="6913" width="81.6640625" customWidth="1"/>
    <col min="6914" max="6917" width="17" bestFit="1" customWidth="1"/>
    <col min="6918" max="6918" width="19.44140625" bestFit="1" customWidth="1"/>
    <col min="6919" max="6919" width="19.88671875" customWidth="1"/>
    <col min="7169" max="7169" width="81.6640625" customWidth="1"/>
    <col min="7170" max="7173" width="17" bestFit="1" customWidth="1"/>
    <col min="7174" max="7174" width="19.44140625" bestFit="1" customWidth="1"/>
    <col min="7175" max="7175" width="19.88671875" customWidth="1"/>
    <col min="7425" max="7425" width="81.6640625" customWidth="1"/>
    <col min="7426" max="7429" width="17" bestFit="1" customWidth="1"/>
    <col min="7430" max="7430" width="19.44140625" bestFit="1" customWidth="1"/>
    <col min="7431" max="7431" width="19.88671875" customWidth="1"/>
    <col min="7681" max="7681" width="81.6640625" customWidth="1"/>
    <col min="7682" max="7685" width="17" bestFit="1" customWidth="1"/>
    <col min="7686" max="7686" width="19.44140625" bestFit="1" customWidth="1"/>
    <col min="7687" max="7687" width="19.88671875" customWidth="1"/>
    <col min="7937" max="7937" width="81.6640625" customWidth="1"/>
    <col min="7938" max="7941" width="17" bestFit="1" customWidth="1"/>
    <col min="7942" max="7942" width="19.44140625" bestFit="1" customWidth="1"/>
    <col min="7943" max="7943" width="19.88671875" customWidth="1"/>
    <col min="8193" max="8193" width="81.6640625" customWidth="1"/>
    <col min="8194" max="8197" width="17" bestFit="1" customWidth="1"/>
    <col min="8198" max="8198" width="19.44140625" bestFit="1" customWidth="1"/>
    <col min="8199" max="8199" width="19.88671875" customWidth="1"/>
    <col min="8449" max="8449" width="81.6640625" customWidth="1"/>
    <col min="8450" max="8453" width="17" bestFit="1" customWidth="1"/>
    <col min="8454" max="8454" width="19.44140625" bestFit="1" customWidth="1"/>
    <col min="8455" max="8455" width="19.88671875" customWidth="1"/>
    <col min="8705" max="8705" width="81.6640625" customWidth="1"/>
    <col min="8706" max="8709" width="17" bestFit="1" customWidth="1"/>
    <col min="8710" max="8710" width="19.44140625" bestFit="1" customWidth="1"/>
    <col min="8711" max="8711" width="19.88671875" customWidth="1"/>
    <col min="8961" max="8961" width="81.6640625" customWidth="1"/>
    <col min="8962" max="8965" width="17" bestFit="1" customWidth="1"/>
    <col min="8966" max="8966" width="19.44140625" bestFit="1" customWidth="1"/>
    <col min="8967" max="8967" width="19.88671875" customWidth="1"/>
    <col min="9217" max="9217" width="81.6640625" customWidth="1"/>
    <col min="9218" max="9221" width="17" bestFit="1" customWidth="1"/>
    <col min="9222" max="9222" width="19.44140625" bestFit="1" customWidth="1"/>
    <col min="9223" max="9223" width="19.88671875" customWidth="1"/>
    <col min="9473" max="9473" width="81.6640625" customWidth="1"/>
    <col min="9474" max="9477" width="17" bestFit="1" customWidth="1"/>
    <col min="9478" max="9478" width="19.44140625" bestFit="1" customWidth="1"/>
    <col min="9479" max="9479" width="19.88671875" customWidth="1"/>
    <col min="9729" max="9729" width="81.6640625" customWidth="1"/>
    <col min="9730" max="9733" width="17" bestFit="1" customWidth="1"/>
    <col min="9734" max="9734" width="19.44140625" bestFit="1" customWidth="1"/>
    <col min="9735" max="9735" width="19.88671875" customWidth="1"/>
    <col min="9985" max="9985" width="81.6640625" customWidth="1"/>
    <col min="9986" max="9989" width="17" bestFit="1" customWidth="1"/>
    <col min="9990" max="9990" width="19.44140625" bestFit="1" customWidth="1"/>
    <col min="9991" max="9991" width="19.88671875" customWidth="1"/>
    <col min="10241" max="10241" width="81.6640625" customWidth="1"/>
    <col min="10242" max="10245" width="17" bestFit="1" customWidth="1"/>
    <col min="10246" max="10246" width="19.44140625" bestFit="1" customWidth="1"/>
    <col min="10247" max="10247" width="19.88671875" customWidth="1"/>
    <col min="10497" max="10497" width="81.6640625" customWidth="1"/>
    <col min="10498" max="10501" width="17" bestFit="1" customWidth="1"/>
    <col min="10502" max="10502" width="19.44140625" bestFit="1" customWidth="1"/>
    <col min="10503" max="10503" width="19.88671875" customWidth="1"/>
    <col min="10753" max="10753" width="81.6640625" customWidth="1"/>
    <col min="10754" max="10757" width="17" bestFit="1" customWidth="1"/>
    <col min="10758" max="10758" width="19.44140625" bestFit="1" customWidth="1"/>
    <col min="10759" max="10759" width="19.88671875" customWidth="1"/>
    <col min="11009" max="11009" width="81.6640625" customWidth="1"/>
    <col min="11010" max="11013" width="17" bestFit="1" customWidth="1"/>
    <col min="11014" max="11014" width="19.44140625" bestFit="1" customWidth="1"/>
    <col min="11015" max="11015" width="19.88671875" customWidth="1"/>
    <col min="11265" max="11265" width="81.6640625" customWidth="1"/>
    <col min="11266" max="11269" width="17" bestFit="1" customWidth="1"/>
    <col min="11270" max="11270" width="19.44140625" bestFit="1" customWidth="1"/>
    <col min="11271" max="11271" width="19.88671875" customWidth="1"/>
    <col min="11521" max="11521" width="81.6640625" customWidth="1"/>
    <col min="11522" max="11525" width="17" bestFit="1" customWidth="1"/>
    <col min="11526" max="11526" width="19.44140625" bestFit="1" customWidth="1"/>
    <col min="11527" max="11527" width="19.88671875" customWidth="1"/>
    <col min="11777" max="11777" width="81.6640625" customWidth="1"/>
    <col min="11778" max="11781" width="17" bestFit="1" customWidth="1"/>
    <col min="11782" max="11782" width="19.44140625" bestFit="1" customWidth="1"/>
    <col min="11783" max="11783" width="19.88671875" customWidth="1"/>
    <col min="12033" max="12033" width="81.6640625" customWidth="1"/>
    <col min="12034" max="12037" width="17" bestFit="1" customWidth="1"/>
    <col min="12038" max="12038" width="19.44140625" bestFit="1" customWidth="1"/>
    <col min="12039" max="12039" width="19.88671875" customWidth="1"/>
    <col min="12289" max="12289" width="81.6640625" customWidth="1"/>
    <col min="12290" max="12293" width="17" bestFit="1" customWidth="1"/>
    <col min="12294" max="12294" width="19.44140625" bestFit="1" customWidth="1"/>
    <col min="12295" max="12295" width="19.88671875" customWidth="1"/>
    <col min="12545" max="12545" width="81.6640625" customWidth="1"/>
    <col min="12546" max="12549" width="17" bestFit="1" customWidth="1"/>
    <col min="12550" max="12550" width="19.44140625" bestFit="1" customWidth="1"/>
    <col min="12551" max="12551" width="19.88671875" customWidth="1"/>
    <col min="12801" max="12801" width="81.6640625" customWidth="1"/>
    <col min="12802" max="12805" width="17" bestFit="1" customWidth="1"/>
    <col min="12806" max="12806" width="19.44140625" bestFit="1" customWidth="1"/>
    <col min="12807" max="12807" width="19.88671875" customWidth="1"/>
    <col min="13057" max="13057" width="81.6640625" customWidth="1"/>
    <col min="13058" max="13061" width="17" bestFit="1" customWidth="1"/>
    <col min="13062" max="13062" width="19.44140625" bestFit="1" customWidth="1"/>
    <col min="13063" max="13063" width="19.88671875" customWidth="1"/>
    <col min="13313" max="13313" width="81.6640625" customWidth="1"/>
    <col min="13314" max="13317" width="17" bestFit="1" customWidth="1"/>
    <col min="13318" max="13318" width="19.44140625" bestFit="1" customWidth="1"/>
    <col min="13319" max="13319" width="19.88671875" customWidth="1"/>
    <col min="13569" max="13569" width="81.6640625" customWidth="1"/>
    <col min="13570" max="13573" width="17" bestFit="1" customWidth="1"/>
    <col min="13574" max="13574" width="19.44140625" bestFit="1" customWidth="1"/>
    <col min="13575" max="13575" width="19.88671875" customWidth="1"/>
    <col min="13825" max="13825" width="81.6640625" customWidth="1"/>
    <col min="13826" max="13829" width="17" bestFit="1" customWidth="1"/>
    <col min="13830" max="13830" width="19.44140625" bestFit="1" customWidth="1"/>
    <col min="13831" max="13831" width="19.88671875" customWidth="1"/>
    <col min="14081" max="14081" width="81.6640625" customWidth="1"/>
    <col min="14082" max="14085" width="17" bestFit="1" customWidth="1"/>
    <col min="14086" max="14086" width="19.44140625" bestFit="1" customWidth="1"/>
    <col min="14087" max="14087" width="19.88671875" customWidth="1"/>
    <col min="14337" max="14337" width="81.6640625" customWidth="1"/>
    <col min="14338" max="14341" width="17" bestFit="1" customWidth="1"/>
    <col min="14342" max="14342" width="19.44140625" bestFit="1" customWidth="1"/>
    <col min="14343" max="14343" width="19.88671875" customWidth="1"/>
    <col min="14593" max="14593" width="81.6640625" customWidth="1"/>
    <col min="14594" max="14597" width="17" bestFit="1" customWidth="1"/>
    <col min="14598" max="14598" width="19.44140625" bestFit="1" customWidth="1"/>
    <col min="14599" max="14599" width="19.88671875" customWidth="1"/>
    <col min="14849" max="14849" width="81.6640625" customWidth="1"/>
    <col min="14850" max="14853" width="17" bestFit="1" customWidth="1"/>
    <col min="14854" max="14854" width="19.44140625" bestFit="1" customWidth="1"/>
    <col min="14855" max="14855" width="19.88671875" customWidth="1"/>
    <col min="15105" max="15105" width="81.6640625" customWidth="1"/>
    <col min="15106" max="15109" width="17" bestFit="1" customWidth="1"/>
    <col min="15110" max="15110" width="19.44140625" bestFit="1" customWidth="1"/>
    <col min="15111" max="15111" width="19.88671875" customWidth="1"/>
    <col min="15361" max="15361" width="81.6640625" customWidth="1"/>
    <col min="15362" max="15365" width="17" bestFit="1" customWidth="1"/>
    <col min="15366" max="15366" width="19.44140625" bestFit="1" customWidth="1"/>
    <col min="15367" max="15367" width="19.88671875" customWidth="1"/>
    <col min="15617" max="15617" width="81.6640625" customWidth="1"/>
    <col min="15618" max="15621" width="17" bestFit="1" customWidth="1"/>
    <col min="15622" max="15622" width="19.44140625" bestFit="1" customWidth="1"/>
    <col min="15623" max="15623" width="19.88671875" customWidth="1"/>
    <col min="15873" max="15873" width="81.6640625" customWidth="1"/>
    <col min="15874" max="15877" width="17" bestFit="1" customWidth="1"/>
    <col min="15878" max="15878" width="19.44140625" bestFit="1" customWidth="1"/>
    <col min="15879" max="15879" width="19.88671875" customWidth="1"/>
    <col min="16129" max="16129" width="81.6640625" customWidth="1"/>
    <col min="16130" max="16133" width="17" bestFit="1" customWidth="1"/>
    <col min="16134" max="16134" width="19.44140625" bestFit="1" customWidth="1"/>
    <col min="16135" max="16135" width="19.88671875" customWidth="1"/>
  </cols>
  <sheetData>
    <row r="2" spans="1:14" s="6" customFormat="1" ht="21">
      <c r="A2" s="6" t="str">
        <f>+ER!B9</f>
        <v>AL SERVICIOS MULTIPLES EMPRESARIALES SA DE CV</v>
      </c>
      <c r="B2" s="2"/>
      <c r="C2" s="2"/>
      <c r="D2" s="3" t="s">
        <v>0</v>
      </c>
      <c r="E2" s="2"/>
      <c r="F2" s="4"/>
      <c r="G2" s="4"/>
      <c r="H2" s="4"/>
      <c r="I2" s="5"/>
      <c r="J2" s="5"/>
      <c r="K2" s="5"/>
      <c r="L2" s="5"/>
      <c r="M2" s="5"/>
      <c r="N2" s="5"/>
    </row>
    <row r="3" spans="1:14" ht="17.399999999999999">
      <c r="A3" s="7"/>
      <c r="B3" s="8"/>
      <c r="C3" s="8"/>
      <c r="D3" s="8" t="s">
        <v>1</v>
      </c>
      <c r="E3" s="8"/>
      <c r="F3" s="9"/>
      <c r="G3" s="9"/>
      <c r="H3" s="9"/>
      <c r="I3" s="10"/>
      <c r="J3" s="10"/>
      <c r="K3" s="10"/>
      <c r="L3" s="10"/>
      <c r="M3" s="10"/>
      <c r="N3" s="10"/>
    </row>
    <row r="4" spans="1:14" ht="17.399999999999999">
      <c r="A4" s="7" t="s">
        <v>421</v>
      </c>
      <c r="B4" s="8"/>
      <c r="C4" s="8"/>
      <c r="D4" s="8">
        <f>+ER!H70</f>
        <v>-2792291.3146089995</v>
      </c>
      <c r="E4" s="8">
        <f>+C17-C48-D4</f>
        <v>0</v>
      </c>
      <c r="F4" s="9"/>
      <c r="G4" s="9"/>
      <c r="H4" s="9"/>
      <c r="I4" s="10"/>
      <c r="J4" s="10"/>
      <c r="K4" s="10"/>
      <c r="L4" s="10"/>
      <c r="M4" s="10"/>
      <c r="N4" s="10"/>
    </row>
    <row r="6" spans="1:14" ht="17.399999999999999">
      <c r="A6" s="12" t="s">
        <v>2</v>
      </c>
      <c r="B6" s="8"/>
      <c r="C6" s="8"/>
      <c r="D6" s="8"/>
      <c r="E6" s="10"/>
      <c r="F6" s="9"/>
      <c r="G6" s="9"/>
      <c r="H6" s="9"/>
      <c r="I6" s="10"/>
      <c r="J6" s="10"/>
      <c r="K6" s="10"/>
      <c r="L6" s="10"/>
      <c r="M6" s="10"/>
      <c r="N6" s="10"/>
    </row>
    <row r="7" spans="1:14" ht="17.399999999999999">
      <c r="A7" s="7"/>
      <c r="B7" s="8"/>
      <c r="C7" s="8"/>
      <c r="D7" s="8"/>
      <c r="E7" s="10"/>
      <c r="F7" s="9"/>
      <c r="G7" s="9"/>
      <c r="H7" s="9"/>
      <c r="I7" s="10"/>
      <c r="J7" s="10"/>
      <c r="K7" s="10"/>
      <c r="L7" s="10"/>
      <c r="M7" s="10"/>
      <c r="N7" s="10"/>
    </row>
    <row r="8" spans="1:14" ht="17.399999999999999">
      <c r="A8" s="7" t="s">
        <v>3</v>
      </c>
      <c r="B8" s="8">
        <f>+ER!H18</f>
        <v>1977920.26</v>
      </c>
      <c r="C8" s="7"/>
      <c r="D8" s="8"/>
      <c r="E8" s="10"/>
      <c r="F8" s="9"/>
      <c r="G8" s="9"/>
      <c r="H8" s="9"/>
      <c r="I8" s="10"/>
      <c r="J8" s="10"/>
      <c r="K8" s="10"/>
      <c r="L8" s="10"/>
      <c r="M8" s="10"/>
      <c r="N8" s="10"/>
    </row>
    <row r="9" spans="1:14" ht="17.399999999999999" hidden="1">
      <c r="A9" s="7" t="s">
        <v>4</v>
      </c>
      <c r="B9" s="8">
        <v>0</v>
      </c>
      <c r="C9" s="7"/>
      <c r="D9" s="8"/>
      <c r="E9" s="10"/>
      <c r="F9" s="9"/>
      <c r="G9" s="9"/>
      <c r="H9" s="9"/>
      <c r="I9" s="10"/>
      <c r="J9" s="10"/>
      <c r="K9" s="10"/>
      <c r="L9" s="10"/>
      <c r="M9" s="10"/>
      <c r="N9" s="10"/>
    </row>
    <row r="10" spans="1:14" ht="17.399999999999999" hidden="1">
      <c r="A10" s="7" t="s">
        <v>5</v>
      </c>
      <c r="B10" s="8">
        <v>0</v>
      </c>
      <c r="C10" s="7"/>
      <c r="D10" s="8"/>
      <c r="E10" s="10"/>
      <c r="F10" s="9"/>
      <c r="G10" s="9"/>
      <c r="H10" s="9"/>
      <c r="I10" s="10"/>
      <c r="J10" s="10"/>
      <c r="K10" s="10"/>
      <c r="L10" s="10"/>
      <c r="M10" s="10"/>
      <c r="N10" s="10"/>
    </row>
    <row r="11" spans="1:14" ht="17.399999999999999" hidden="1">
      <c r="A11" s="7" t="s">
        <v>6</v>
      </c>
      <c r="B11" s="8">
        <v>0</v>
      </c>
      <c r="C11" s="7"/>
      <c r="D11" s="8"/>
      <c r="E11" s="10"/>
      <c r="F11" s="9"/>
      <c r="G11" s="9"/>
      <c r="H11" s="9"/>
      <c r="I11" s="10"/>
      <c r="J11" s="10"/>
      <c r="K11" s="10"/>
      <c r="L11" s="10"/>
      <c r="M11" s="10"/>
      <c r="N11" s="10"/>
    </row>
    <row r="12" spans="1:14" ht="17.399999999999999">
      <c r="A12" s="7" t="s">
        <v>7</v>
      </c>
      <c r="B12" s="8">
        <f>+ER!H61</f>
        <v>4574.3500000000004</v>
      </c>
      <c r="C12" s="7"/>
      <c r="D12" s="8"/>
      <c r="E12" s="10"/>
      <c r="F12" s="9"/>
      <c r="G12" s="9"/>
      <c r="H12" s="9"/>
      <c r="I12" s="10"/>
      <c r="J12" s="10"/>
      <c r="K12" s="10"/>
      <c r="L12" s="10"/>
      <c r="M12" s="10"/>
      <c r="N12" s="10"/>
    </row>
    <row r="13" spans="1:14" ht="17.399999999999999">
      <c r="A13" s="7" t="s">
        <v>8</v>
      </c>
      <c r="B13" s="8">
        <v>0</v>
      </c>
      <c r="C13" s="7"/>
      <c r="D13" s="8"/>
      <c r="E13" s="10"/>
      <c r="F13" s="9"/>
      <c r="G13" s="9"/>
      <c r="H13" s="9"/>
      <c r="I13" s="10"/>
      <c r="J13" s="10"/>
      <c r="K13" s="10"/>
      <c r="L13" s="10"/>
      <c r="M13" s="10"/>
      <c r="N13" s="10"/>
    </row>
    <row r="14" spans="1:14" ht="17.399999999999999">
      <c r="A14" s="7" t="s">
        <v>9</v>
      </c>
      <c r="B14" s="8">
        <f>+ER!H56</f>
        <v>98.919899999999998</v>
      </c>
      <c r="C14" s="7"/>
      <c r="D14" s="8"/>
      <c r="E14" s="10"/>
      <c r="F14" s="9"/>
      <c r="G14" s="9"/>
      <c r="H14" s="9"/>
      <c r="I14" s="10"/>
      <c r="J14" s="10"/>
      <c r="K14" s="10"/>
      <c r="L14" s="10"/>
      <c r="M14" s="10"/>
      <c r="N14" s="10"/>
    </row>
    <row r="15" spans="1:14" ht="17.399999999999999">
      <c r="A15" s="7" t="s">
        <v>10</v>
      </c>
      <c r="B15" s="13">
        <v>0</v>
      </c>
      <c r="C15" s="7"/>
      <c r="D15" s="8"/>
      <c r="E15" s="10"/>
      <c r="F15" s="9"/>
      <c r="G15" s="9"/>
      <c r="H15" s="9"/>
      <c r="I15" s="10"/>
      <c r="J15" s="10"/>
      <c r="K15" s="10"/>
      <c r="L15" s="10"/>
      <c r="M15" s="10"/>
      <c r="N15" s="10"/>
    </row>
    <row r="16" spans="1:14" ht="17.399999999999999">
      <c r="A16" s="7"/>
      <c r="B16" s="8"/>
      <c r="C16" s="13"/>
      <c r="D16" s="8"/>
      <c r="E16" s="10"/>
      <c r="F16" s="9"/>
      <c r="G16" s="9"/>
      <c r="H16" s="9"/>
      <c r="I16" s="10"/>
      <c r="J16" s="10"/>
      <c r="K16" s="10"/>
      <c r="L16" s="10"/>
      <c r="M16" s="10"/>
      <c r="N16" s="10"/>
    </row>
    <row r="17" spans="1:8" ht="17.399999999999999">
      <c r="A17" s="7" t="s">
        <v>11</v>
      </c>
      <c r="B17" s="8"/>
      <c r="C17" s="8">
        <f>SUM(B7:B16)</f>
        <v>1982593.5299000002</v>
      </c>
      <c r="D17" s="11"/>
      <c r="E17" s="11"/>
      <c r="F17" s="14"/>
      <c r="G17" s="14">
        <v>8777497</v>
      </c>
      <c r="H17" s="153">
        <f>+C17-G17</f>
        <v>-6794903.4700999996</v>
      </c>
    </row>
    <row r="19" spans="1:8" ht="17.399999999999999">
      <c r="A19" s="12" t="s">
        <v>12</v>
      </c>
      <c r="B19" s="8"/>
      <c r="C19" s="8"/>
      <c r="D19" s="11"/>
      <c r="E19" s="11"/>
      <c r="F19" s="14"/>
      <c r="G19" s="14"/>
    </row>
    <row r="21" spans="1:8" ht="17.399999999999999">
      <c r="A21" s="7" t="s">
        <v>13</v>
      </c>
      <c r="B21" s="8" t="e">
        <f>+BAL!#REF!</f>
        <v>#REF!</v>
      </c>
      <c r="C21" s="8"/>
      <c r="D21" s="11"/>
      <c r="E21" s="15"/>
      <c r="F21" s="14"/>
      <c r="G21" s="14"/>
    </row>
    <row r="22" spans="1:8" ht="17.399999999999999">
      <c r="A22" s="7" t="s">
        <v>14</v>
      </c>
      <c r="B22" s="8">
        <v>0</v>
      </c>
      <c r="C22" s="8"/>
      <c r="D22" s="11"/>
      <c r="E22" s="11"/>
      <c r="F22" s="14"/>
      <c r="G22" s="14"/>
    </row>
    <row r="23" spans="1:8" ht="17.399999999999999">
      <c r="A23" s="7" t="s">
        <v>15</v>
      </c>
      <c r="B23" s="8">
        <f>272809*0</f>
        <v>0</v>
      </c>
      <c r="C23" s="8"/>
      <c r="D23" s="11"/>
      <c r="E23" s="11"/>
      <c r="F23" s="14"/>
      <c r="G23" s="14"/>
    </row>
    <row r="24" spans="1:8" ht="17.399999999999999">
      <c r="A24" s="7" t="s">
        <v>16</v>
      </c>
      <c r="B24" s="13"/>
      <c r="C24" s="8"/>
      <c r="D24" s="11"/>
      <c r="E24" s="11"/>
      <c r="F24" s="14"/>
      <c r="G24" s="14"/>
    </row>
    <row r="25" spans="1:8" ht="17.399999999999999">
      <c r="A25" s="7"/>
      <c r="B25" s="8"/>
      <c r="C25" s="8" t="e">
        <f>SUM(B20:B24)</f>
        <v>#REF!</v>
      </c>
      <c r="D25" s="11"/>
      <c r="E25" s="11"/>
      <c r="F25" s="14"/>
      <c r="G25" s="14" t="e">
        <f>+B14-C25</f>
        <v>#REF!</v>
      </c>
    </row>
    <row r="26" spans="1:8" ht="17.399999999999999">
      <c r="A26" s="12" t="s">
        <v>17</v>
      </c>
      <c r="B26" s="8"/>
      <c r="C26" s="8"/>
      <c r="D26" s="11"/>
      <c r="E26" s="11"/>
      <c r="F26" s="14"/>
      <c r="G26" s="14"/>
    </row>
    <row r="28" spans="1:8" ht="17.399999999999999">
      <c r="A28" s="7" t="s">
        <v>18</v>
      </c>
      <c r="B28" s="8">
        <v>0</v>
      </c>
      <c r="C28" s="8"/>
      <c r="D28" s="11"/>
      <c r="E28" s="11"/>
      <c r="F28" s="14"/>
      <c r="G28" s="14"/>
    </row>
    <row r="29" spans="1:8" ht="17.399999999999999">
      <c r="A29" s="7" t="s">
        <v>19</v>
      </c>
      <c r="B29" s="8">
        <v>172725</v>
      </c>
      <c r="C29" s="8"/>
      <c r="D29" s="11"/>
      <c r="E29" s="11"/>
      <c r="F29" s="14"/>
      <c r="G29" s="14"/>
    </row>
    <row r="30" spans="1:8" ht="17.399999999999999">
      <c r="A30" s="7" t="s">
        <v>343</v>
      </c>
      <c r="B30" s="8">
        <f>+BAL!G79</f>
        <v>7883960.6200000001</v>
      </c>
      <c r="C30" s="8"/>
      <c r="D30" s="11"/>
      <c r="E30" s="11"/>
      <c r="F30" s="14"/>
      <c r="G30" s="14" t="e">
        <f>+D36-B29</f>
        <v>#REF!</v>
      </c>
    </row>
    <row r="31" spans="1:8" ht="17.399999999999999">
      <c r="A31" s="7" t="s">
        <v>20</v>
      </c>
      <c r="B31" s="8">
        <f>+B22</f>
        <v>0</v>
      </c>
      <c r="C31" s="8"/>
      <c r="D31" s="11"/>
      <c r="E31" s="11"/>
      <c r="F31" s="14"/>
      <c r="G31" s="14">
        <v>8777496.7400000002</v>
      </c>
    </row>
    <row r="32" spans="1:8" ht="17.399999999999999" hidden="1">
      <c r="A32" s="7" t="s">
        <v>21</v>
      </c>
      <c r="B32" s="8">
        <v>0</v>
      </c>
      <c r="C32" s="8"/>
      <c r="D32" s="11"/>
      <c r="E32" s="11"/>
      <c r="F32" s="14"/>
      <c r="G32" s="14"/>
    </row>
    <row r="33" spans="1:10" ht="17.399999999999999">
      <c r="A33" s="7" t="s">
        <v>21</v>
      </c>
      <c r="B33" s="13">
        <v>0</v>
      </c>
      <c r="C33" s="8"/>
      <c r="D33" s="8"/>
      <c r="E33" s="11"/>
      <c r="F33" s="14"/>
      <c r="G33" s="14" t="e">
        <f>+G31-G30</f>
        <v>#REF!</v>
      </c>
    </row>
    <row r="34" spans="1:10" ht="17.399999999999999">
      <c r="A34" s="7"/>
      <c r="B34" s="8"/>
      <c r="C34" s="28">
        <f>SUM(B28:B34)</f>
        <v>8056685.6200000001</v>
      </c>
      <c r="D34" s="8"/>
      <c r="E34" s="11"/>
      <c r="F34" s="14"/>
      <c r="G34" s="14"/>
    </row>
    <row r="35" spans="1:10" ht="17.399999999999999">
      <c r="A35" s="7"/>
      <c r="B35" s="8"/>
      <c r="C35" s="8"/>
      <c r="D35" s="8"/>
      <c r="E35" s="11"/>
      <c r="F35" s="14"/>
      <c r="G35" s="14">
        <v>10963446</v>
      </c>
    </row>
    <row r="36" spans="1:10" ht="17.399999999999999">
      <c r="A36" s="7" t="s">
        <v>22</v>
      </c>
      <c r="B36" s="8"/>
      <c r="C36" s="8"/>
      <c r="D36" s="16" t="e">
        <f>C17-C25+C34</f>
        <v>#REF!</v>
      </c>
      <c r="E36" s="11"/>
      <c r="F36" s="14"/>
      <c r="G36" s="14" t="e">
        <f>+D36-C34</f>
        <v>#REF!</v>
      </c>
      <c r="H36" s="1"/>
      <c r="I36" s="1">
        <v>11150829</v>
      </c>
      <c r="J36" s="153" t="e">
        <f>+D36-I36</f>
        <v>#REF!</v>
      </c>
    </row>
    <row r="37" spans="1:10">
      <c r="G37" s="153" t="e">
        <f>+G35-G36</f>
        <v>#REF!</v>
      </c>
    </row>
    <row r="38" spans="1:10" ht="17.399999999999999">
      <c r="A38" s="12" t="s">
        <v>23</v>
      </c>
      <c r="B38" s="8"/>
      <c r="C38" s="8"/>
      <c r="D38" s="8"/>
      <c r="E38" s="11"/>
      <c r="F38" s="14"/>
      <c r="G38" s="14"/>
    </row>
    <row r="40" spans="1:10" ht="17.399999999999999">
      <c r="A40" s="7" t="s">
        <v>24</v>
      </c>
      <c r="B40" s="8">
        <f>+ER!H23</f>
        <v>1654681.7639890001</v>
      </c>
      <c r="C40" s="8"/>
      <c r="D40" s="8"/>
      <c r="E40" s="11"/>
      <c r="F40" s="14"/>
      <c r="G40" s="14">
        <v>11916261</v>
      </c>
    </row>
    <row r="41" spans="1:10" ht="17.399999999999999">
      <c r="A41" s="7" t="s">
        <v>25</v>
      </c>
      <c r="B41" s="8">
        <f>+ER!H51</f>
        <v>2890224.4305199999</v>
      </c>
      <c r="C41" s="8"/>
      <c r="D41" s="8"/>
      <c r="E41" s="11"/>
      <c r="F41" s="14"/>
      <c r="G41" s="14" t="e">
        <f>+G36-G40</f>
        <v>#REF!</v>
      </c>
    </row>
    <row r="42" spans="1:10" ht="17.399999999999999">
      <c r="A42" s="7" t="s">
        <v>26</v>
      </c>
      <c r="B42" s="8">
        <f>-ER!H62</f>
        <v>229978.65</v>
      </c>
      <c r="C42" s="8"/>
      <c r="D42" s="8"/>
      <c r="E42" s="11"/>
      <c r="F42" s="14"/>
      <c r="G42" s="14"/>
    </row>
    <row r="43" spans="1:10" ht="17.399999999999999">
      <c r="A43" s="7" t="s">
        <v>27</v>
      </c>
      <c r="B43" s="8">
        <v>0</v>
      </c>
      <c r="C43" s="8"/>
      <c r="D43" s="8"/>
      <c r="E43" s="11"/>
      <c r="F43" s="14"/>
      <c r="G43" s="14"/>
    </row>
    <row r="44" spans="1:10" ht="17.399999999999999">
      <c r="A44" s="7" t="s">
        <v>28</v>
      </c>
      <c r="B44" s="8">
        <v>0</v>
      </c>
      <c r="C44" s="8"/>
      <c r="D44" s="8"/>
      <c r="E44" s="11"/>
      <c r="F44" s="14"/>
      <c r="G44" s="14"/>
    </row>
    <row r="45" spans="1:10" ht="17.399999999999999">
      <c r="A45" s="7" t="s">
        <v>29</v>
      </c>
      <c r="B45" s="8">
        <v>0</v>
      </c>
      <c r="C45" s="8"/>
      <c r="D45" s="8"/>
      <c r="E45" s="11"/>
      <c r="F45" s="14"/>
      <c r="G45" s="14"/>
    </row>
    <row r="46" spans="1:10" ht="17.399999999999999">
      <c r="A46" s="7" t="s">
        <v>21</v>
      </c>
      <c r="B46" s="13">
        <v>0</v>
      </c>
      <c r="C46" s="8"/>
      <c r="D46" s="8"/>
      <c r="E46" s="11"/>
      <c r="F46" s="14"/>
      <c r="G46" s="14"/>
    </row>
    <row r="48" spans="1:10" ht="17.399999999999999">
      <c r="A48" s="7" t="s">
        <v>30</v>
      </c>
      <c r="B48" s="8"/>
      <c r="C48" s="8">
        <f>SUM(B40:B47)</f>
        <v>4774884.844509</v>
      </c>
      <c r="D48" s="8"/>
      <c r="E48" s="15">
        <f>+C17-C48-D4</f>
        <v>0</v>
      </c>
      <c r="F48" s="14"/>
      <c r="G48" s="14"/>
    </row>
    <row r="50" spans="1:15" ht="17.399999999999999">
      <c r="A50" s="12" t="s">
        <v>31</v>
      </c>
      <c r="B50" s="8"/>
      <c r="C50" s="8"/>
      <c r="D50" s="8"/>
      <c r="E50" s="8"/>
      <c r="F50" s="9"/>
      <c r="G50" s="14"/>
      <c r="H50" s="14"/>
    </row>
    <row r="52" spans="1:15" ht="17.399999999999999">
      <c r="A52" s="7" t="s">
        <v>32</v>
      </c>
      <c r="B52" s="198">
        <f>+ER!H44</f>
        <v>0</v>
      </c>
      <c r="C52" s="8"/>
      <c r="D52" s="8"/>
      <c r="E52" s="8">
        <f>+B52-B70</f>
        <v>-112539</v>
      </c>
      <c r="F52" s="9"/>
      <c r="G52" s="14"/>
      <c r="H52" s="14"/>
    </row>
    <row r="53" spans="1:15" ht="17.399999999999999">
      <c r="A53" s="7" t="str">
        <f>+A40</f>
        <v>COSTO DE VENTAS</v>
      </c>
      <c r="B53" s="198">
        <f>+B40</f>
        <v>1654681.7639890001</v>
      </c>
      <c r="C53" s="8"/>
      <c r="D53" s="8"/>
      <c r="E53" s="8"/>
      <c r="F53" s="9"/>
      <c r="G53" s="14"/>
      <c r="H53" s="14"/>
    </row>
    <row r="54" spans="1:15" ht="17.399999999999999">
      <c r="A54" s="7" t="s">
        <v>33</v>
      </c>
      <c r="B54" s="8"/>
      <c r="C54" s="8"/>
      <c r="D54" s="8"/>
      <c r="E54" s="8"/>
      <c r="F54" s="9"/>
      <c r="G54" s="14"/>
      <c r="H54" s="14"/>
    </row>
    <row r="55" spans="1:15" ht="17.399999999999999">
      <c r="A55" s="7" t="s">
        <v>34</v>
      </c>
      <c r="B55" s="198">
        <f>+ER!H50</f>
        <v>43318.29</v>
      </c>
      <c r="C55" s="8"/>
      <c r="D55" s="8"/>
      <c r="E55" s="8"/>
      <c r="F55" s="9"/>
      <c r="G55" s="14"/>
      <c r="H55" s="14"/>
    </row>
    <row r="56" spans="1:15" ht="17.399999999999999">
      <c r="A56" s="7" t="s">
        <v>35</v>
      </c>
      <c r="B56" s="8">
        <v>0</v>
      </c>
      <c r="C56" s="8"/>
      <c r="D56" s="8"/>
      <c r="E56" s="8"/>
      <c r="F56" s="9"/>
      <c r="G56" s="14"/>
      <c r="H56" s="14"/>
    </row>
    <row r="57" spans="1:15" ht="17.399999999999999">
      <c r="A57" s="17" t="s">
        <v>36</v>
      </c>
      <c r="B57" s="18">
        <f>+B45</f>
        <v>0</v>
      </c>
      <c r="C57" s="8"/>
      <c r="D57" s="8"/>
      <c r="E57" s="8"/>
      <c r="F57" s="9"/>
      <c r="G57" s="14"/>
      <c r="H57" s="14"/>
    </row>
    <row r="58" spans="1:15" ht="17.399999999999999">
      <c r="A58" s="19" t="s">
        <v>37</v>
      </c>
      <c r="B58" s="23">
        <v>260103</v>
      </c>
      <c r="C58" s="8">
        <f>+B58*0.3</f>
        <v>78030.899999999994</v>
      </c>
      <c r="D58" s="8"/>
      <c r="E58" s="8"/>
      <c r="F58" s="9"/>
      <c r="G58" s="14"/>
      <c r="H58" s="14"/>
    </row>
    <row r="59" spans="1:15" ht="17.399999999999999">
      <c r="A59" s="7" t="s">
        <v>442</v>
      </c>
      <c r="B59" s="23"/>
      <c r="C59" s="8"/>
      <c r="D59" s="8"/>
      <c r="E59" s="8"/>
      <c r="F59" s="9"/>
      <c r="G59" s="14"/>
      <c r="H59" s="14"/>
      <c r="M59" s="1"/>
      <c r="N59" s="1"/>
      <c r="O59" s="1"/>
    </row>
    <row r="60" spans="1:15" ht="17.399999999999999">
      <c r="A60" s="7" t="s">
        <v>38</v>
      </c>
      <c r="B60" s="8">
        <v>0</v>
      </c>
      <c r="C60" s="8"/>
      <c r="D60" s="8"/>
      <c r="E60" s="8"/>
      <c r="F60" s="9"/>
      <c r="G60" s="14"/>
      <c r="H60" s="14"/>
    </row>
    <row r="61" spans="1:15" ht="17.399999999999999">
      <c r="A61" s="7" t="s">
        <v>443</v>
      </c>
      <c r="B61" s="8">
        <v>0</v>
      </c>
      <c r="C61" s="20"/>
      <c r="D61" s="8"/>
      <c r="E61" s="8"/>
      <c r="F61" s="9"/>
      <c r="G61" s="14"/>
      <c r="H61" s="14"/>
    </row>
    <row r="62" spans="1:15" ht="17.399999999999999">
      <c r="A62" s="7" t="s">
        <v>39</v>
      </c>
      <c r="B62" s="13">
        <v>0</v>
      </c>
      <c r="C62" s="8"/>
      <c r="D62" s="8"/>
      <c r="E62" s="8"/>
      <c r="F62" s="9"/>
      <c r="G62" s="14"/>
      <c r="H62" s="14"/>
    </row>
    <row r="63" spans="1:15" ht="17.399999999999999">
      <c r="A63" s="7"/>
      <c r="B63" s="8"/>
      <c r="C63" s="21">
        <f>SUM(B52:B62)</f>
        <v>1958103.0539890002</v>
      </c>
      <c r="D63" s="8"/>
      <c r="E63" s="8"/>
      <c r="F63" s="9"/>
      <c r="G63" s="14"/>
      <c r="H63" s="14"/>
    </row>
    <row r="64" spans="1:15" ht="17.399999999999999">
      <c r="A64" s="7"/>
      <c r="B64" s="8"/>
      <c r="C64" s="8"/>
      <c r="D64" s="8"/>
      <c r="E64" s="8"/>
      <c r="F64" s="9"/>
      <c r="G64" s="14"/>
      <c r="H64" s="14"/>
    </row>
    <row r="65" spans="1:10" ht="17.399999999999999">
      <c r="A65" s="12" t="s">
        <v>40</v>
      </c>
      <c r="B65" s="8"/>
      <c r="C65" s="8"/>
      <c r="D65" s="8"/>
      <c r="E65" s="8"/>
      <c r="F65" s="9"/>
      <c r="G65" s="9"/>
      <c r="H65" s="14"/>
    </row>
    <row r="66" spans="1:10" ht="17.399999999999999">
      <c r="A66" s="7"/>
      <c r="B66" s="8"/>
      <c r="C66" s="8"/>
      <c r="D66" s="8"/>
      <c r="E66" s="8"/>
      <c r="F66" s="9"/>
      <c r="G66" s="9"/>
      <c r="H66" s="14"/>
    </row>
    <row r="67" spans="1:10" ht="17.399999999999999">
      <c r="A67" s="7" t="s">
        <v>41</v>
      </c>
      <c r="B67" s="198">
        <f>+B53+0</f>
        <v>1654681.7639890001</v>
      </c>
      <c r="C67" s="8"/>
      <c r="D67" s="8"/>
      <c r="E67" s="8"/>
      <c r="F67" s="9"/>
      <c r="G67" s="9"/>
      <c r="H67" s="14"/>
    </row>
    <row r="68" spans="1:10" ht="17.399999999999999">
      <c r="A68" s="7" t="s">
        <v>42</v>
      </c>
      <c r="B68" s="8">
        <v>0</v>
      </c>
      <c r="C68" s="8"/>
      <c r="D68" s="8"/>
      <c r="E68" s="8"/>
      <c r="F68" s="9">
        <f>14228+13990</f>
        <v>28218</v>
      </c>
      <c r="G68" s="9"/>
      <c r="H68" s="14"/>
    </row>
    <row r="69" spans="1:10" ht="17.399999999999999">
      <c r="A69" s="7" t="s">
        <v>43</v>
      </c>
      <c r="B69" s="8">
        <f>600000*H69</f>
        <v>0</v>
      </c>
      <c r="C69" s="8"/>
      <c r="D69" s="8"/>
      <c r="E69" s="8"/>
      <c r="F69" s="9"/>
      <c r="G69" s="9"/>
      <c r="H69" s="14"/>
    </row>
    <row r="70" spans="1:10" ht="17.399999999999999">
      <c r="A70" s="7" t="s">
        <v>44</v>
      </c>
      <c r="B70" s="198">
        <v>112539</v>
      </c>
      <c r="C70" s="8"/>
      <c r="D70" s="8"/>
      <c r="E70" s="8"/>
      <c r="F70" s="9"/>
      <c r="G70" s="9"/>
      <c r="H70" s="14"/>
    </row>
    <row r="71" spans="1:10" ht="17.399999999999999">
      <c r="A71" s="7" t="s">
        <v>45</v>
      </c>
      <c r="B71" s="8">
        <f>2905000*H69</f>
        <v>0</v>
      </c>
      <c r="C71" s="8"/>
      <c r="D71" s="8"/>
      <c r="E71" s="8"/>
      <c r="F71" s="9"/>
      <c r="G71" s="9"/>
      <c r="H71" s="14"/>
    </row>
    <row r="72" spans="1:10" ht="17.399999999999999">
      <c r="A72" s="7" t="s">
        <v>374</v>
      </c>
      <c r="B72" s="8">
        <v>0</v>
      </c>
      <c r="C72" s="8"/>
      <c r="D72" s="8"/>
      <c r="E72" s="8"/>
      <c r="F72" s="9"/>
      <c r="G72" s="9"/>
      <c r="H72" s="14"/>
    </row>
    <row r="73" spans="1:10" ht="17.399999999999999">
      <c r="A73" s="7" t="s">
        <v>375</v>
      </c>
      <c r="B73" s="8">
        <v>0</v>
      </c>
      <c r="C73" s="8"/>
      <c r="D73" s="8"/>
      <c r="E73" s="8"/>
      <c r="F73" s="9"/>
      <c r="G73" s="9">
        <v>3191195</v>
      </c>
      <c r="H73" s="14">
        <f>+G73-G74</f>
        <v>906541.75981800072</v>
      </c>
    </row>
    <row r="74" spans="1:10" ht="17.399999999999999">
      <c r="A74" s="7" t="s">
        <v>376</v>
      </c>
      <c r="B74" s="8">
        <v>0</v>
      </c>
      <c r="C74" s="20"/>
      <c r="D74" s="8"/>
      <c r="E74" s="8"/>
      <c r="F74" s="9"/>
      <c r="G74" s="9">
        <f>+G86</f>
        <v>2284653.2401819993</v>
      </c>
      <c r="H74" s="14"/>
    </row>
    <row r="75" spans="1:10" ht="17.399999999999999">
      <c r="A75" s="7" t="s">
        <v>46</v>
      </c>
      <c r="B75" s="13">
        <v>0</v>
      </c>
      <c r="C75" s="8"/>
      <c r="D75" s="8"/>
      <c r="E75" s="8"/>
      <c r="F75" s="9"/>
      <c r="G75" s="9">
        <v>1925988</v>
      </c>
      <c r="H75" s="14"/>
    </row>
    <row r="76" spans="1:10" ht="17.399999999999999">
      <c r="A76" s="7"/>
      <c r="B76" s="8"/>
      <c r="C76" s="21">
        <f>SUM(B67:B75)</f>
        <v>1767220.7639890001</v>
      </c>
      <c r="D76" s="8"/>
      <c r="E76" s="8"/>
      <c r="F76" s="9"/>
      <c r="G76" s="9">
        <f>+G74-G75</f>
        <v>358665.24018199928</v>
      </c>
      <c r="H76" s="14">
        <f>+F78+G76</f>
        <v>-5841244.2053090017</v>
      </c>
    </row>
    <row r="77" spans="1:10" ht="17.399999999999999">
      <c r="A77" s="7"/>
      <c r="B77" s="8"/>
      <c r="C77" s="8"/>
      <c r="D77" s="8"/>
      <c r="E77" s="8"/>
      <c r="F77" s="9">
        <v>10783912</v>
      </c>
      <c r="G77" s="9"/>
      <c r="H77" s="14"/>
    </row>
    <row r="78" spans="1:10" ht="17.399999999999999">
      <c r="A78" s="22" t="s">
        <v>47</v>
      </c>
      <c r="B78" s="8"/>
      <c r="C78" s="8"/>
      <c r="D78" s="8">
        <f>+C48+C76-C63</f>
        <v>4584002.554508999</v>
      </c>
      <c r="E78" s="8"/>
      <c r="F78" s="9">
        <f>+D78-F77</f>
        <v>-6199909.445491001</v>
      </c>
      <c r="G78" s="9">
        <f>+D78</f>
        <v>4584002.554508999</v>
      </c>
      <c r="H78" s="14" t="s">
        <v>345</v>
      </c>
      <c r="J78" s="29"/>
    </row>
    <row r="79" spans="1:10" ht="17.399999999999999">
      <c r="A79" s="7"/>
      <c r="B79" s="8"/>
      <c r="C79" s="8"/>
      <c r="D79" s="13"/>
      <c r="E79" s="8"/>
      <c r="F79" s="9"/>
      <c r="G79" s="234">
        <f>-B53</f>
        <v>-1654681.7639890001</v>
      </c>
      <c r="H79" s="209" t="s">
        <v>346</v>
      </c>
    </row>
    <row r="80" spans="1:10" ht="17.399999999999999">
      <c r="A80" s="272" t="s">
        <v>48</v>
      </c>
      <c r="B80" s="272"/>
      <c r="C80" s="272"/>
      <c r="D80" s="23" t="e">
        <f>+D36-D78</f>
        <v>#REF!</v>
      </c>
      <c r="E80" s="8" t="e">
        <f>+TRUNC((D80-B58)*0.1,0)*1</f>
        <v>#REF!</v>
      </c>
      <c r="F80" s="9"/>
      <c r="G80" s="234">
        <f>-ER!M30</f>
        <v>0</v>
      </c>
      <c r="H80" s="206" t="s">
        <v>347</v>
      </c>
    </row>
    <row r="81" spans="1:8" ht="18" thickBot="1">
      <c r="A81" s="272" t="s">
        <v>49</v>
      </c>
      <c r="B81" s="272"/>
      <c r="C81" s="272"/>
      <c r="D81" s="24">
        <v>9659</v>
      </c>
      <c r="E81" s="8"/>
      <c r="F81" s="14"/>
      <c r="G81" s="233">
        <f>-BAL!G136-BAL!G137-BAL!G138-BAL!G139</f>
        <v>-316429.32</v>
      </c>
      <c r="H81" s="208" t="s">
        <v>358</v>
      </c>
    </row>
    <row r="82" spans="1:8" ht="17.399999999999999">
      <c r="A82" s="272" t="s">
        <v>344</v>
      </c>
      <c r="B82" s="272"/>
      <c r="C82" s="272"/>
      <c r="D82" s="8" t="e">
        <f>+D80-D81</f>
        <v>#REF!</v>
      </c>
      <c r="E82" s="25" t="e">
        <f>+D82/D36</f>
        <v>#REF!</v>
      </c>
      <c r="F82" s="14"/>
    </row>
    <row r="83" spans="1:8" ht="18" thickBot="1">
      <c r="A83" s="275" t="s">
        <v>50</v>
      </c>
      <c r="B83" s="275"/>
      <c r="C83" s="275"/>
      <c r="D83" s="26" t="e">
        <f>+D82</f>
        <v>#REF!</v>
      </c>
      <c r="E83" s="8"/>
      <c r="F83" s="14"/>
      <c r="G83" s="233">
        <f>-B70</f>
        <v>-112539</v>
      </c>
      <c r="H83" s="210" t="s">
        <v>348</v>
      </c>
    </row>
    <row r="84" spans="1:8" ht="17.399999999999999">
      <c r="A84" s="272" t="s">
        <v>51</v>
      </c>
      <c r="B84" s="272"/>
      <c r="C84" s="272"/>
      <c r="D84" s="8" t="e">
        <f>+D82-D83</f>
        <v>#REF!</v>
      </c>
      <c r="E84" s="25">
        <v>2.5700000000000001E-2</v>
      </c>
      <c r="F84" s="14"/>
      <c r="G84" s="14">
        <f>SUM(G78:G83)</f>
        <v>2500352.470519999</v>
      </c>
    </row>
    <row r="85" spans="1:8" ht="18" thickBot="1">
      <c r="A85" s="272" t="s">
        <v>52</v>
      </c>
      <c r="B85" s="272"/>
      <c r="C85" s="272"/>
      <c r="D85" s="27">
        <v>0.3</v>
      </c>
      <c r="E85" s="8"/>
      <c r="F85" s="14"/>
      <c r="G85" s="232">
        <f>-BAL!G164-131644</f>
        <v>-215699.23033799999</v>
      </c>
      <c r="H85" t="s">
        <v>359</v>
      </c>
    </row>
    <row r="86" spans="1:8" ht="15.6">
      <c r="G86" s="14">
        <f>+G84+G85</f>
        <v>2284653.2401819993</v>
      </c>
    </row>
    <row r="87" spans="1:8" ht="17.399999999999999">
      <c r="A87" s="272" t="s">
        <v>53</v>
      </c>
      <c r="B87" s="272"/>
      <c r="C87" s="272"/>
      <c r="D87" s="8" t="e">
        <f>D84*D85*0</f>
        <v>#REF!</v>
      </c>
      <c r="E87" s="8"/>
      <c r="F87" s="14"/>
      <c r="G87" s="207">
        <f>-ER!H38</f>
        <v>-55597.440000000002</v>
      </c>
      <c r="H87" s="204" t="s">
        <v>142</v>
      </c>
    </row>
    <row r="88" spans="1:8" ht="17.399999999999999">
      <c r="A88" s="7"/>
      <c r="B88" s="8"/>
      <c r="C88" s="8"/>
      <c r="D88" s="8"/>
      <c r="E88" s="8"/>
      <c r="F88" s="14"/>
      <c r="G88" s="207">
        <f>-BAL!G140</f>
        <v>-2137.33</v>
      </c>
      <c r="H88" s="204" t="s">
        <v>349</v>
      </c>
    </row>
    <row r="89" spans="1:8" ht="17.399999999999999">
      <c r="A89" s="273" t="s">
        <v>54</v>
      </c>
      <c r="B89" s="273"/>
      <c r="C89" s="8">
        <v>0</v>
      </c>
      <c r="D89" s="8"/>
      <c r="E89" s="8"/>
      <c r="F89" s="14"/>
      <c r="G89" s="207">
        <v>0</v>
      </c>
      <c r="H89" s="205" t="s">
        <v>350</v>
      </c>
    </row>
    <row r="90" spans="1:8" ht="18" thickBot="1">
      <c r="A90" s="273"/>
      <c r="B90" s="273"/>
      <c r="C90" s="8"/>
      <c r="D90" s="24">
        <f>+C89</f>
        <v>0</v>
      </c>
      <c r="E90" s="8"/>
      <c r="F90" s="14"/>
      <c r="G90" s="207">
        <f>-ER!H35</f>
        <v>-141745.19</v>
      </c>
      <c r="H90" s="204" t="s">
        <v>351</v>
      </c>
    </row>
    <row r="91" spans="1:8" ht="17.399999999999999">
      <c r="A91" s="274" t="s">
        <v>55</v>
      </c>
      <c r="B91" s="274"/>
      <c r="C91" s="274"/>
      <c r="D91" s="13" t="e">
        <f>+D87-D90</f>
        <v>#REF!</v>
      </c>
      <c r="E91" s="8"/>
      <c r="F91" s="14"/>
      <c r="G91" s="207">
        <f>-BAL!G177</f>
        <v>-143053.54</v>
      </c>
      <c r="H91" s="212" t="s">
        <v>444</v>
      </c>
    </row>
    <row r="92" spans="1:8" ht="17.399999999999999">
      <c r="A92" s="7"/>
      <c r="B92" s="8"/>
      <c r="C92" s="8"/>
      <c r="D92" s="8"/>
      <c r="E92" s="8"/>
      <c r="F92" s="14"/>
      <c r="G92" s="207">
        <f>-BAL!G176</f>
        <v>-42675.8</v>
      </c>
      <c r="H92" s="204" t="s">
        <v>352</v>
      </c>
    </row>
    <row r="93" spans="1:8" ht="17.399999999999999">
      <c r="A93" s="7"/>
      <c r="B93" s="8"/>
      <c r="C93" s="8"/>
      <c r="D93" s="8"/>
      <c r="E93" s="8"/>
      <c r="G93" s="207">
        <f>-ER!H32</f>
        <v>-12288.78</v>
      </c>
      <c r="H93" s="204" t="s">
        <v>353</v>
      </c>
    </row>
    <row r="94" spans="1:8" ht="17.399999999999999">
      <c r="A94" s="7"/>
      <c r="B94" s="8"/>
      <c r="G94" s="207">
        <f>-ER!H39</f>
        <v>-2165.75</v>
      </c>
      <c r="H94" s="204" t="s">
        <v>356</v>
      </c>
    </row>
    <row r="95" spans="1:8" ht="15.6">
      <c r="A95" s="11"/>
      <c r="B95" s="11"/>
      <c r="G95" s="207">
        <f>-ER!H43</f>
        <v>-6328.2703460000002</v>
      </c>
      <c r="H95" s="204" t="s">
        <v>354</v>
      </c>
    </row>
    <row r="96" spans="1:8" ht="15.6">
      <c r="G96" s="207">
        <v>0</v>
      </c>
      <c r="H96" s="204" t="s">
        <v>355</v>
      </c>
    </row>
    <row r="97" spans="6:8" ht="15.6">
      <c r="G97" s="207">
        <f>-ER!H37</f>
        <v>-72756.347393000004</v>
      </c>
      <c r="H97" s="204" t="s">
        <v>357</v>
      </c>
    </row>
    <row r="98" spans="6:8" ht="15.6">
      <c r="F98" s="207">
        <f>-G98</f>
        <v>-1805904.7924429991</v>
      </c>
      <c r="G98" s="207">
        <f>SUM(G86:G97)</f>
        <v>1805904.7924429991</v>
      </c>
    </row>
  </sheetData>
  <mergeCells count="10">
    <mergeCell ref="A87:C87"/>
    <mergeCell ref="A89:B89"/>
    <mergeCell ref="A90:B90"/>
    <mergeCell ref="A91:C91"/>
    <mergeCell ref="A80:C80"/>
    <mergeCell ref="A81:C81"/>
    <mergeCell ref="A82:C82"/>
    <mergeCell ref="A83:C83"/>
    <mergeCell ref="A84:C84"/>
    <mergeCell ref="A85:C8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S60"/>
  <sheetViews>
    <sheetView tabSelected="1" workbookViewId="0">
      <selection activeCell="B10" sqref="B10:L10"/>
    </sheetView>
  </sheetViews>
  <sheetFormatPr baseColWidth="10" defaultRowHeight="13.2"/>
  <cols>
    <col min="1" max="1" width="5.88671875" style="30" customWidth="1"/>
    <col min="2" max="2" width="4.33203125" style="30" customWidth="1"/>
    <col min="3" max="3" width="16.88671875" style="30" customWidth="1"/>
    <col min="4" max="4" width="10.6640625" style="30" customWidth="1"/>
    <col min="5" max="6" width="16.6640625" style="30" customWidth="1"/>
    <col min="7" max="7" width="3.44140625" style="30" customWidth="1"/>
    <col min="8" max="8" width="5" style="30" customWidth="1"/>
    <col min="9" max="9" width="20.33203125" style="30" customWidth="1"/>
    <col min="10" max="10" width="7.109375" style="30" customWidth="1"/>
    <col min="11" max="12" width="16.6640625" style="30" customWidth="1"/>
    <col min="13" max="13" width="4.5546875" style="30" customWidth="1"/>
    <col min="14" max="14" width="12.21875" style="30" bestFit="1" customWidth="1"/>
    <col min="15" max="16384" width="11.5546875" style="30"/>
  </cols>
  <sheetData>
    <row r="5" spans="1:13" ht="15">
      <c r="A5" s="214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14"/>
    </row>
    <row r="6" spans="1:13" ht="15">
      <c r="A6" s="214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4"/>
    </row>
    <row r="7" spans="1:13" ht="15">
      <c r="A7" s="214"/>
      <c r="B7" s="278" t="s">
        <v>120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14"/>
    </row>
    <row r="8" spans="1:13" ht="17.399999999999999">
      <c r="B8" s="279" t="s">
        <v>377</v>
      </c>
      <c r="C8" s="279"/>
      <c r="D8" s="279"/>
      <c r="E8" s="279"/>
      <c r="F8" s="279"/>
      <c r="G8" s="279"/>
      <c r="H8" s="279"/>
      <c r="I8" s="279"/>
      <c r="J8" s="279"/>
      <c r="K8" s="279"/>
      <c r="L8" s="279"/>
    </row>
    <row r="9" spans="1:13">
      <c r="B9" s="280" t="s">
        <v>496</v>
      </c>
      <c r="C9" s="281"/>
      <c r="D9" s="281"/>
      <c r="E9" s="281"/>
      <c r="F9" s="281"/>
      <c r="G9" s="281"/>
      <c r="H9" s="281"/>
      <c r="I9" s="281"/>
      <c r="J9" s="281"/>
      <c r="K9" s="281"/>
      <c r="L9" s="281"/>
    </row>
    <row r="10" spans="1:13">
      <c r="B10" s="280" t="s">
        <v>122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0"/>
    </row>
    <row r="13" spans="1:13">
      <c r="C13" s="84" t="s">
        <v>378</v>
      </c>
      <c r="I13" s="84" t="s">
        <v>379</v>
      </c>
    </row>
    <row r="14" spans="1:13">
      <c r="C14" s="84" t="s">
        <v>380</v>
      </c>
      <c r="I14" s="84" t="s">
        <v>380</v>
      </c>
    </row>
    <row r="16" spans="1:13">
      <c r="B16" s="78" t="s">
        <v>381</v>
      </c>
      <c r="C16" s="78"/>
      <c r="E16" s="216">
        <f>+BAL!G7</f>
        <v>1324.44</v>
      </c>
      <c r="H16" s="78" t="s">
        <v>382</v>
      </c>
      <c r="I16" s="78"/>
      <c r="K16" s="216">
        <f>+BAL!G61</f>
        <v>501280.30599999998</v>
      </c>
    </row>
    <row r="17" spans="2:19">
      <c r="B17" s="78" t="s">
        <v>383</v>
      </c>
      <c r="C17" s="78"/>
      <c r="E17" s="216">
        <f>+BAL!G9</f>
        <v>-1008790.452061</v>
      </c>
      <c r="H17" s="78" t="s">
        <v>384</v>
      </c>
      <c r="I17" s="78"/>
      <c r="K17" s="216">
        <f>+(BAL!G62/4)</f>
        <v>832902.94</v>
      </c>
      <c r="N17" s="221"/>
    </row>
    <row r="18" spans="2:19">
      <c r="B18" s="78" t="s">
        <v>417</v>
      </c>
      <c r="E18" s="216">
        <f>+BAL!G17</f>
        <v>479239.98</v>
      </c>
      <c r="H18" s="78" t="s">
        <v>386</v>
      </c>
      <c r="I18" s="78"/>
      <c r="K18" s="216">
        <f>+BAL!G79</f>
        <v>7883960.6200000001</v>
      </c>
      <c r="M18" s="217"/>
    </row>
    <row r="19" spans="2:19">
      <c r="B19" s="78" t="s">
        <v>385</v>
      </c>
      <c r="C19" s="78"/>
      <c r="E19" s="216">
        <f>+BAL!G23</f>
        <v>0</v>
      </c>
      <c r="H19" s="78" t="s">
        <v>388</v>
      </c>
      <c r="I19" s="78"/>
      <c r="K19" s="216">
        <f>+BAL!G81</f>
        <v>181339.95</v>
      </c>
      <c r="M19" s="217"/>
    </row>
    <row r="20" spans="2:19">
      <c r="B20" s="78" t="s">
        <v>387</v>
      </c>
      <c r="C20" s="78"/>
      <c r="E20" s="216">
        <f>+BAL!G38+BAL!G35+BAL!G32+BAL!G31</f>
        <v>2925438.981189</v>
      </c>
      <c r="H20" s="78" t="s">
        <v>390</v>
      </c>
      <c r="I20" s="78"/>
      <c r="K20" s="218">
        <f>+BAL!G90</f>
        <v>2275.19</v>
      </c>
    </row>
    <row r="21" spans="2:19">
      <c r="B21" s="78" t="s">
        <v>389</v>
      </c>
      <c r="C21" s="78"/>
      <c r="E21" s="216">
        <f>+BAL!G33</f>
        <v>0</v>
      </c>
      <c r="K21" s="216">
        <f>SUM(K16:K20)</f>
        <v>9401759.0059999991</v>
      </c>
    </row>
    <row r="22" spans="2:19">
      <c r="B22" s="78" t="s">
        <v>391</v>
      </c>
      <c r="C22" s="78"/>
      <c r="E22" s="216">
        <f>+BAL!G28</f>
        <v>22890</v>
      </c>
      <c r="K22" s="221"/>
    </row>
    <row r="23" spans="2:19">
      <c r="B23" s="78" t="s">
        <v>392</v>
      </c>
      <c r="C23" s="78"/>
      <c r="E23" s="219">
        <f>+BAL!G45</f>
        <v>122794.3507</v>
      </c>
      <c r="I23" s="84" t="s">
        <v>468</v>
      </c>
    </row>
    <row r="24" spans="2:19">
      <c r="B24" s="78" t="s">
        <v>393</v>
      </c>
      <c r="C24" s="78"/>
      <c r="E24" s="218">
        <f>+BAL!G43</f>
        <v>0</v>
      </c>
      <c r="H24" s="78" t="s">
        <v>384</v>
      </c>
      <c r="I24" s="78"/>
      <c r="K24" s="216">
        <f>+K17*4-K17-0.03</f>
        <v>2498708.79</v>
      </c>
    </row>
    <row r="25" spans="2:19">
      <c r="B25" s="78"/>
      <c r="C25" s="78"/>
      <c r="E25" s="220"/>
      <c r="Q25" s="221"/>
      <c r="S25" s="221"/>
    </row>
    <row r="26" spans="2:19">
      <c r="B26" s="84" t="s">
        <v>395</v>
      </c>
      <c r="D26" s="89"/>
      <c r="F26" s="216">
        <f>SUM(E16:E24)</f>
        <v>2542897.2998279999</v>
      </c>
      <c r="H26" s="84" t="s">
        <v>394</v>
      </c>
      <c r="L26" s="216">
        <f>SUM(K15:K20)+K24</f>
        <v>11900467.796</v>
      </c>
      <c r="M26" s="221"/>
    </row>
    <row r="27" spans="2:19" ht="15">
      <c r="D27" s="90"/>
      <c r="L27" s="221"/>
      <c r="M27" s="220"/>
    </row>
    <row r="28" spans="2:19">
      <c r="C28" s="84" t="s">
        <v>396</v>
      </c>
      <c r="D28" s="92"/>
      <c r="I28" s="84"/>
      <c r="M28" s="220"/>
    </row>
    <row r="29" spans="2:19">
      <c r="B29" s="78" t="s">
        <v>398</v>
      </c>
      <c r="E29" s="216">
        <v>0</v>
      </c>
      <c r="F29" s="220"/>
      <c r="I29" s="84" t="s">
        <v>397</v>
      </c>
      <c r="M29" s="220"/>
    </row>
    <row r="30" spans="2:19">
      <c r="B30" s="78" t="s">
        <v>399</v>
      </c>
      <c r="E30" s="216">
        <f>+BAL!G48</f>
        <v>44082.65</v>
      </c>
      <c r="I30" s="84" t="s">
        <v>400</v>
      </c>
      <c r="M30" s="220"/>
    </row>
    <row r="31" spans="2:19">
      <c r="B31" s="78" t="s">
        <v>401</v>
      </c>
      <c r="E31" s="216">
        <f>+BAL!G51</f>
        <v>14106.03</v>
      </c>
      <c r="H31" s="78" t="s">
        <v>402</v>
      </c>
      <c r="K31" s="216">
        <f>+BAL!G91</f>
        <v>425800</v>
      </c>
      <c r="M31" s="220"/>
    </row>
    <row r="32" spans="2:19">
      <c r="B32" s="78" t="s">
        <v>403</v>
      </c>
      <c r="E32" s="216">
        <f>+BAL!G54</f>
        <v>575862.06999999995</v>
      </c>
      <c r="H32" s="78" t="s">
        <v>404</v>
      </c>
      <c r="K32" s="216">
        <f>+BAL!G94</f>
        <v>1090000</v>
      </c>
      <c r="M32" s="220"/>
    </row>
    <row r="33" spans="2:13">
      <c r="B33" s="78" t="s">
        <v>405</v>
      </c>
      <c r="E33" s="216">
        <f>+BAL!G58</f>
        <v>19497.080000000002</v>
      </c>
      <c r="H33" s="78" t="s">
        <v>406</v>
      </c>
      <c r="K33" s="216">
        <f>+BAL!G95</f>
        <v>-7969283.6019000001</v>
      </c>
      <c r="M33" s="220"/>
    </row>
    <row r="34" spans="2:13">
      <c r="B34" s="78" t="s">
        <v>407</v>
      </c>
      <c r="E34" s="218">
        <f>-BAL!G50-BAL!G53-BAL!G57-BAL!G60</f>
        <v>-541752.28</v>
      </c>
      <c r="H34" s="78" t="s">
        <v>408</v>
      </c>
      <c r="K34" s="222">
        <f>+ER!H70</f>
        <v>-2792291.3146089995</v>
      </c>
    </row>
    <row r="35" spans="2:13" ht="15">
      <c r="B35" s="78"/>
      <c r="E35" s="223"/>
      <c r="M35" s="91"/>
    </row>
    <row r="36" spans="2:13">
      <c r="B36" s="84" t="s">
        <v>409</v>
      </c>
      <c r="F36" s="216">
        <f>SUM(E29:E34)</f>
        <v>111795.54999999993</v>
      </c>
      <c r="H36" s="84" t="s">
        <v>410</v>
      </c>
      <c r="L36" s="91">
        <f>SUM(K31:K34)</f>
        <v>-9245774.9165089987</v>
      </c>
    </row>
    <row r="37" spans="2:13">
      <c r="B37" s="84"/>
      <c r="F37" s="220"/>
      <c r="K37" s="220"/>
    </row>
    <row r="38" spans="2:13" hidden="1">
      <c r="C38" s="224" t="s">
        <v>411</v>
      </c>
      <c r="D38" s="92"/>
      <c r="F38" s="220"/>
    </row>
    <row r="39" spans="2:13" hidden="1">
      <c r="B39" s="78" t="s">
        <v>412</v>
      </c>
      <c r="E39" s="216">
        <v>0</v>
      </c>
      <c r="F39" s="220"/>
    </row>
    <row r="40" spans="2:13" hidden="1">
      <c r="B40" s="78" t="s">
        <v>413</v>
      </c>
      <c r="E40" s="218">
        <v>0</v>
      </c>
      <c r="F40" s="220"/>
    </row>
    <row r="41" spans="2:13" hidden="1">
      <c r="B41" s="78"/>
      <c r="E41" s="225"/>
      <c r="F41" s="220"/>
    </row>
    <row r="42" spans="2:13" hidden="1">
      <c r="B42" s="84" t="s">
        <v>414</v>
      </c>
      <c r="F42" s="218">
        <f>SUM(E39:E40)</f>
        <v>0</v>
      </c>
    </row>
    <row r="43" spans="2:13" hidden="1">
      <c r="B43" s="84"/>
      <c r="F43" s="225"/>
    </row>
    <row r="45" spans="2:13" ht="13.8" thickBot="1">
      <c r="B45" s="84" t="s">
        <v>415</v>
      </c>
      <c r="C45" s="84"/>
      <c r="F45" s="226">
        <f>F26+F36+F42</f>
        <v>2654692.8498279997</v>
      </c>
      <c r="H45" s="84" t="s">
        <v>416</v>
      </c>
      <c r="L45" s="227">
        <f>L26+L36-0</f>
        <v>2654692.8794910014</v>
      </c>
    </row>
    <row r="46" spans="2:13" ht="13.8" thickTop="1"/>
    <row r="47" spans="2:13">
      <c r="I47" s="91"/>
      <c r="L47" s="220">
        <f>+F45-L45</f>
        <v>-2.9663001652806997E-2</v>
      </c>
    </row>
    <row r="48" spans="2:13" ht="15.6">
      <c r="F48" s="228">
        <f>+F45-L45</f>
        <v>-2.9663001652806997E-2</v>
      </c>
      <c r="G48" s="213"/>
    </row>
    <row r="49" spans="2:12" ht="13.2" customHeight="1"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</row>
    <row r="50" spans="2:12" ht="13.2" customHeight="1"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</row>
    <row r="51" spans="2:12" ht="13.2" customHeight="1"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</row>
    <row r="52" spans="2:12" ht="13.2" customHeight="1"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</row>
    <row r="53" spans="2:12" ht="13.2" customHeight="1"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</row>
    <row r="54" spans="2:12" ht="13.2" customHeight="1"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</row>
    <row r="55" spans="2:12">
      <c r="B55" s="229"/>
      <c r="C55" s="229"/>
      <c r="D55" s="229"/>
      <c r="E55" s="229"/>
      <c r="F55" s="229"/>
      <c r="G55" s="100"/>
      <c r="H55" s="229"/>
    </row>
    <row r="56" spans="2:12">
      <c r="B56" s="100"/>
      <c r="C56" s="100"/>
      <c r="D56" s="100"/>
      <c r="E56" s="100"/>
      <c r="F56" s="100"/>
      <c r="G56" s="102"/>
      <c r="H56" s="101"/>
      <c r="I56" s="101"/>
      <c r="J56" s="101"/>
      <c r="K56" s="101"/>
      <c r="L56" s="101"/>
    </row>
    <row r="57" spans="2:12">
      <c r="B57" s="102"/>
      <c r="C57" s="102"/>
      <c r="D57" s="102"/>
      <c r="E57" s="102"/>
      <c r="F57" s="102"/>
      <c r="G57" s="102"/>
      <c r="H57" s="101"/>
      <c r="I57" s="101"/>
      <c r="J57" s="101"/>
      <c r="K57" s="101"/>
      <c r="L57" s="101"/>
    </row>
    <row r="58" spans="2:12" ht="13.8">
      <c r="B58" s="276" t="s">
        <v>165</v>
      </c>
      <c r="C58" s="276"/>
      <c r="D58" s="276"/>
      <c r="E58" s="276"/>
      <c r="F58" s="101"/>
      <c r="G58" s="106"/>
      <c r="H58" s="101"/>
      <c r="I58" s="101"/>
      <c r="J58" s="103" t="s">
        <v>166</v>
      </c>
      <c r="K58" s="104"/>
      <c r="L58" s="101"/>
    </row>
    <row r="59" spans="2:12" ht="13.8">
      <c r="B59" s="277" t="s">
        <v>167</v>
      </c>
      <c r="C59" s="277"/>
      <c r="D59" s="277"/>
      <c r="E59" s="277"/>
      <c r="F59" s="105"/>
      <c r="G59" s="102"/>
      <c r="H59" s="101"/>
      <c r="I59" s="104"/>
      <c r="J59" s="103" t="s">
        <v>168</v>
      </c>
      <c r="K59" s="104"/>
      <c r="L59" s="101"/>
    </row>
    <row r="60" spans="2:12">
      <c r="B60" s="277" t="s">
        <v>169</v>
      </c>
      <c r="C60" s="277" t="s">
        <v>170</v>
      </c>
      <c r="D60" s="277"/>
      <c r="E60" s="277"/>
      <c r="F60" s="102"/>
      <c r="H60" s="101"/>
      <c r="I60" s="101"/>
      <c r="J60" s="101"/>
      <c r="K60" s="101"/>
      <c r="L60" s="101"/>
    </row>
  </sheetData>
  <mergeCells count="8">
    <mergeCell ref="B58:E58"/>
    <mergeCell ref="B59:E59"/>
    <mergeCell ref="B60:E60"/>
    <mergeCell ref="B5:L5"/>
    <mergeCell ref="B7:L7"/>
    <mergeCell ref="B8:L8"/>
    <mergeCell ref="B9:L9"/>
    <mergeCell ref="B10:L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7"/>
  <sheetViews>
    <sheetView topLeftCell="A4" workbookViewId="0">
      <selection activeCell="B11" sqref="B11:J11"/>
    </sheetView>
  </sheetViews>
  <sheetFormatPr baseColWidth="10" defaultColWidth="9.109375" defaultRowHeight="13.2"/>
  <cols>
    <col min="1" max="1" width="4.33203125" style="30" customWidth="1"/>
    <col min="2" max="2" width="13" style="30" customWidth="1"/>
    <col min="3" max="3" width="24.88671875" style="30" customWidth="1"/>
    <col min="4" max="4" width="18.6640625" style="30" hidden="1" customWidth="1"/>
    <col min="5" max="5" width="2.6640625" style="30" hidden="1" customWidth="1"/>
    <col min="6" max="6" width="1.88671875" style="30" hidden="1" customWidth="1"/>
    <col min="7" max="7" width="2.6640625" style="30" customWidth="1"/>
    <col min="8" max="8" width="18.6640625" style="67" customWidth="1"/>
    <col min="9" max="9" width="2.6640625" style="30" customWidth="1"/>
    <col min="10" max="10" width="11.6640625" style="30" customWidth="1"/>
    <col min="11" max="11" width="2.6640625" style="30" customWidth="1"/>
    <col min="12" max="12" width="9.109375" style="30"/>
    <col min="13" max="13" width="14.44140625" style="30" bestFit="1" customWidth="1"/>
    <col min="14" max="14" width="11.44140625" style="30" bestFit="1" customWidth="1"/>
    <col min="15" max="16" width="9.109375" style="30"/>
    <col min="17" max="17" width="15" style="30" customWidth="1"/>
    <col min="18" max="18" width="13.21875" style="30" bestFit="1" customWidth="1"/>
    <col min="19" max="20" width="9.109375" style="30"/>
    <col min="21" max="21" width="13.109375" style="30" bestFit="1" customWidth="1"/>
    <col min="22" max="256" width="9.109375" style="30"/>
    <col min="257" max="257" width="4.33203125" style="30" customWidth="1"/>
    <col min="258" max="258" width="13" style="30" customWidth="1"/>
    <col min="259" max="259" width="24.88671875" style="30" customWidth="1"/>
    <col min="260" max="262" width="0" style="30" hidden="1" customWidth="1"/>
    <col min="263" max="263" width="2.6640625" style="30" customWidth="1"/>
    <col min="264" max="264" width="18.6640625" style="30" customWidth="1"/>
    <col min="265" max="265" width="2.6640625" style="30" customWidth="1"/>
    <col min="266" max="266" width="11.6640625" style="30" customWidth="1"/>
    <col min="267" max="267" width="2.6640625" style="30" customWidth="1"/>
    <col min="268" max="268" width="9.109375" style="30"/>
    <col min="269" max="269" width="12.6640625" style="30" bestFit="1" customWidth="1"/>
    <col min="270" max="512" width="9.109375" style="30"/>
    <col min="513" max="513" width="4.33203125" style="30" customWidth="1"/>
    <col min="514" max="514" width="13" style="30" customWidth="1"/>
    <col min="515" max="515" width="24.88671875" style="30" customWidth="1"/>
    <col min="516" max="518" width="0" style="30" hidden="1" customWidth="1"/>
    <col min="519" max="519" width="2.6640625" style="30" customWidth="1"/>
    <col min="520" max="520" width="18.6640625" style="30" customWidth="1"/>
    <col min="521" max="521" width="2.6640625" style="30" customWidth="1"/>
    <col min="522" max="522" width="11.6640625" style="30" customWidth="1"/>
    <col min="523" max="523" width="2.6640625" style="30" customWidth="1"/>
    <col min="524" max="524" width="9.109375" style="30"/>
    <col min="525" max="525" width="12.6640625" style="30" bestFit="1" customWidth="1"/>
    <col min="526" max="768" width="9.109375" style="30"/>
    <col min="769" max="769" width="4.33203125" style="30" customWidth="1"/>
    <col min="770" max="770" width="13" style="30" customWidth="1"/>
    <col min="771" max="771" width="24.88671875" style="30" customWidth="1"/>
    <col min="772" max="774" width="0" style="30" hidden="1" customWidth="1"/>
    <col min="775" max="775" width="2.6640625" style="30" customWidth="1"/>
    <col min="776" max="776" width="18.6640625" style="30" customWidth="1"/>
    <col min="777" max="777" width="2.6640625" style="30" customWidth="1"/>
    <col min="778" max="778" width="11.6640625" style="30" customWidth="1"/>
    <col min="779" max="779" width="2.6640625" style="30" customWidth="1"/>
    <col min="780" max="780" width="9.109375" style="30"/>
    <col min="781" max="781" width="12.6640625" style="30" bestFit="1" customWidth="1"/>
    <col min="782" max="1024" width="9.109375" style="30"/>
    <col min="1025" max="1025" width="4.33203125" style="30" customWidth="1"/>
    <col min="1026" max="1026" width="13" style="30" customWidth="1"/>
    <col min="1027" max="1027" width="24.88671875" style="30" customWidth="1"/>
    <col min="1028" max="1030" width="0" style="30" hidden="1" customWidth="1"/>
    <col min="1031" max="1031" width="2.6640625" style="30" customWidth="1"/>
    <col min="1032" max="1032" width="18.6640625" style="30" customWidth="1"/>
    <col min="1033" max="1033" width="2.6640625" style="30" customWidth="1"/>
    <col min="1034" max="1034" width="11.6640625" style="30" customWidth="1"/>
    <col min="1035" max="1035" width="2.6640625" style="30" customWidth="1"/>
    <col min="1036" max="1036" width="9.109375" style="30"/>
    <col min="1037" max="1037" width="12.6640625" style="30" bestFit="1" customWidth="1"/>
    <col min="1038" max="1280" width="9.109375" style="30"/>
    <col min="1281" max="1281" width="4.33203125" style="30" customWidth="1"/>
    <col min="1282" max="1282" width="13" style="30" customWidth="1"/>
    <col min="1283" max="1283" width="24.88671875" style="30" customWidth="1"/>
    <col min="1284" max="1286" width="0" style="30" hidden="1" customWidth="1"/>
    <col min="1287" max="1287" width="2.6640625" style="30" customWidth="1"/>
    <col min="1288" max="1288" width="18.6640625" style="30" customWidth="1"/>
    <col min="1289" max="1289" width="2.6640625" style="30" customWidth="1"/>
    <col min="1290" max="1290" width="11.6640625" style="30" customWidth="1"/>
    <col min="1291" max="1291" width="2.6640625" style="30" customWidth="1"/>
    <col min="1292" max="1292" width="9.109375" style="30"/>
    <col min="1293" max="1293" width="12.6640625" style="30" bestFit="1" customWidth="1"/>
    <col min="1294" max="1536" width="9.109375" style="30"/>
    <col min="1537" max="1537" width="4.33203125" style="30" customWidth="1"/>
    <col min="1538" max="1538" width="13" style="30" customWidth="1"/>
    <col min="1539" max="1539" width="24.88671875" style="30" customWidth="1"/>
    <col min="1540" max="1542" width="0" style="30" hidden="1" customWidth="1"/>
    <col min="1543" max="1543" width="2.6640625" style="30" customWidth="1"/>
    <col min="1544" max="1544" width="18.6640625" style="30" customWidth="1"/>
    <col min="1545" max="1545" width="2.6640625" style="30" customWidth="1"/>
    <col min="1546" max="1546" width="11.6640625" style="30" customWidth="1"/>
    <col min="1547" max="1547" width="2.6640625" style="30" customWidth="1"/>
    <col min="1548" max="1548" width="9.109375" style="30"/>
    <col min="1549" max="1549" width="12.6640625" style="30" bestFit="1" customWidth="1"/>
    <col min="1550" max="1792" width="9.109375" style="30"/>
    <col min="1793" max="1793" width="4.33203125" style="30" customWidth="1"/>
    <col min="1794" max="1794" width="13" style="30" customWidth="1"/>
    <col min="1795" max="1795" width="24.88671875" style="30" customWidth="1"/>
    <col min="1796" max="1798" width="0" style="30" hidden="1" customWidth="1"/>
    <col min="1799" max="1799" width="2.6640625" style="30" customWidth="1"/>
    <col min="1800" max="1800" width="18.6640625" style="30" customWidth="1"/>
    <col min="1801" max="1801" width="2.6640625" style="30" customWidth="1"/>
    <col min="1802" max="1802" width="11.6640625" style="30" customWidth="1"/>
    <col min="1803" max="1803" width="2.6640625" style="30" customWidth="1"/>
    <col min="1804" max="1804" width="9.109375" style="30"/>
    <col min="1805" max="1805" width="12.6640625" style="30" bestFit="1" customWidth="1"/>
    <col min="1806" max="2048" width="9.109375" style="30"/>
    <col min="2049" max="2049" width="4.33203125" style="30" customWidth="1"/>
    <col min="2050" max="2050" width="13" style="30" customWidth="1"/>
    <col min="2051" max="2051" width="24.88671875" style="30" customWidth="1"/>
    <col min="2052" max="2054" width="0" style="30" hidden="1" customWidth="1"/>
    <col min="2055" max="2055" width="2.6640625" style="30" customWidth="1"/>
    <col min="2056" max="2056" width="18.6640625" style="30" customWidth="1"/>
    <col min="2057" max="2057" width="2.6640625" style="30" customWidth="1"/>
    <col min="2058" max="2058" width="11.6640625" style="30" customWidth="1"/>
    <col min="2059" max="2059" width="2.6640625" style="30" customWidth="1"/>
    <col min="2060" max="2060" width="9.109375" style="30"/>
    <col min="2061" max="2061" width="12.6640625" style="30" bestFit="1" customWidth="1"/>
    <col min="2062" max="2304" width="9.109375" style="30"/>
    <col min="2305" max="2305" width="4.33203125" style="30" customWidth="1"/>
    <col min="2306" max="2306" width="13" style="30" customWidth="1"/>
    <col min="2307" max="2307" width="24.88671875" style="30" customWidth="1"/>
    <col min="2308" max="2310" width="0" style="30" hidden="1" customWidth="1"/>
    <col min="2311" max="2311" width="2.6640625" style="30" customWidth="1"/>
    <col min="2312" max="2312" width="18.6640625" style="30" customWidth="1"/>
    <col min="2313" max="2313" width="2.6640625" style="30" customWidth="1"/>
    <col min="2314" max="2314" width="11.6640625" style="30" customWidth="1"/>
    <col min="2315" max="2315" width="2.6640625" style="30" customWidth="1"/>
    <col min="2316" max="2316" width="9.109375" style="30"/>
    <col min="2317" max="2317" width="12.6640625" style="30" bestFit="1" customWidth="1"/>
    <col min="2318" max="2560" width="9.109375" style="30"/>
    <col min="2561" max="2561" width="4.33203125" style="30" customWidth="1"/>
    <col min="2562" max="2562" width="13" style="30" customWidth="1"/>
    <col min="2563" max="2563" width="24.88671875" style="30" customWidth="1"/>
    <col min="2564" max="2566" width="0" style="30" hidden="1" customWidth="1"/>
    <col min="2567" max="2567" width="2.6640625" style="30" customWidth="1"/>
    <col min="2568" max="2568" width="18.6640625" style="30" customWidth="1"/>
    <col min="2569" max="2569" width="2.6640625" style="30" customWidth="1"/>
    <col min="2570" max="2570" width="11.6640625" style="30" customWidth="1"/>
    <col min="2571" max="2571" width="2.6640625" style="30" customWidth="1"/>
    <col min="2572" max="2572" width="9.109375" style="30"/>
    <col min="2573" max="2573" width="12.6640625" style="30" bestFit="1" customWidth="1"/>
    <col min="2574" max="2816" width="9.109375" style="30"/>
    <col min="2817" max="2817" width="4.33203125" style="30" customWidth="1"/>
    <col min="2818" max="2818" width="13" style="30" customWidth="1"/>
    <col min="2819" max="2819" width="24.88671875" style="30" customWidth="1"/>
    <col min="2820" max="2822" width="0" style="30" hidden="1" customWidth="1"/>
    <col min="2823" max="2823" width="2.6640625" style="30" customWidth="1"/>
    <col min="2824" max="2824" width="18.6640625" style="30" customWidth="1"/>
    <col min="2825" max="2825" width="2.6640625" style="30" customWidth="1"/>
    <col min="2826" max="2826" width="11.6640625" style="30" customWidth="1"/>
    <col min="2827" max="2827" width="2.6640625" style="30" customWidth="1"/>
    <col min="2828" max="2828" width="9.109375" style="30"/>
    <col min="2829" max="2829" width="12.6640625" style="30" bestFit="1" customWidth="1"/>
    <col min="2830" max="3072" width="9.109375" style="30"/>
    <col min="3073" max="3073" width="4.33203125" style="30" customWidth="1"/>
    <col min="3074" max="3074" width="13" style="30" customWidth="1"/>
    <col min="3075" max="3075" width="24.88671875" style="30" customWidth="1"/>
    <col min="3076" max="3078" width="0" style="30" hidden="1" customWidth="1"/>
    <col min="3079" max="3079" width="2.6640625" style="30" customWidth="1"/>
    <col min="3080" max="3080" width="18.6640625" style="30" customWidth="1"/>
    <col min="3081" max="3081" width="2.6640625" style="30" customWidth="1"/>
    <col min="3082" max="3082" width="11.6640625" style="30" customWidth="1"/>
    <col min="3083" max="3083" width="2.6640625" style="30" customWidth="1"/>
    <col min="3084" max="3084" width="9.109375" style="30"/>
    <col min="3085" max="3085" width="12.6640625" style="30" bestFit="1" customWidth="1"/>
    <col min="3086" max="3328" width="9.109375" style="30"/>
    <col min="3329" max="3329" width="4.33203125" style="30" customWidth="1"/>
    <col min="3330" max="3330" width="13" style="30" customWidth="1"/>
    <col min="3331" max="3331" width="24.88671875" style="30" customWidth="1"/>
    <col min="3332" max="3334" width="0" style="30" hidden="1" customWidth="1"/>
    <col min="3335" max="3335" width="2.6640625" style="30" customWidth="1"/>
    <col min="3336" max="3336" width="18.6640625" style="30" customWidth="1"/>
    <col min="3337" max="3337" width="2.6640625" style="30" customWidth="1"/>
    <col min="3338" max="3338" width="11.6640625" style="30" customWidth="1"/>
    <col min="3339" max="3339" width="2.6640625" style="30" customWidth="1"/>
    <col min="3340" max="3340" width="9.109375" style="30"/>
    <col min="3341" max="3341" width="12.6640625" style="30" bestFit="1" customWidth="1"/>
    <col min="3342" max="3584" width="9.109375" style="30"/>
    <col min="3585" max="3585" width="4.33203125" style="30" customWidth="1"/>
    <col min="3586" max="3586" width="13" style="30" customWidth="1"/>
    <col min="3587" max="3587" width="24.88671875" style="30" customWidth="1"/>
    <col min="3588" max="3590" width="0" style="30" hidden="1" customWidth="1"/>
    <col min="3591" max="3591" width="2.6640625" style="30" customWidth="1"/>
    <col min="3592" max="3592" width="18.6640625" style="30" customWidth="1"/>
    <col min="3593" max="3593" width="2.6640625" style="30" customWidth="1"/>
    <col min="3594" max="3594" width="11.6640625" style="30" customWidth="1"/>
    <col min="3595" max="3595" width="2.6640625" style="30" customWidth="1"/>
    <col min="3596" max="3596" width="9.109375" style="30"/>
    <col min="3597" max="3597" width="12.6640625" style="30" bestFit="1" customWidth="1"/>
    <col min="3598" max="3840" width="9.109375" style="30"/>
    <col min="3841" max="3841" width="4.33203125" style="30" customWidth="1"/>
    <col min="3842" max="3842" width="13" style="30" customWidth="1"/>
    <col min="3843" max="3843" width="24.88671875" style="30" customWidth="1"/>
    <col min="3844" max="3846" width="0" style="30" hidden="1" customWidth="1"/>
    <col min="3847" max="3847" width="2.6640625" style="30" customWidth="1"/>
    <col min="3848" max="3848" width="18.6640625" style="30" customWidth="1"/>
    <col min="3849" max="3849" width="2.6640625" style="30" customWidth="1"/>
    <col min="3850" max="3850" width="11.6640625" style="30" customWidth="1"/>
    <col min="3851" max="3851" width="2.6640625" style="30" customWidth="1"/>
    <col min="3852" max="3852" width="9.109375" style="30"/>
    <col min="3853" max="3853" width="12.6640625" style="30" bestFit="1" customWidth="1"/>
    <col min="3854" max="4096" width="9.109375" style="30"/>
    <col min="4097" max="4097" width="4.33203125" style="30" customWidth="1"/>
    <col min="4098" max="4098" width="13" style="30" customWidth="1"/>
    <col min="4099" max="4099" width="24.88671875" style="30" customWidth="1"/>
    <col min="4100" max="4102" width="0" style="30" hidden="1" customWidth="1"/>
    <col min="4103" max="4103" width="2.6640625" style="30" customWidth="1"/>
    <col min="4104" max="4104" width="18.6640625" style="30" customWidth="1"/>
    <col min="4105" max="4105" width="2.6640625" style="30" customWidth="1"/>
    <col min="4106" max="4106" width="11.6640625" style="30" customWidth="1"/>
    <col min="4107" max="4107" width="2.6640625" style="30" customWidth="1"/>
    <col min="4108" max="4108" width="9.109375" style="30"/>
    <col min="4109" max="4109" width="12.6640625" style="30" bestFit="1" customWidth="1"/>
    <col min="4110" max="4352" width="9.109375" style="30"/>
    <col min="4353" max="4353" width="4.33203125" style="30" customWidth="1"/>
    <col min="4354" max="4354" width="13" style="30" customWidth="1"/>
    <col min="4355" max="4355" width="24.88671875" style="30" customWidth="1"/>
    <col min="4356" max="4358" width="0" style="30" hidden="1" customWidth="1"/>
    <col min="4359" max="4359" width="2.6640625" style="30" customWidth="1"/>
    <col min="4360" max="4360" width="18.6640625" style="30" customWidth="1"/>
    <col min="4361" max="4361" width="2.6640625" style="30" customWidth="1"/>
    <col min="4362" max="4362" width="11.6640625" style="30" customWidth="1"/>
    <col min="4363" max="4363" width="2.6640625" style="30" customWidth="1"/>
    <col min="4364" max="4364" width="9.109375" style="30"/>
    <col min="4365" max="4365" width="12.6640625" style="30" bestFit="1" customWidth="1"/>
    <col min="4366" max="4608" width="9.109375" style="30"/>
    <col min="4609" max="4609" width="4.33203125" style="30" customWidth="1"/>
    <col min="4610" max="4610" width="13" style="30" customWidth="1"/>
    <col min="4611" max="4611" width="24.88671875" style="30" customWidth="1"/>
    <col min="4612" max="4614" width="0" style="30" hidden="1" customWidth="1"/>
    <col min="4615" max="4615" width="2.6640625" style="30" customWidth="1"/>
    <col min="4616" max="4616" width="18.6640625" style="30" customWidth="1"/>
    <col min="4617" max="4617" width="2.6640625" style="30" customWidth="1"/>
    <col min="4618" max="4618" width="11.6640625" style="30" customWidth="1"/>
    <col min="4619" max="4619" width="2.6640625" style="30" customWidth="1"/>
    <col min="4620" max="4620" width="9.109375" style="30"/>
    <col min="4621" max="4621" width="12.6640625" style="30" bestFit="1" customWidth="1"/>
    <col min="4622" max="4864" width="9.109375" style="30"/>
    <col min="4865" max="4865" width="4.33203125" style="30" customWidth="1"/>
    <col min="4866" max="4866" width="13" style="30" customWidth="1"/>
    <col min="4867" max="4867" width="24.88671875" style="30" customWidth="1"/>
    <col min="4868" max="4870" width="0" style="30" hidden="1" customWidth="1"/>
    <col min="4871" max="4871" width="2.6640625" style="30" customWidth="1"/>
    <col min="4872" max="4872" width="18.6640625" style="30" customWidth="1"/>
    <col min="4873" max="4873" width="2.6640625" style="30" customWidth="1"/>
    <col min="4874" max="4874" width="11.6640625" style="30" customWidth="1"/>
    <col min="4875" max="4875" width="2.6640625" style="30" customWidth="1"/>
    <col min="4876" max="4876" width="9.109375" style="30"/>
    <col min="4877" max="4877" width="12.6640625" style="30" bestFit="1" customWidth="1"/>
    <col min="4878" max="5120" width="9.109375" style="30"/>
    <col min="5121" max="5121" width="4.33203125" style="30" customWidth="1"/>
    <col min="5122" max="5122" width="13" style="30" customWidth="1"/>
    <col min="5123" max="5123" width="24.88671875" style="30" customWidth="1"/>
    <col min="5124" max="5126" width="0" style="30" hidden="1" customWidth="1"/>
    <col min="5127" max="5127" width="2.6640625" style="30" customWidth="1"/>
    <col min="5128" max="5128" width="18.6640625" style="30" customWidth="1"/>
    <col min="5129" max="5129" width="2.6640625" style="30" customWidth="1"/>
    <col min="5130" max="5130" width="11.6640625" style="30" customWidth="1"/>
    <col min="5131" max="5131" width="2.6640625" style="30" customWidth="1"/>
    <col min="5132" max="5132" width="9.109375" style="30"/>
    <col min="5133" max="5133" width="12.6640625" style="30" bestFit="1" customWidth="1"/>
    <col min="5134" max="5376" width="9.109375" style="30"/>
    <col min="5377" max="5377" width="4.33203125" style="30" customWidth="1"/>
    <col min="5378" max="5378" width="13" style="30" customWidth="1"/>
    <col min="5379" max="5379" width="24.88671875" style="30" customWidth="1"/>
    <col min="5380" max="5382" width="0" style="30" hidden="1" customWidth="1"/>
    <col min="5383" max="5383" width="2.6640625" style="30" customWidth="1"/>
    <col min="5384" max="5384" width="18.6640625" style="30" customWidth="1"/>
    <col min="5385" max="5385" width="2.6640625" style="30" customWidth="1"/>
    <col min="5386" max="5386" width="11.6640625" style="30" customWidth="1"/>
    <col min="5387" max="5387" width="2.6640625" style="30" customWidth="1"/>
    <col min="5388" max="5388" width="9.109375" style="30"/>
    <col min="5389" max="5389" width="12.6640625" style="30" bestFit="1" customWidth="1"/>
    <col min="5390" max="5632" width="9.109375" style="30"/>
    <col min="5633" max="5633" width="4.33203125" style="30" customWidth="1"/>
    <col min="5634" max="5634" width="13" style="30" customWidth="1"/>
    <col min="5635" max="5635" width="24.88671875" style="30" customWidth="1"/>
    <col min="5636" max="5638" width="0" style="30" hidden="1" customWidth="1"/>
    <col min="5639" max="5639" width="2.6640625" style="30" customWidth="1"/>
    <col min="5640" max="5640" width="18.6640625" style="30" customWidth="1"/>
    <col min="5641" max="5641" width="2.6640625" style="30" customWidth="1"/>
    <col min="5642" max="5642" width="11.6640625" style="30" customWidth="1"/>
    <col min="5643" max="5643" width="2.6640625" style="30" customWidth="1"/>
    <col min="5644" max="5644" width="9.109375" style="30"/>
    <col min="5645" max="5645" width="12.6640625" style="30" bestFit="1" customWidth="1"/>
    <col min="5646" max="5888" width="9.109375" style="30"/>
    <col min="5889" max="5889" width="4.33203125" style="30" customWidth="1"/>
    <col min="5890" max="5890" width="13" style="30" customWidth="1"/>
    <col min="5891" max="5891" width="24.88671875" style="30" customWidth="1"/>
    <col min="5892" max="5894" width="0" style="30" hidden="1" customWidth="1"/>
    <col min="5895" max="5895" width="2.6640625" style="30" customWidth="1"/>
    <col min="5896" max="5896" width="18.6640625" style="30" customWidth="1"/>
    <col min="5897" max="5897" width="2.6640625" style="30" customWidth="1"/>
    <col min="5898" max="5898" width="11.6640625" style="30" customWidth="1"/>
    <col min="5899" max="5899" width="2.6640625" style="30" customWidth="1"/>
    <col min="5900" max="5900" width="9.109375" style="30"/>
    <col min="5901" max="5901" width="12.6640625" style="30" bestFit="1" customWidth="1"/>
    <col min="5902" max="6144" width="9.109375" style="30"/>
    <col min="6145" max="6145" width="4.33203125" style="30" customWidth="1"/>
    <col min="6146" max="6146" width="13" style="30" customWidth="1"/>
    <col min="6147" max="6147" width="24.88671875" style="30" customWidth="1"/>
    <col min="6148" max="6150" width="0" style="30" hidden="1" customWidth="1"/>
    <col min="6151" max="6151" width="2.6640625" style="30" customWidth="1"/>
    <col min="6152" max="6152" width="18.6640625" style="30" customWidth="1"/>
    <col min="6153" max="6153" width="2.6640625" style="30" customWidth="1"/>
    <col min="6154" max="6154" width="11.6640625" style="30" customWidth="1"/>
    <col min="6155" max="6155" width="2.6640625" style="30" customWidth="1"/>
    <col min="6156" max="6156" width="9.109375" style="30"/>
    <col min="6157" max="6157" width="12.6640625" style="30" bestFit="1" customWidth="1"/>
    <col min="6158" max="6400" width="9.109375" style="30"/>
    <col min="6401" max="6401" width="4.33203125" style="30" customWidth="1"/>
    <col min="6402" max="6402" width="13" style="30" customWidth="1"/>
    <col min="6403" max="6403" width="24.88671875" style="30" customWidth="1"/>
    <col min="6404" max="6406" width="0" style="30" hidden="1" customWidth="1"/>
    <col min="6407" max="6407" width="2.6640625" style="30" customWidth="1"/>
    <col min="6408" max="6408" width="18.6640625" style="30" customWidth="1"/>
    <col min="6409" max="6409" width="2.6640625" style="30" customWidth="1"/>
    <col min="6410" max="6410" width="11.6640625" style="30" customWidth="1"/>
    <col min="6411" max="6411" width="2.6640625" style="30" customWidth="1"/>
    <col min="6412" max="6412" width="9.109375" style="30"/>
    <col min="6413" max="6413" width="12.6640625" style="30" bestFit="1" customWidth="1"/>
    <col min="6414" max="6656" width="9.109375" style="30"/>
    <col min="6657" max="6657" width="4.33203125" style="30" customWidth="1"/>
    <col min="6658" max="6658" width="13" style="30" customWidth="1"/>
    <col min="6659" max="6659" width="24.88671875" style="30" customWidth="1"/>
    <col min="6660" max="6662" width="0" style="30" hidden="1" customWidth="1"/>
    <col min="6663" max="6663" width="2.6640625" style="30" customWidth="1"/>
    <col min="6664" max="6664" width="18.6640625" style="30" customWidth="1"/>
    <col min="6665" max="6665" width="2.6640625" style="30" customWidth="1"/>
    <col min="6666" max="6666" width="11.6640625" style="30" customWidth="1"/>
    <col min="6667" max="6667" width="2.6640625" style="30" customWidth="1"/>
    <col min="6668" max="6668" width="9.109375" style="30"/>
    <col min="6669" max="6669" width="12.6640625" style="30" bestFit="1" customWidth="1"/>
    <col min="6670" max="6912" width="9.109375" style="30"/>
    <col min="6913" max="6913" width="4.33203125" style="30" customWidth="1"/>
    <col min="6914" max="6914" width="13" style="30" customWidth="1"/>
    <col min="6915" max="6915" width="24.88671875" style="30" customWidth="1"/>
    <col min="6916" max="6918" width="0" style="30" hidden="1" customWidth="1"/>
    <col min="6919" max="6919" width="2.6640625" style="30" customWidth="1"/>
    <col min="6920" max="6920" width="18.6640625" style="30" customWidth="1"/>
    <col min="6921" max="6921" width="2.6640625" style="30" customWidth="1"/>
    <col min="6922" max="6922" width="11.6640625" style="30" customWidth="1"/>
    <col min="6923" max="6923" width="2.6640625" style="30" customWidth="1"/>
    <col min="6924" max="6924" width="9.109375" style="30"/>
    <col min="6925" max="6925" width="12.6640625" style="30" bestFit="1" customWidth="1"/>
    <col min="6926" max="7168" width="9.109375" style="30"/>
    <col min="7169" max="7169" width="4.33203125" style="30" customWidth="1"/>
    <col min="7170" max="7170" width="13" style="30" customWidth="1"/>
    <col min="7171" max="7171" width="24.88671875" style="30" customWidth="1"/>
    <col min="7172" max="7174" width="0" style="30" hidden="1" customWidth="1"/>
    <col min="7175" max="7175" width="2.6640625" style="30" customWidth="1"/>
    <col min="7176" max="7176" width="18.6640625" style="30" customWidth="1"/>
    <col min="7177" max="7177" width="2.6640625" style="30" customWidth="1"/>
    <col min="7178" max="7178" width="11.6640625" style="30" customWidth="1"/>
    <col min="7179" max="7179" width="2.6640625" style="30" customWidth="1"/>
    <col min="7180" max="7180" width="9.109375" style="30"/>
    <col min="7181" max="7181" width="12.6640625" style="30" bestFit="1" customWidth="1"/>
    <col min="7182" max="7424" width="9.109375" style="30"/>
    <col min="7425" max="7425" width="4.33203125" style="30" customWidth="1"/>
    <col min="7426" max="7426" width="13" style="30" customWidth="1"/>
    <col min="7427" max="7427" width="24.88671875" style="30" customWidth="1"/>
    <col min="7428" max="7430" width="0" style="30" hidden="1" customWidth="1"/>
    <col min="7431" max="7431" width="2.6640625" style="30" customWidth="1"/>
    <col min="7432" max="7432" width="18.6640625" style="30" customWidth="1"/>
    <col min="7433" max="7433" width="2.6640625" style="30" customWidth="1"/>
    <col min="7434" max="7434" width="11.6640625" style="30" customWidth="1"/>
    <col min="7435" max="7435" width="2.6640625" style="30" customWidth="1"/>
    <col min="7436" max="7436" width="9.109375" style="30"/>
    <col min="7437" max="7437" width="12.6640625" style="30" bestFit="1" customWidth="1"/>
    <col min="7438" max="7680" width="9.109375" style="30"/>
    <col min="7681" max="7681" width="4.33203125" style="30" customWidth="1"/>
    <col min="7682" max="7682" width="13" style="30" customWidth="1"/>
    <col min="7683" max="7683" width="24.88671875" style="30" customWidth="1"/>
    <col min="7684" max="7686" width="0" style="30" hidden="1" customWidth="1"/>
    <col min="7687" max="7687" width="2.6640625" style="30" customWidth="1"/>
    <col min="7688" max="7688" width="18.6640625" style="30" customWidth="1"/>
    <col min="7689" max="7689" width="2.6640625" style="30" customWidth="1"/>
    <col min="7690" max="7690" width="11.6640625" style="30" customWidth="1"/>
    <col min="7691" max="7691" width="2.6640625" style="30" customWidth="1"/>
    <col min="7692" max="7692" width="9.109375" style="30"/>
    <col min="7693" max="7693" width="12.6640625" style="30" bestFit="1" customWidth="1"/>
    <col min="7694" max="7936" width="9.109375" style="30"/>
    <col min="7937" max="7937" width="4.33203125" style="30" customWidth="1"/>
    <col min="7938" max="7938" width="13" style="30" customWidth="1"/>
    <col min="7939" max="7939" width="24.88671875" style="30" customWidth="1"/>
    <col min="7940" max="7942" width="0" style="30" hidden="1" customWidth="1"/>
    <col min="7943" max="7943" width="2.6640625" style="30" customWidth="1"/>
    <col min="7944" max="7944" width="18.6640625" style="30" customWidth="1"/>
    <col min="7945" max="7945" width="2.6640625" style="30" customWidth="1"/>
    <col min="7946" max="7946" width="11.6640625" style="30" customWidth="1"/>
    <col min="7947" max="7947" width="2.6640625" style="30" customWidth="1"/>
    <col min="7948" max="7948" width="9.109375" style="30"/>
    <col min="7949" max="7949" width="12.6640625" style="30" bestFit="1" customWidth="1"/>
    <col min="7950" max="8192" width="9.109375" style="30"/>
    <col min="8193" max="8193" width="4.33203125" style="30" customWidth="1"/>
    <col min="8194" max="8194" width="13" style="30" customWidth="1"/>
    <col min="8195" max="8195" width="24.88671875" style="30" customWidth="1"/>
    <col min="8196" max="8198" width="0" style="30" hidden="1" customWidth="1"/>
    <col min="8199" max="8199" width="2.6640625" style="30" customWidth="1"/>
    <col min="8200" max="8200" width="18.6640625" style="30" customWidth="1"/>
    <col min="8201" max="8201" width="2.6640625" style="30" customWidth="1"/>
    <col min="8202" max="8202" width="11.6640625" style="30" customWidth="1"/>
    <col min="8203" max="8203" width="2.6640625" style="30" customWidth="1"/>
    <col min="8204" max="8204" width="9.109375" style="30"/>
    <col min="8205" max="8205" width="12.6640625" style="30" bestFit="1" customWidth="1"/>
    <col min="8206" max="8448" width="9.109375" style="30"/>
    <col min="8449" max="8449" width="4.33203125" style="30" customWidth="1"/>
    <col min="8450" max="8450" width="13" style="30" customWidth="1"/>
    <col min="8451" max="8451" width="24.88671875" style="30" customWidth="1"/>
    <col min="8452" max="8454" width="0" style="30" hidden="1" customWidth="1"/>
    <col min="8455" max="8455" width="2.6640625" style="30" customWidth="1"/>
    <col min="8456" max="8456" width="18.6640625" style="30" customWidth="1"/>
    <col min="8457" max="8457" width="2.6640625" style="30" customWidth="1"/>
    <col min="8458" max="8458" width="11.6640625" style="30" customWidth="1"/>
    <col min="8459" max="8459" width="2.6640625" style="30" customWidth="1"/>
    <col min="8460" max="8460" width="9.109375" style="30"/>
    <col min="8461" max="8461" width="12.6640625" style="30" bestFit="1" customWidth="1"/>
    <col min="8462" max="8704" width="9.109375" style="30"/>
    <col min="8705" max="8705" width="4.33203125" style="30" customWidth="1"/>
    <col min="8706" max="8706" width="13" style="30" customWidth="1"/>
    <col min="8707" max="8707" width="24.88671875" style="30" customWidth="1"/>
    <col min="8708" max="8710" width="0" style="30" hidden="1" customWidth="1"/>
    <col min="8711" max="8711" width="2.6640625" style="30" customWidth="1"/>
    <col min="8712" max="8712" width="18.6640625" style="30" customWidth="1"/>
    <col min="8713" max="8713" width="2.6640625" style="30" customWidth="1"/>
    <col min="8714" max="8714" width="11.6640625" style="30" customWidth="1"/>
    <col min="8715" max="8715" width="2.6640625" style="30" customWidth="1"/>
    <col min="8716" max="8716" width="9.109375" style="30"/>
    <col min="8717" max="8717" width="12.6640625" style="30" bestFit="1" customWidth="1"/>
    <col min="8718" max="8960" width="9.109375" style="30"/>
    <col min="8961" max="8961" width="4.33203125" style="30" customWidth="1"/>
    <col min="8962" max="8962" width="13" style="30" customWidth="1"/>
    <col min="8963" max="8963" width="24.88671875" style="30" customWidth="1"/>
    <col min="8964" max="8966" width="0" style="30" hidden="1" customWidth="1"/>
    <col min="8967" max="8967" width="2.6640625" style="30" customWidth="1"/>
    <col min="8968" max="8968" width="18.6640625" style="30" customWidth="1"/>
    <col min="8969" max="8969" width="2.6640625" style="30" customWidth="1"/>
    <col min="8970" max="8970" width="11.6640625" style="30" customWidth="1"/>
    <col min="8971" max="8971" width="2.6640625" style="30" customWidth="1"/>
    <col min="8972" max="8972" width="9.109375" style="30"/>
    <col min="8973" max="8973" width="12.6640625" style="30" bestFit="1" customWidth="1"/>
    <col min="8974" max="9216" width="9.109375" style="30"/>
    <col min="9217" max="9217" width="4.33203125" style="30" customWidth="1"/>
    <col min="9218" max="9218" width="13" style="30" customWidth="1"/>
    <col min="9219" max="9219" width="24.88671875" style="30" customWidth="1"/>
    <col min="9220" max="9222" width="0" style="30" hidden="1" customWidth="1"/>
    <col min="9223" max="9223" width="2.6640625" style="30" customWidth="1"/>
    <col min="9224" max="9224" width="18.6640625" style="30" customWidth="1"/>
    <col min="9225" max="9225" width="2.6640625" style="30" customWidth="1"/>
    <col min="9226" max="9226" width="11.6640625" style="30" customWidth="1"/>
    <col min="9227" max="9227" width="2.6640625" style="30" customWidth="1"/>
    <col min="9228" max="9228" width="9.109375" style="30"/>
    <col min="9229" max="9229" width="12.6640625" style="30" bestFit="1" customWidth="1"/>
    <col min="9230" max="9472" width="9.109375" style="30"/>
    <col min="9473" max="9473" width="4.33203125" style="30" customWidth="1"/>
    <col min="9474" max="9474" width="13" style="30" customWidth="1"/>
    <col min="9475" max="9475" width="24.88671875" style="30" customWidth="1"/>
    <col min="9476" max="9478" width="0" style="30" hidden="1" customWidth="1"/>
    <col min="9479" max="9479" width="2.6640625" style="30" customWidth="1"/>
    <col min="9480" max="9480" width="18.6640625" style="30" customWidth="1"/>
    <col min="9481" max="9481" width="2.6640625" style="30" customWidth="1"/>
    <col min="9482" max="9482" width="11.6640625" style="30" customWidth="1"/>
    <col min="9483" max="9483" width="2.6640625" style="30" customWidth="1"/>
    <col min="9484" max="9484" width="9.109375" style="30"/>
    <col min="9485" max="9485" width="12.6640625" style="30" bestFit="1" customWidth="1"/>
    <col min="9486" max="9728" width="9.109375" style="30"/>
    <col min="9729" max="9729" width="4.33203125" style="30" customWidth="1"/>
    <col min="9730" max="9730" width="13" style="30" customWidth="1"/>
    <col min="9731" max="9731" width="24.88671875" style="30" customWidth="1"/>
    <col min="9732" max="9734" width="0" style="30" hidden="1" customWidth="1"/>
    <col min="9735" max="9735" width="2.6640625" style="30" customWidth="1"/>
    <col min="9736" max="9736" width="18.6640625" style="30" customWidth="1"/>
    <col min="9737" max="9737" width="2.6640625" style="30" customWidth="1"/>
    <col min="9738" max="9738" width="11.6640625" style="30" customWidth="1"/>
    <col min="9739" max="9739" width="2.6640625" style="30" customWidth="1"/>
    <col min="9740" max="9740" width="9.109375" style="30"/>
    <col min="9741" max="9741" width="12.6640625" style="30" bestFit="1" customWidth="1"/>
    <col min="9742" max="9984" width="9.109375" style="30"/>
    <col min="9985" max="9985" width="4.33203125" style="30" customWidth="1"/>
    <col min="9986" max="9986" width="13" style="30" customWidth="1"/>
    <col min="9987" max="9987" width="24.88671875" style="30" customWidth="1"/>
    <col min="9988" max="9990" width="0" style="30" hidden="1" customWidth="1"/>
    <col min="9991" max="9991" width="2.6640625" style="30" customWidth="1"/>
    <col min="9992" max="9992" width="18.6640625" style="30" customWidth="1"/>
    <col min="9993" max="9993" width="2.6640625" style="30" customWidth="1"/>
    <col min="9994" max="9994" width="11.6640625" style="30" customWidth="1"/>
    <col min="9995" max="9995" width="2.6640625" style="30" customWidth="1"/>
    <col min="9996" max="9996" width="9.109375" style="30"/>
    <col min="9997" max="9997" width="12.6640625" style="30" bestFit="1" customWidth="1"/>
    <col min="9998" max="10240" width="9.109375" style="30"/>
    <col min="10241" max="10241" width="4.33203125" style="30" customWidth="1"/>
    <col min="10242" max="10242" width="13" style="30" customWidth="1"/>
    <col min="10243" max="10243" width="24.88671875" style="30" customWidth="1"/>
    <col min="10244" max="10246" width="0" style="30" hidden="1" customWidth="1"/>
    <col min="10247" max="10247" width="2.6640625" style="30" customWidth="1"/>
    <col min="10248" max="10248" width="18.6640625" style="30" customWidth="1"/>
    <col min="10249" max="10249" width="2.6640625" style="30" customWidth="1"/>
    <col min="10250" max="10250" width="11.6640625" style="30" customWidth="1"/>
    <col min="10251" max="10251" width="2.6640625" style="30" customWidth="1"/>
    <col min="10252" max="10252" width="9.109375" style="30"/>
    <col min="10253" max="10253" width="12.6640625" style="30" bestFit="1" customWidth="1"/>
    <col min="10254" max="10496" width="9.109375" style="30"/>
    <col min="10497" max="10497" width="4.33203125" style="30" customWidth="1"/>
    <col min="10498" max="10498" width="13" style="30" customWidth="1"/>
    <col min="10499" max="10499" width="24.88671875" style="30" customWidth="1"/>
    <col min="10500" max="10502" width="0" style="30" hidden="1" customWidth="1"/>
    <col min="10503" max="10503" width="2.6640625" style="30" customWidth="1"/>
    <col min="10504" max="10504" width="18.6640625" style="30" customWidth="1"/>
    <col min="10505" max="10505" width="2.6640625" style="30" customWidth="1"/>
    <col min="10506" max="10506" width="11.6640625" style="30" customWidth="1"/>
    <col min="10507" max="10507" width="2.6640625" style="30" customWidth="1"/>
    <col min="10508" max="10508" width="9.109375" style="30"/>
    <col min="10509" max="10509" width="12.6640625" style="30" bestFit="1" customWidth="1"/>
    <col min="10510" max="10752" width="9.109375" style="30"/>
    <col min="10753" max="10753" width="4.33203125" style="30" customWidth="1"/>
    <col min="10754" max="10754" width="13" style="30" customWidth="1"/>
    <col min="10755" max="10755" width="24.88671875" style="30" customWidth="1"/>
    <col min="10756" max="10758" width="0" style="30" hidden="1" customWidth="1"/>
    <col min="10759" max="10759" width="2.6640625" style="30" customWidth="1"/>
    <col min="10760" max="10760" width="18.6640625" style="30" customWidth="1"/>
    <col min="10761" max="10761" width="2.6640625" style="30" customWidth="1"/>
    <col min="10762" max="10762" width="11.6640625" style="30" customWidth="1"/>
    <col min="10763" max="10763" width="2.6640625" style="30" customWidth="1"/>
    <col min="10764" max="10764" width="9.109375" style="30"/>
    <col min="10765" max="10765" width="12.6640625" style="30" bestFit="1" customWidth="1"/>
    <col min="10766" max="11008" width="9.109375" style="30"/>
    <col min="11009" max="11009" width="4.33203125" style="30" customWidth="1"/>
    <col min="11010" max="11010" width="13" style="30" customWidth="1"/>
    <col min="11011" max="11011" width="24.88671875" style="30" customWidth="1"/>
    <col min="11012" max="11014" width="0" style="30" hidden="1" customWidth="1"/>
    <col min="11015" max="11015" width="2.6640625" style="30" customWidth="1"/>
    <col min="11016" max="11016" width="18.6640625" style="30" customWidth="1"/>
    <col min="11017" max="11017" width="2.6640625" style="30" customWidth="1"/>
    <col min="11018" max="11018" width="11.6640625" style="30" customWidth="1"/>
    <col min="11019" max="11019" width="2.6640625" style="30" customWidth="1"/>
    <col min="11020" max="11020" width="9.109375" style="30"/>
    <col min="11021" max="11021" width="12.6640625" style="30" bestFit="1" customWidth="1"/>
    <col min="11022" max="11264" width="9.109375" style="30"/>
    <col min="11265" max="11265" width="4.33203125" style="30" customWidth="1"/>
    <col min="11266" max="11266" width="13" style="30" customWidth="1"/>
    <col min="11267" max="11267" width="24.88671875" style="30" customWidth="1"/>
    <col min="11268" max="11270" width="0" style="30" hidden="1" customWidth="1"/>
    <col min="11271" max="11271" width="2.6640625" style="30" customWidth="1"/>
    <col min="11272" max="11272" width="18.6640625" style="30" customWidth="1"/>
    <col min="11273" max="11273" width="2.6640625" style="30" customWidth="1"/>
    <col min="11274" max="11274" width="11.6640625" style="30" customWidth="1"/>
    <col min="11275" max="11275" width="2.6640625" style="30" customWidth="1"/>
    <col min="11276" max="11276" width="9.109375" style="30"/>
    <col min="11277" max="11277" width="12.6640625" style="30" bestFit="1" customWidth="1"/>
    <col min="11278" max="11520" width="9.109375" style="30"/>
    <col min="11521" max="11521" width="4.33203125" style="30" customWidth="1"/>
    <col min="11522" max="11522" width="13" style="30" customWidth="1"/>
    <col min="11523" max="11523" width="24.88671875" style="30" customWidth="1"/>
    <col min="11524" max="11526" width="0" style="30" hidden="1" customWidth="1"/>
    <col min="11527" max="11527" width="2.6640625" style="30" customWidth="1"/>
    <col min="11528" max="11528" width="18.6640625" style="30" customWidth="1"/>
    <col min="11529" max="11529" width="2.6640625" style="30" customWidth="1"/>
    <col min="11530" max="11530" width="11.6640625" style="30" customWidth="1"/>
    <col min="11531" max="11531" width="2.6640625" style="30" customWidth="1"/>
    <col min="11532" max="11532" width="9.109375" style="30"/>
    <col min="11533" max="11533" width="12.6640625" style="30" bestFit="1" customWidth="1"/>
    <col min="11534" max="11776" width="9.109375" style="30"/>
    <col min="11777" max="11777" width="4.33203125" style="30" customWidth="1"/>
    <col min="11778" max="11778" width="13" style="30" customWidth="1"/>
    <col min="11779" max="11779" width="24.88671875" style="30" customWidth="1"/>
    <col min="11780" max="11782" width="0" style="30" hidden="1" customWidth="1"/>
    <col min="11783" max="11783" width="2.6640625" style="30" customWidth="1"/>
    <col min="11784" max="11784" width="18.6640625" style="30" customWidth="1"/>
    <col min="11785" max="11785" width="2.6640625" style="30" customWidth="1"/>
    <col min="11786" max="11786" width="11.6640625" style="30" customWidth="1"/>
    <col min="11787" max="11787" width="2.6640625" style="30" customWidth="1"/>
    <col min="11788" max="11788" width="9.109375" style="30"/>
    <col min="11789" max="11789" width="12.6640625" style="30" bestFit="1" customWidth="1"/>
    <col min="11790" max="12032" width="9.109375" style="30"/>
    <col min="12033" max="12033" width="4.33203125" style="30" customWidth="1"/>
    <col min="12034" max="12034" width="13" style="30" customWidth="1"/>
    <col min="12035" max="12035" width="24.88671875" style="30" customWidth="1"/>
    <col min="12036" max="12038" width="0" style="30" hidden="1" customWidth="1"/>
    <col min="12039" max="12039" width="2.6640625" style="30" customWidth="1"/>
    <col min="12040" max="12040" width="18.6640625" style="30" customWidth="1"/>
    <col min="12041" max="12041" width="2.6640625" style="30" customWidth="1"/>
    <col min="12042" max="12042" width="11.6640625" style="30" customWidth="1"/>
    <col min="12043" max="12043" width="2.6640625" style="30" customWidth="1"/>
    <col min="12044" max="12044" width="9.109375" style="30"/>
    <col min="12045" max="12045" width="12.6640625" style="30" bestFit="1" customWidth="1"/>
    <col min="12046" max="12288" width="9.109375" style="30"/>
    <col min="12289" max="12289" width="4.33203125" style="30" customWidth="1"/>
    <col min="12290" max="12290" width="13" style="30" customWidth="1"/>
    <col min="12291" max="12291" width="24.88671875" style="30" customWidth="1"/>
    <col min="12292" max="12294" width="0" style="30" hidden="1" customWidth="1"/>
    <col min="12295" max="12295" width="2.6640625" style="30" customWidth="1"/>
    <col min="12296" max="12296" width="18.6640625" style="30" customWidth="1"/>
    <col min="12297" max="12297" width="2.6640625" style="30" customWidth="1"/>
    <col min="12298" max="12298" width="11.6640625" style="30" customWidth="1"/>
    <col min="12299" max="12299" width="2.6640625" style="30" customWidth="1"/>
    <col min="12300" max="12300" width="9.109375" style="30"/>
    <col min="12301" max="12301" width="12.6640625" style="30" bestFit="1" customWidth="1"/>
    <col min="12302" max="12544" width="9.109375" style="30"/>
    <col min="12545" max="12545" width="4.33203125" style="30" customWidth="1"/>
    <col min="12546" max="12546" width="13" style="30" customWidth="1"/>
    <col min="12547" max="12547" width="24.88671875" style="30" customWidth="1"/>
    <col min="12548" max="12550" width="0" style="30" hidden="1" customWidth="1"/>
    <col min="12551" max="12551" width="2.6640625" style="30" customWidth="1"/>
    <col min="12552" max="12552" width="18.6640625" style="30" customWidth="1"/>
    <col min="12553" max="12553" width="2.6640625" style="30" customWidth="1"/>
    <col min="12554" max="12554" width="11.6640625" style="30" customWidth="1"/>
    <col min="12555" max="12555" width="2.6640625" style="30" customWidth="1"/>
    <col min="12556" max="12556" width="9.109375" style="30"/>
    <col min="12557" max="12557" width="12.6640625" style="30" bestFit="1" customWidth="1"/>
    <col min="12558" max="12800" width="9.109375" style="30"/>
    <col min="12801" max="12801" width="4.33203125" style="30" customWidth="1"/>
    <col min="12802" max="12802" width="13" style="30" customWidth="1"/>
    <col min="12803" max="12803" width="24.88671875" style="30" customWidth="1"/>
    <col min="12804" max="12806" width="0" style="30" hidden="1" customWidth="1"/>
    <col min="12807" max="12807" width="2.6640625" style="30" customWidth="1"/>
    <col min="12808" max="12808" width="18.6640625" style="30" customWidth="1"/>
    <col min="12809" max="12809" width="2.6640625" style="30" customWidth="1"/>
    <col min="12810" max="12810" width="11.6640625" style="30" customWidth="1"/>
    <col min="12811" max="12811" width="2.6640625" style="30" customWidth="1"/>
    <col min="12812" max="12812" width="9.109375" style="30"/>
    <col min="12813" max="12813" width="12.6640625" style="30" bestFit="1" customWidth="1"/>
    <col min="12814" max="13056" width="9.109375" style="30"/>
    <col min="13057" max="13057" width="4.33203125" style="30" customWidth="1"/>
    <col min="13058" max="13058" width="13" style="30" customWidth="1"/>
    <col min="13059" max="13059" width="24.88671875" style="30" customWidth="1"/>
    <col min="13060" max="13062" width="0" style="30" hidden="1" customWidth="1"/>
    <col min="13063" max="13063" width="2.6640625" style="30" customWidth="1"/>
    <col min="13064" max="13064" width="18.6640625" style="30" customWidth="1"/>
    <col min="13065" max="13065" width="2.6640625" style="30" customWidth="1"/>
    <col min="13066" max="13066" width="11.6640625" style="30" customWidth="1"/>
    <col min="13067" max="13067" width="2.6640625" style="30" customWidth="1"/>
    <col min="13068" max="13068" width="9.109375" style="30"/>
    <col min="13069" max="13069" width="12.6640625" style="30" bestFit="1" customWidth="1"/>
    <col min="13070" max="13312" width="9.109375" style="30"/>
    <col min="13313" max="13313" width="4.33203125" style="30" customWidth="1"/>
    <col min="13314" max="13314" width="13" style="30" customWidth="1"/>
    <col min="13315" max="13315" width="24.88671875" style="30" customWidth="1"/>
    <col min="13316" max="13318" width="0" style="30" hidden="1" customWidth="1"/>
    <col min="13319" max="13319" width="2.6640625" style="30" customWidth="1"/>
    <col min="13320" max="13320" width="18.6640625" style="30" customWidth="1"/>
    <col min="13321" max="13321" width="2.6640625" style="30" customWidth="1"/>
    <col min="13322" max="13322" width="11.6640625" style="30" customWidth="1"/>
    <col min="13323" max="13323" width="2.6640625" style="30" customWidth="1"/>
    <col min="13324" max="13324" width="9.109375" style="30"/>
    <col min="13325" max="13325" width="12.6640625" style="30" bestFit="1" customWidth="1"/>
    <col min="13326" max="13568" width="9.109375" style="30"/>
    <col min="13569" max="13569" width="4.33203125" style="30" customWidth="1"/>
    <col min="13570" max="13570" width="13" style="30" customWidth="1"/>
    <col min="13571" max="13571" width="24.88671875" style="30" customWidth="1"/>
    <col min="13572" max="13574" width="0" style="30" hidden="1" customWidth="1"/>
    <col min="13575" max="13575" width="2.6640625" style="30" customWidth="1"/>
    <col min="13576" max="13576" width="18.6640625" style="30" customWidth="1"/>
    <col min="13577" max="13577" width="2.6640625" style="30" customWidth="1"/>
    <col min="13578" max="13578" width="11.6640625" style="30" customWidth="1"/>
    <col min="13579" max="13579" width="2.6640625" style="30" customWidth="1"/>
    <col min="13580" max="13580" width="9.109375" style="30"/>
    <col min="13581" max="13581" width="12.6640625" style="30" bestFit="1" customWidth="1"/>
    <col min="13582" max="13824" width="9.109375" style="30"/>
    <col min="13825" max="13825" width="4.33203125" style="30" customWidth="1"/>
    <col min="13826" max="13826" width="13" style="30" customWidth="1"/>
    <col min="13827" max="13827" width="24.88671875" style="30" customWidth="1"/>
    <col min="13828" max="13830" width="0" style="30" hidden="1" customWidth="1"/>
    <col min="13831" max="13831" width="2.6640625" style="30" customWidth="1"/>
    <col min="13832" max="13832" width="18.6640625" style="30" customWidth="1"/>
    <col min="13833" max="13833" width="2.6640625" style="30" customWidth="1"/>
    <col min="13834" max="13834" width="11.6640625" style="30" customWidth="1"/>
    <col min="13835" max="13835" width="2.6640625" style="30" customWidth="1"/>
    <col min="13836" max="13836" width="9.109375" style="30"/>
    <col min="13837" max="13837" width="12.6640625" style="30" bestFit="1" customWidth="1"/>
    <col min="13838" max="14080" width="9.109375" style="30"/>
    <col min="14081" max="14081" width="4.33203125" style="30" customWidth="1"/>
    <col min="14082" max="14082" width="13" style="30" customWidth="1"/>
    <col min="14083" max="14083" width="24.88671875" style="30" customWidth="1"/>
    <col min="14084" max="14086" width="0" style="30" hidden="1" customWidth="1"/>
    <col min="14087" max="14087" width="2.6640625" style="30" customWidth="1"/>
    <col min="14088" max="14088" width="18.6640625" style="30" customWidth="1"/>
    <col min="14089" max="14089" width="2.6640625" style="30" customWidth="1"/>
    <col min="14090" max="14090" width="11.6640625" style="30" customWidth="1"/>
    <col min="14091" max="14091" width="2.6640625" style="30" customWidth="1"/>
    <col min="14092" max="14092" width="9.109375" style="30"/>
    <col min="14093" max="14093" width="12.6640625" style="30" bestFit="1" customWidth="1"/>
    <col min="14094" max="14336" width="9.109375" style="30"/>
    <col min="14337" max="14337" width="4.33203125" style="30" customWidth="1"/>
    <col min="14338" max="14338" width="13" style="30" customWidth="1"/>
    <col min="14339" max="14339" width="24.88671875" style="30" customWidth="1"/>
    <col min="14340" max="14342" width="0" style="30" hidden="1" customWidth="1"/>
    <col min="14343" max="14343" width="2.6640625" style="30" customWidth="1"/>
    <col min="14344" max="14344" width="18.6640625" style="30" customWidth="1"/>
    <col min="14345" max="14345" width="2.6640625" style="30" customWidth="1"/>
    <col min="14346" max="14346" width="11.6640625" style="30" customWidth="1"/>
    <col min="14347" max="14347" width="2.6640625" style="30" customWidth="1"/>
    <col min="14348" max="14348" width="9.109375" style="30"/>
    <col min="14349" max="14349" width="12.6640625" style="30" bestFit="1" customWidth="1"/>
    <col min="14350" max="14592" width="9.109375" style="30"/>
    <col min="14593" max="14593" width="4.33203125" style="30" customWidth="1"/>
    <col min="14594" max="14594" width="13" style="30" customWidth="1"/>
    <col min="14595" max="14595" width="24.88671875" style="30" customWidth="1"/>
    <col min="14596" max="14598" width="0" style="30" hidden="1" customWidth="1"/>
    <col min="14599" max="14599" width="2.6640625" style="30" customWidth="1"/>
    <col min="14600" max="14600" width="18.6640625" style="30" customWidth="1"/>
    <col min="14601" max="14601" width="2.6640625" style="30" customWidth="1"/>
    <col min="14602" max="14602" width="11.6640625" style="30" customWidth="1"/>
    <col min="14603" max="14603" width="2.6640625" style="30" customWidth="1"/>
    <col min="14604" max="14604" width="9.109375" style="30"/>
    <col min="14605" max="14605" width="12.6640625" style="30" bestFit="1" customWidth="1"/>
    <col min="14606" max="14848" width="9.109375" style="30"/>
    <col min="14849" max="14849" width="4.33203125" style="30" customWidth="1"/>
    <col min="14850" max="14850" width="13" style="30" customWidth="1"/>
    <col min="14851" max="14851" width="24.88671875" style="30" customWidth="1"/>
    <col min="14852" max="14854" width="0" style="30" hidden="1" customWidth="1"/>
    <col min="14855" max="14855" width="2.6640625" style="30" customWidth="1"/>
    <col min="14856" max="14856" width="18.6640625" style="30" customWidth="1"/>
    <col min="14857" max="14857" width="2.6640625" style="30" customWidth="1"/>
    <col min="14858" max="14858" width="11.6640625" style="30" customWidth="1"/>
    <col min="14859" max="14859" width="2.6640625" style="30" customWidth="1"/>
    <col min="14860" max="14860" width="9.109375" style="30"/>
    <col min="14861" max="14861" width="12.6640625" style="30" bestFit="1" customWidth="1"/>
    <col min="14862" max="15104" width="9.109375" style="30"/>
    <col min="15105" max="15105" width="4.33203125" style="30" customWidth="1"/>
    <col min="15106" max="15106" width="13" style="30" customWidth="1"/>
    <col min="15107" max="15107" width="24.88671875" style="30" customWidth="1"/>
    <col min="15108" max="15110" width="0" style="30" hidden="1" customWidth="1"/>
    <col min="15111" max="15111" width="2.6640625" style="30" customWidth="1"/>
    <col min="15112" max="15112" width="18.6640625" style="30" customWidth="1"/>
    <col min="15113" max="15113" width="2.6640625" style="30" customWidth="1"/>
    <col min="15114" max="15114" width="11.6640625" style="30" customWidth="1"/>
    <col min="15115" max="15115" width="2.6640625" style="30" customWidth="1"/>
    <col min="15116" max="15116" width="9.109375" style="30"/>
    <col min="15117" max="15117" width="12.6640625" style="30" bestFit="1" customWidth="1"/>
    <col min="15118" max="15360" width="9.109375" style="30"/>
    <col min="15361" max="15361" width="4.33203125" style="30" customWidth="1"/>
    <col min="15362" max="15362" width="13" style="30" customWidth="1"/>
    <col min="15363" max="15363" width="24.88671875" style="30" customWidth="1"/>
    <col min="15364" max="15366" width="0" style="30" hidden="1" customWidth="1"/>
    <col min="15367" max="15367" width="2.6640625" style="30" customWidth="1"/>
    <col min="15368" max="15368" width="18.6640625" style="30" customWidth="1"/>
    <col min="15369" max="15369" width="2.6640625" style="30" customWidth="1"/>
    <col min="15370" max="15370" width="11.6640625" style="30" customWidth="1"/>
    <col min="15371" max="15371" width="2.6640625" style="30" customWidth="1"/>
    <col min="15372" max="15372" width="9.109375" style="30"/>
    <col min="15373" max="15373" width="12.6640625" style="30" bestFit="1" customWidth="1"/>
    <col min="15374" max="15616" width="9.109375" style="30"/>
    <col min="15617" max="15617" width="4.33203125" style="30" customWidth="1"/>
    <col min="15618" max="15618" width="13" style="30" customWidth="1"/>
    <col min="15619" max="15619" width="24.88671875" style="30" customWidth="1"/>
    <col min="15620" max="15622" width="0" style="30" hidden="1" customWidth="1"/>
    <col min="15623" max="15623" width="2.6640625" style="30" customWidth="1"/>
    <col min="15624" max="15624" width="18.6640625" style="30" customWidth="1"/>
    <col min="15625" max="15625" width="2.6640625" style="30" customWidth="1"/>
    <col min="15626" max="15626" width="11.6640625" style="30" customWidth="1"/>
    <col min="15627" max="15627" width="2.6640625" style="30" customWidth="1"/>
    <col min="15628" max="15628" width="9.109375" style="30"/>
    <col min="15629" max="15629" width="12.6640625" style="30" bestFit="1" customWidth="1"/>
    <col min="15630" max="15872" width="9.109375" style="30"/>
    <col min="15873" max="15873" width="4.33203125" style="30" customWidth="1"/>
    <col min="15874" max="15874" width="13" style="30" customWidth="1"/>
    <col min="15875" max="15875" width="24.88671875" style="30" customWidth="1"/>
    <col min="15876" max="15878" width="0" style="30" hidden="1" customWidth="1"/>
    <col min="15879" max="15879" width="2.6640625" style="30" customWidth="1"/>
    <col min="15880" max="15880" width="18.6640625" style="30" customWidth="1"/>
    <col min="15881" max="15881" width="2.6640625" style="30" customWidth="1"/>
    <col min="15882" max="15882" width="11.6640625" style="30" customWidth="1"/>
    <col min="15883" max="15883" width="2.6640625" style="30" customWidth="1"/>
    <col min="15884" max="15884" width="9.109375" style="30"/>
    <col min="15885" max="15885" width="12.6640625" style="30" bestFit="1" customWidth="1"/>
    <col min="15886" max="16128" width="9.109375" style="30"/>
    <col min="16129" max="16129" width="4.33203125" style="30" customWidth="1"/>
    <col min="16130" max="16130" width="13" style="30" customWidth="1"/>
    <col min="16131" max="16131" width="24.88671875" style="30" customWidth="1"/>
    <col min="16132" max="16134" width="0" style="30" hidden="1" customWidth="1"/>
    <col min="16135" max="16135" width="2.6640625" style="30" customWidth="1"/>
    <col min="16136" max="16136" width="18.6640625" style="30" customWidth="1"/>
    <col min="16137" max="16137" width="2.6640625" style="30" customWidth="1"/>
    <col min="16138" max="16138" width="11.6640625" style="30" customWidth="1"/>
    <col min="16139" max="16139" width="2.6640625" style="30" customWidth="1"/>
    <col min="16140" max="16140" width="9.109375" style="30"/>
    <col min="16141" max="16141" width="12.6640625" style="30" bestFit="1" customWidth="1"/>
    <col min="16142" max="16384" width="9.109375" style="30"/>
  </cols>
  <sheetData>
    <row r="1" spans="1:11" ht="12.75" hidden="1" customHeight="1"/>
    <row r="2" spans="1:11" ht="12.75" hidden="1" customHeight="1"/>
    <row r="3" spans="1:11" ht="12.75" hidden="1" customHeight="1"/>
    <row r="4" spans="1:11" ht="12.75" customHeight="1"/>
    <row r="5" spans="1:11" ht="12.75" customHeight="1"/>
    <row r="6" spans="1:11" ht="12.75" customHeight="1"/>
    <row r="7" spans="1:11" ht="12.75" customHeight="1"/>
    <row r="8" spans="1:11" ht="12.75" customHeight="1"/>
    <row r="9" spans="1:11" ht="22.2" customHeight="1">
      <c r="A9" s="68"/>
      <c r="B9" s="283" t="s">
        <v>120</v>
      </c>
      <c r="C9" s="283"/>
      <c r="D9" s="283"/>
      <c r="E9" s="283"/>
      <c r="F9" s="283"/>
      <c r="G9" s="283"/>
      <c r="H9" s="283"/>
      <c r="I9" s="283"/>
      <c r="J9" s="283"/>
    </row>
    <row r="10" spans="1:11" ht="14.4" customHeight="1">
      <c r="A10" s="69"/>
      <c r="B10" s="284" t="s">
        <v>121</v>
      </c>
      <c r="C10" s="284"/>
      <c r="D10" s="284"/>
      <c r="E10" s="284"/>
      <c r="F10" s="284"/>
      <c r="G10" s="284"/>
      <c r="H10" s="284"/>
      <c r="I10" s="284"/>
      <c r="J10" s="284"/>
      <c r="K10" s="70"/>
    </row>
    <row r="11" spans="1:11" ht="12.75" customHeight="1">
      <c r="A11" s="71"/>
      <c r="B11" s="280" t="s">
        <v>495</v>
      </c>
      <c r="C11" s="281"/>
      <c r="D11" s="281"/>
      <c r="E11" s="281"/>
      <c r="F11" s="281"/>
      <c r="G11" s="281"/>
      <c r="H11" s="281"/>
      <c r="I11" s="281"/>
      <c r="J11" s="281"/>
      <c r="K11" s="71"/>
    </row>
    <row r="12" spans="1:11" ht="12.75" customHeight="1">
      <c r="A12" s="72"/>
      <c r="B12" s="285" t="s">
        <v>122</v>
      </c>
      <c r="C12" s="285"/>
      <c r="D12" s="285"/>
      <c r="E12" s="285"/>
      <c r="F12" s="285"/>
      <c r="G12" s="285"/>
      <c r="H12" s="285"/>
      <c r="I12" s="285"/>
      <c r="J12" s="285"/>
      <c r="K12" s="71"/>
    </row>
    <row r="13" spans="1:11" ht="12.75" customHeight="1">
      <c r="A13" s="72"/>
      <c r="B13" s="72"/>
      <c r="C13" s="72"/>
      <c r="D13" s="72"/>
      <c r="E13" s="72"/>
      <c r="F13" s="72"/>
      <c r="G13" s="72"/>
      <c r="H13" s="73"/>
      <c r="I13" s="72"/>
      <c r="J13" s="72"/>
      <c r="K13" s="72"/>
    </row>
    <row r="14" spans="1:11" ht="12.75" customHeight="1">
      <c r="B14" s="72"/>
      <c r="C14" s="72"/>
      <c r="D14" s="72"/>
      <c r="E14" s="72"/>
      <c r="F14" s="72"/>
      <c r="G14" s="72"/>
      <c r="H14" s="73"/>
      <c r="I14" s="72"/>
      <c r="J14" s="72"/>
      <c r="K14" s="72"/>
    </row>
    <row r="15" spans="1:11" ht="12.75" customHeight="1">
      <c r="A15" s="74"/>
      <c r="B15" s="75"/>
      <c r="C15" s="76"/>
      <c r="D15" s="76" t="s">
        <v>123</v>
      </c>
      <c r="E15" s="76"/>
      <c r="F15" s="76" t="s">
        <v>117</v>
      </c>
      <c r="G15" s="31"/>
      <c r="H15" s="77" t="s">
        <v>118</v>
      </c>
      <c r="J15" s="76" t="s">
        <v>117</v>
      </c>
    </row>
    <row r="16" spans="1:11" ht="12.75" customHeight="1"/>
    <row r="17" spans="1:14" ht="13.5" customHeight="1">
      <c r="B17" s="286" t="s">
        <v>124</v>
      </c>
      <c r="C17" s="286"/>
    </row>
    <row r="18" spans="1:14" ht="13.5" customHeight="1">
      <c r="A18" s="78"/>
      <c r="B18" s="282" t="s">
        <v>125</v>
      </c>
      <c r="C18" s="282"/>
      <c r="D18" s="79" t="e">
        <v>#REF!</v>
      </c>
      <c r="E18" s="67"/>
      <c r="F18" s="80">
        <v>1.0001</v>
      </c>
      <c r="H18" s="81">
        <f>+BAL!G105-H56</f>
        <v>1977920.26</v>
      </c>
      <c r="J18" s="80">
        <v>1.0001</v>
      </c>
      <c r="M18" s="243"/>
    </row>
    <row r="19" spans="1:14" ht="13.5" customHeight="1">
      <c r="A19" s="78"/>
      <c r="B19" s="282" t="s">
        <v>126</v>
      </c>
      <c r="C19" s="282"/>
      <c r="D19" s="78"/>
      <c r="E19" s="67"/>
      <c r="F19" s="80"/>
      <c r="H19" s="82">
        <v>0</v>
      </c>
      <c r="J19" s="83">
        <v>0</v>
      </c>
    </row>
    <row r="20" spans="1:14" ht="13.5" customHeight="1">
      <c r="A20" s="78"/>
      <c r="B20" s="286" t="s">
        <v>127</v>
      </c>
      <c r="C20" s="286"/>
      <c r="D20" s="78"/>
      <c r="E20" s="67"/>
      <c r="F20" s="80"/>
      <c r="H20" s="81">
        <f>SUM(H18:H19)</f>
        <v>1977920.26</v>
      </c>
      <c r="J20" s="231">
        <f>IF($H$18=0,0,H20/$H$18)</f>
        <v>1</v>
      </c>
    </row>
    <row r="21" spans="1:14" ht="13.5" customHeight="1">
      <c r="B21" s="84"/>
      <c r="D21" s="67"/>
      <c r="E21" s="67"/>
      <c r="F21" s="67"/>
      <c r="G21" s="67"/>
      <c r="H21" s="85"/>
    </row>
    <row r="22" spans="1:14" ht="13.5" customHeight="1">
      <c r="B22" s="286" t="s">
        <v>128</v>
      </c>
      <c r="C22" s="286"/>
      <c r="D22" s="67"/>
      <c r="E22" s="67"/>
      <c r="F22" s="67"/>
      <c r="G22" s="67"/>
      <c r="H22" s="85"/>
    </row>
    <row r="23" spans="1:14" ht="13.5" customHeight="1">
      <c r="B23" s="78" t="s">
        <v>129</v>
      </c>
      <c r="D23" s="79">
        <v>0</v>
      </c>
      <c r="E23" s="67"/>
      <c r="F23" s="83" t="e">
        <v>#REF!</v>
      </c>
      <c r="H23" s="86">
        <f>+BAL!G110+BAL!G119</f>
        <v>1654681.7639890001</v>
      </c>
      <c r="J23" s="231">
        <f>IF($H$18=0,0,H23/$H$18)</f>
        <v>0.83657657866804003</v>
      </c>
    </row>
    <row r="24" spans="1:14" ht="13.5" customHeight="1">
      <c r="B24" s="84"/>
      <c r="D24" s="67"/>
      <c r="E24" s="67"/>
      <c r="F24" s="67"/>
      <c r="G24" s="67"/>
      <c r="H24" s="87"/>
    </row>
    <row r="25" spans="1:14" ht="13.5" customHeight="1">
      <c r="B25" s="286" t="s">
        <v>130</v>
      </c>
      <c r="C25" s="286"/>
      <c r="D25" s="67" t="e">
        <v>#REF!</v>
      </c>
      <c r="E25" s="67"/>
      <c r="F25" s="88" t="e">
        <v>#REF!</v>
      </c>
      <c r="G25" s="67"/>
      <c r="H25" s="81">
        <f>+H20-H23</f>
        <v>323238.49601099989</v>
      </c>
      <c r="J25" s="231">
        <f>IF($H$18=0,0,H25/$H$18)</f>
        <v>0.16342342133196</v>
      </c>
      <c r="M25" s="187"/>
    </row>
    <row r="26" spans="1:14" ht="13.5" customHeight="1">
      <c r="D26" s="67"/>
      <c r="E26" s="67"/>
      <c r="F26" s="67"/>
      <c r="H26" s="87"/>
    </row>
    <row r="27" spans="1:14" ht="13.2" customHeight="1">
      <c r="B27" s="286" t="s">
        <v>131</v>
      </c>
      <c r="C27" s="286"/>
      <c r="D27" s="67"/>
      <c r="E27" s="67"/>
      <c r="F27" s="67"/>
      <c r="H27" s="87"/>
    </row>
    <row r="28" spans="1:14" ht="13.5" customHeight="1">
      <c r="A28" s="78"/>
      <c r="B28" s="78" t="s">
        <v>132</v>
      </c>
      <c r="C28" s="89"/>
      <c r="D28" s="67" t="e">
        <v>#REF!</v>
      </c>
      <c r="E28" s="67"/>
      <c r="F28" s="83" t="e">
        <v>#REF!</v>
      </c>
      <c r="G28" s="67"/>
      <c r="H28" s="87">
        <f>+BAL!G120</f>
        <v>1783936.94</v>
      </c>
      <c r="J28" s="231">
        <f t="shared" ref="J28:J50" si="0">IF($H$18=0,0,H28/$H$18)</f>
        <v>0.90192561150063755</v>
      </c>
      <c r="M28" s="244"/>
      <c r="N28" s="91"/>
    </row>
    <row r="29" spans="1:14" ht="13.5" customHeight="1">
      <c r="A29" s="78"/>
      <c r="B29" s="78" t="s">
        <v>133</v>
      </c>
      <c r="C29" s="89"/>
      <c r="D29" s="67"/>
      <c r="E29" s="67"/>
      <c r="F29" s="83"/>
      <c r="G29" s="67"/>
      <c r="H29" s="87">
        <f>+BAL!G135</f>
        <v>318566.65000000002</v>
      </c>
      <c r="J29" s="231">
        <f t="shared" si="0"/>
        <v>0.16106142216269123</v>
      </c>
      <c r="M29" s="244"/>
    </row>
    <row r="30" spans="1:14" ht="16.2" customHeight="1">
      <c r="A30" s="78"/>
      <c r="B30" s="78" t="s">
        <v>134</v>
      </c>
      <c r="C30" s="90"/>
      <c r="D30" s="67" t="e">
        <v>#REF!</v>
      </c>
      <c r="E30" s="67"/>
      <c r="F30" s="83" t="e">
        <v>#REF!</v>
      </c>
      <c r="G30" s="91"/>
      <c r="H30" s="87">
        <f>+BAL!G141</f>
        <v>39400</v>
      </c>
      <c r="J30" s="231">
        <f t="shared" si="0"/>
        <v>1.991991325272132E-2</v>
      </c>
      <c r="M30" s="244"/>
    </row>
    <row r="31" spans="1:14" ht="16.2" customHeight="1">
      <c r="A31" s="78"/>
      <c r="B31" s="78" t="s">
        <v>135</v>
      </c>
      <c r="C31" s="90"/>
      <c r="D31" s="67" t="e">
        <v>#REF!</v>
      </c>
      <c r="E31" s="67"/>
      <c r="F31" s="83" t="e">
        <v>#REF!</v>
      </c>
      <c r="G31" s="91"/>
      <c r="H31" s="87">
        <f>+BAL!G144</f>
        <v>125426.32</v>
      </c>
      <c r="J31" s="231">
        <f t="shared" si="0"/>
        <v>6.3413233858072723E-2</v>
      </c>
      <c r="M31" s="244"/>
    </row>
    <row r="32" spans="1:14" ht="13.5" customHeight="1">
      <c r="A32" s="78"/>
      <c r="B32" s="78" t="s">
        <v>136</v>
      </c>
      <c r="C32" s="92"/>
      <c r="D32" s="67" t="e">
        <v>#REF!</v>
      </c>
      <c r="E32" s="67"/>
      <c r="F32" s="83" t="e">
        <v>#REF!</v>
      </c>
      <c r="H32" s="87">
        <f>+BAL!G147</f>
        <v>12288.78</v>
      </c>
      <c r="J32" s="231">
        <f t="shared" si="0"/>
        <v>6.2129804969994094E-3</v>
      </c>
      <c r="M32" s="91"/>
    </row>
    <row r="33" spans="1:17" ht="13.5" customHeight="1">
      <c r="A33" s="78"/>
      <c r="B33" s="78" t="s">
        <v>137</v>
      </c>
      <c r="C33" s="92"/>
      <c r="D33" s="67" t="e">
        <v>#REF!</v>
      </c>
      <c r="E33" s="67"/>
      <c r="F33" s="83" t="e">
        <v>#REF!</v>
      </c>
      <c r="H33" s="87">
        <f>+BAL!G148</f>
        <v>29358.699999999997</v>
      </c>
      <c r="J33" s="231">
        <f t="shared" si="0"/>
        <v>1.4843217188138816E-2</v>
      </c>
    </row>
    <row r="34" spans="1:17" ht="13.5" customHeight="1">
      <c r="A34" s="78"/>
      <c r="B34" s="78" t="s">
        <v>138</v>
      </c>
      <c r="C34" s="92"/>
      <c r="D34" s="67" t="e">
        <v>#REF!</v>
      </c>
      <c r="E34" s="67"/>
      <c r="F34" s="83" t="e">
        <v>#REF!</v>
      </c>
      <c r="H34" s="87">
        <f>+BAL!G152</f>
        <v>19480</v>
      </c>
      <c r="J34" s="231">
        <f t="shared" si="0"/>
        <v>9.8487286843403892E-3</v>
      </c>
      <c r="M34" s="217"/>
      <c r="N34" s="217"/>
    </row>
    <row r="35" spans="1:17" ht="13.5" customHeight="1">
      <c r="A35" s="78"/>
      <c r="B35" s="78" t="s">
        <v>139</v>
      </c>
      <c r="C35" s="92"/>
      <c r="D35" s="67" t="e">
        <v>#REF!</v>
      </c>
      <c r="E35" s="67"/>
      <c r="F35" s="83" t="e">
        <v>#REF!</v>
      </c>
      <c r="H35" s="87">
        <f>+BAL!G153+BAL!G154</f>
        <v>141745.19</v>
      </c>
      <c r="J35" s="231">
        <f t="shared" si="0"/>
        <v>7.166375352260157E-2</v>
      </c>
    </row>
    <row r="36" spans="1:17" ht="13.5" customHeight="1">
      <c r="A36" s="78"/>
      <c r="B36" s="78" t="s">
        <v>140</v>
      </c>
      <c r="C36" s="92"/>
      <c r="D36" s="67"/>
      <c r="E36" s="67"/>
      <c r="F36" s="83"/>
      <c r="H36" s="87">
        <f>+BAL!G155</f>
        <v>0</v>
      </c>
      <c r="J36" s="231">
        <f t="shared" si="0"/>
        <v>0</v>
      </c>
    </row>
    <row r="37" spans="1:17" ht="13.5" customHeight="1">
      <c r="A37" s="78"/>
      <c r="B37" s="78" t="s">
        <v>141</v>
      </c>
      <c r="C37" s="92"/>
      <c r="D37" s="67" t="e">
        <v>#REF!</v>
      </c>
      <c r="E37" s="67"/>
      <c r="F37" s="83" t="e">
        <v>#REF!</v>
      </c>
      <c r="H37" s="87">
        <f>+BAL!G157</f>
        <v>72756.347393000004</v>
      </c>
      <c r="J37" s="231">
        <f t="shared" si="0"/>
        <v>3.678426722470602E-2</v>
      </c>
    </row>
    <row r="38" spans="1:17" ht="13.5" customHeight="1">
      <c r="A38" s="78"/>
      <c r="B38" s="78" t="s">
        <v>142</v>
      </c>
      <c r="C38" s="92"/>
      <c r="D38" s="67" t="e">
        <v>#REF!</v>
      </c>
      <c r="E38" s="67"/>
      <c r="F38" s="83" t="e">
        <v>#REF!</v>
      </c>
      <c r="H38" s="87">
        <f>+BAL!G161</f>
        <v>55597.440000000002</v>
      </c>
      <c r="J38" s="231">
        <f t="shared" si="0"/>
        <v>2.8109040149070522E-2</v>
      </c>
    </row>
    <row r="39" spans="1:17" ht="13.5" customHeight="1">
      <c r="A39" s="78"/>
      <c r="B39" s="78" t="s">
        <v>143</v>
      </c>
      <c r="C39" s="92"/>
      <c r="D39" s="67" t="e">
        <v>#REF!</v>
      </c>
      <c r="E39" s="67"/>
      <c r="F39" s="83" t="e">
        <v>#REF!</v>
      </c>
      <c r="H39" s="87">
        <f>+BAL!G160</f>
        <v>2165.75</v>
      </c>
      <c r="J39" s="231">
        <f t="shared" si="0"/>
        <v>1.0949632519563757E-3</v>
      </c>
    </row>
    <row r="40" spans="1:17" ht="13.5" customHeight="1">
      <c r="A40" s="78"/>
      <c r="B40" s="78" t="s">
        <v>144</v>
      </c>
      <c r="D40" s="67" t="e">
        <v>#REF!</v>
      </c>
      <c r="E40" s="67"/>
      <c r="F40" s="83" t="e">
        <v>#REF!</v>
      </c>
      <c r="H40" s="87">
        <f>+BAL!G163</f>
        <v>0</v>
      </c>
      <c r="J40" s="231">
        <f t="shared" si="0"/>
        <v>0</v>
      </c>
    </row>
    <row r="41" spans="1:17" ht="13.5" customHeight="1">
      <c r="A41" s="78"/>
      <c r="B41" s="78" t="s">
        <v>145</v>
      </c>
      <c r="D41" s="67" t="e">
        <v>#REF!</v>
      </c>
      <c r="E41" s="67"/>
      <c r="F41" s="83" t="e">
        <v>#REF!</v>
      </c>
      <c r="G41" s="67"/>
      <c r="H41" s="87">
        <f>+BAL!G164</f>
        <v>84055.230337999994</v>
      </c>
      <c r="J41" s="231">
        <f t="shared" si="0"/>
        <v>4.2496774029707342E-2</v>
      </c>
      <c r="Q41" s="187"/>
    </row>
    <row r="42" spans="1:17" ht="13.5" customHeight="1">
      <c r="A42" s="78"/>
      <c r="B42" s="78" t="s">
        <v>441</v>
      </c>
      <c r="D42" s="67"/>
      <c r="E42" s="67"/>
      <c r="F42" s="83"/>
      <c r="G42" s="67"/>
      <c r="H42" s="87">
        <f>+BAL!G166</f>
        <v>114777.61244300001</v>
      </c>
      <c r="J42" s="231">
        <f t="shared" si="0"/>
        <v>5.8029443736523537E-2</v>
      </c>
      <c r="Q42" s="187"/>
    </row>
    <row r="43" spans="1:17" ht="13.5" customHeight="1">
      <c r="A43" s="78"/>
      <c r="B43" s="78" t="s">
        <v>146</v>
      </c>
      <c r="D43" s="67" t="e">
        <v>#REF!</v>
      </c>
      <c r="E43" s="67"/>
      <c r="F43" s="88" t="e">
        <v>#REF!</v>
      </c>
      <c r="G43" s="67"/>
      <c r="H43" s="87">
        <f>+BAL!G162</f>
        <v>6328.2703460000002</v>
      </c>
      <c r="J43" s="231">
        <f t="shared" si="0"/>
        <v>3.1994567596976839E-3</v>
      </c>
    </row>
    <row r="44" spans="1:17" ht="13.5" customHeight="1">
      <c r="A44" s="78"/>
      <c r="B44" s="78" t="s">
        <v>147</v>
      </c>
      <c r="D44" s="67" t="e">
        <v>#REF!</v>
      </c>
      <c r="E44" s="67"/>
      <c r="F44" s="88" t="e">
        <v>#REF!</v>
      </c>
      <c r="G44" s="67"/>
      <c r="H44" s="87">
        <f>+BAL!G167</f>
        <v>0</v>
      </c>
      <c r="J44" s="231">
        <f t="shared" si="0"/>
        <v>0</v>
      </c>
    </row>
    <row r="45" spans="1:17" ht="13.5" customHeight="1">
      <c r="A45" s="78"/>
      <c r="B45" s="78" t="s">
        <v>148</v>
      </c>
      <c r="D45" s="67" t="e">
        <v>#REF!</v>
      </c>
      <c r="E45" s="67"/>
      <c r="F45" s="88" t="e">
        <v>#REF!</v>
      </c>
      <c r="G45" s="67"/>
      <c r="H45" s="87">
        <f>+BAL!G168</f>
        <v>1408</v>
      </c>
      <c r="J45" s="231">
        <f t="shared" si="0"/>
        <v>7.1185882892973648E-4</v>
      </c>
    </row>
    <row r="46" spans="1:17" ht="13.5" customHeight="1">
      <c r="A46" s="78"/>
      <c r="B46" s="78" t="s">
        <v>149</v>
      </c>
      <c r="D46" s="67" t="e">
        <v>#REF!</v>
      </c>
      <c r="E46" s="67"/>
      <c r="F46" s="88" t="e">
        <v>#REF!</v>
      </c>
      <c r="G46" s="67"/>
      <c r="H46" s="87">
        <f>+BAL!G169+BAL!G156+BAL!G165</f>
        <v>39614.910000000003</v>
      </c>
      <c r="J46" s="231">
        <f t="shared" si="0"/>
        <v>2.0028567784628488E-2</v>
      </c>
    </row>
    <row r="47" spans="1:17" ht="13.5" customHeight="1">
      <c r="A47" s="78"/>
      <c r="B47" s="78" t="s">
        <v>150</v>
      </c>
      <c r="D47" s="67" t="e">
        <v>#REF!</v>
      </c>
      <c r="E47" s="67"/>
      <c r="F47" s="88" t="e">
        <v>#REF!</v>
      </c>
      <c r="G47" s="67"/>
      <c r="H47" s="87">
        <f>+BAL!G170</f>
        <v>0</v>
      </c>
      <c r="J47" s="231">
        <f t="shared" si="0"/>
        <v>0</v>
      </c>
    </row>
    <row r="48" spans="1:17" ht="13.5" hidden="1" customHeight="1">
      <c r="A48" s="78"/>
      <c r="B48" s="78"/>
      <c r="D48" s="67" t="e">
        <v>#REF!</v>
      </c>
      <c r="E48" s="67"/>
      <c r="F48" s="88" t="e">
        <v>#REF!</v>
      </c>
      <c r="G48" s="67"/>
      <c r="H48" s="87"/>
      <c r="J48" s="231">
        <f t="shared" si="0"/>
        <v>0</v>
      </c>
    </row>
    <row r="49" spans="1:21" ht="13.5" hidden="1" customHeight="1">
      <c r="A49" s="78"/>
      <c r="B49" s="78"/>
      <c r="D49" s="85" t="e">
        <v>#REF!</v>
      </c>
      <c r="E49" s="85"/>
      <c r="F49" s="88" t="e">
        <v>#REF!</v>
      </c>
      <c r="H49" s="87"/>
      <c r="J49" s="231">
        <f t="shared" si="0"/>
        <v>0</v>
      </c>
    </row>
    <row r="50" spans="1:21" ht="13.5" customHeight="1">
      <c r="A50" s="78"/>
      <c r="B50" s="78" t="s">
        <v>151</v>
      </c>
      <c r="D50" s="79" t="e">
        <v>#REF!</v>
      </c>
      <c r="E50" s="79"/>
      <c r="F50" s="88" t="e">
        <v>#REF!</v>
      </c>
      <c r="H50" s="86">
        <f>+BAL!G171</f>
        <v>43318.29</v>
      </c>
      <c r="J50" s="231">
        <f t="shared" si="0"/>
        <v>2.1900928402442271E-2</v>
      </c>
    </row>
    <row r="51" spans="1:21" ht="13.5" customHeight="1">
      <c r="B51" s="286" t="s">
        <v>152</v>
      </c>
      <c r="C51" s="286"/>
      <c r="D51" s="67" t="e">
        <v>#REF!</v>
      </c>
      <c r="E51" s="67"/>
      <c r="F51" s="88" t="e">
        <v>#REF!</v>
      </c>
      <c r="H51" s="87">
        <f>SUM(H28:H50)</f>
        <v>2890224.4305199999</v>
      </c>
      <c r="J51" s="231">
        <f>IF($H$18=0,0,H51/$H$18)</f>
        <v>1.4612441608338649</v>
      </c>
      <c r="M51" s="187"/>
      <c r="R51" s="187"/>
      <c r="U51" s="187"/>
    </row>
    <row r="52" spans="1:21" ht="13.5" customHeight="1">
      <c r="B52" s="84"/>
      <c r="D52" s="67"/>
      <c r="E52" s="67"/>
      <c r="F52" s="93"/>
      <c r="H52" s="87"/>
      <c r="J52" s="93"/>
    </row>
    <row r="53" spans="1:21" ht="13.5" customHeight="1">
      <c r="B53" s="286" t="s">
        <v>153</v>
      </c>
      <c r="C53" s="286"/>
      <c r="D53" s="67" t="e">
        <v>#REF!</v>
      </c>
      <c r="E53" s="67"/>
      <c r="F53" s="88" t="e">
        <v>#REF!</v>
      </c>
      <c r="G53" s="67"/>
      <c r="H53" s="94">
        <f>+H25-H51</f>
        <v>-2566985.9345089998</v>
      </c>
      <c r="J53" s="231">
        <f>IF($H$18=0,0,H53/$H$18)</f>
        <v>-1.2978207395019048</v>
      </c>
    </row>
    <row r="54" spans="1:21" ht="13.5" customHeight="1">
      <c r="F54" s="93"/>
      <c r="H54" s="95"/>
      <c r="J54" s="93"/>
    </row>
    <row r="55" spans="1:21" ht="13.5" customHeight="1">
      <c r="B55" s="286" t="s">
        <v>154</v>
      </c>
      <c r="C55" s="286"/>
      <c r="F55" s="93"/>
      <c r="H55" s="95"/>
      <c r="J55" s="93"/>
    </row>
    <row r="56" spans="1:21" ht="13.5" customHeight="1">
      <c r="A56" s="78"/>
      <c r="B56" s="78" t="s">
        <v>155</v>
      </c>
      <c r="D56" s="67" t="e">
        <v>#REF!</v>
      </c>
      <c r="E56" s="67"/>
      <c r="F56" s="88" t="e">
        <v>#REF!</v>
      </c>
      <c r="H56" s="95">
        <f>+BAL!G109</f>
        <v>98.919899999999998</v>
      </c>
      <c r="J56" s="231">
        <f t="shared" ref="J56:J58" si="1">IF($H$18=0,0,H56/$H$18)</f>
        <v>5.0012076826595624E-5</v>
      </c>
    </row>
    <row r="57" spans="1:21" ht="13.5" customHeight="1">
      <c r="A57" s="78"/>
      <c r="B57" s="78" t="s">
        <v>156</v>
      </c>
      <c r="D57" s="96">
        <v>0</v>
      </c>
      <c r="E57" s="96"/>
      <c r="F57" s="88" t="e">
        <v>#REF!</v>
      </c>
      <c r="H57" s="86">
        <v>0</v>
      </c>
      <c r="J57" s="231">
        <f t="shared" si="1"/>
        <v>0</v>
      </c>
    </row>
    <row r="58" spans="1:21" ht="13.5" customHeight="1">
      <c r="B58" s="286" t="s">
        <v>157</v>
      </c>
      <c r="C58" s="286"/>
      <c r="D58" s="67" t="e">
        <v>#REF!</v>
      </c>
      <c r="E58" s="67"/>
      <c r="F58" s="88" t="e">
        <v>#REF!</v>
      </c>
      <c r="H58" s="95">
        <f>SUM(H56:H57)</f>
        <v>98.919899999999998</v>
      </c>
      <c r="J58" s="231">
        <f t="shared" si="1"/>
        <v>5.0012076826595624E-5</v>
      </c>
    </row>
    <row r="59" spans="1:21" ht="13.5" customHeight="1">
      <c r="F59" s="93"/>
      <c r="H59" s="95"/>
      <c r="J59" s="93"/>
    </row>
    <row r="60" spans="1:21" ht="13.5" customHeight="1">
      <c r="A60" s="84"/>
      <c r="B60" s="286" t="s">
        <v>158</v>
      </c>
      <c r="C60" s="286"/>
      <c r="F60" s="93"/>
      <c r="H60" s="95"/>
      <c r="J60" s="93"/>
    </row>
    <row r="61" spans="1:21" ht="13.5" customHeight="1">
      <c r="A61" s="78"/>
      <c r="B61" s="78" t="s">
        <v>159</v>
      </c>
      <c r="D61" s="67">
        <v>0</v>
      </c>
      <c r="E61" s="67"/>
      <c r="F61" s="88" t="e">
        <v>#REF!</v>
      </c>
      <c r="H61" s="95">
        <f>+BAL!G181</f>
        <v>4574.3500000000004</v>
      </c>
      <c r="J61" s="231">
        <f t="shared" ref="J61:J63" si="2">IF($H$18=0,0,H61/$H$18)</f>
        <v>2.3127069844564919E-3</v>
      </c>
    </row>
    <row r="62" spans="1:21" ht="13.5" customHeight="1">
      <c r="A62" s="78"/>
      <c r="B62" s="78" t="s">
        <v>160</v>
      </c>
      <c r="D62" s="96" t="e">
        <v>#REF!</v>
      </c>
      <c r="E62" s="96"/>
      <c r="F62" s="88" t="e">
        <v>#REF!</v>
      </c>
      <c r="H62" s="86">
        <f>-BAL!G174</f>
        <v>-229978.65</v>
      </c>
      <c r="J62" s="231">
        <f t="shared" si="2"/>
        <v>-0.11627296340045579</v>
      </c>
    </row>
    <row r="63" spans="1:21" ht="13.5" customHeight="1">
      <c r="A63" s="78"/>
      <c r="B63" s="286" t="s">
        <v>161</v>
      </c>
      <c r="C63" s="286"/>
      <c r="D63" s="67" t="e">
        <v>#REF!</v>
      </c>
      <c r="E63" s="67"/>
      <c r="F63" s="88" t="e">
        <v>#REF!</v>
      </c>
      <c r="H63" s="95">
        <f>SUM(H61:H62)</f>
        <v>-225404.3</v>
      </c>
      <c r="J63" s="231">
        <f t="shared" si="2"/>
        <v>-0.11396025641599929</v>
      </c>
    </row>
    <row r="64" spans="1:21" ht="13.5" customHeight="1">
      <c r="B64" s="78"/>
      <c r="F64" s="93"/>
      <c r="J64" s="93"/>
    </row>
    <row r="65" spans="1:21" ht="13.5" customHeight="1">
      <c r="B65" s="286" t="s">
        <v>162</v>
      </c>
      <c r="C65" s="286"/>
      <c r="D65" s="67" t="e">
        <v>#REF!</v>
      </c>
      <c r="E65" s="67"/>
      <c r="F65" s="88" t="e">
        <v>#REF!</v>
      </c>
      <c r="H65" s="97">
        <f>+H53+H58+H63</f>
        <v>-2792291.3146089995</v>
      </c>
      <c r="J65" s="231">
        <f>IF($H$18=0,0,H65/$H$18)</f>
        <v>-1.4117309838410774</v>
      </c>
    </row>
    <row r="66" spans="1:21" ht="13.5" customHeight="1">
      <c r="B66" s="78"/>
      <c r="F66" s="93"/>
      <c r="J66" s="93"/>
    </row>
    <row r="67" spans="1:21" ht="12.75" customHeight="1">
      <c r="B67" s="286" t="s">
        <v>56</v>
      </c>
      <c r="C67" s="286"/>
      <c r="D67" s="67">
        <v>0</v>
      </c>
      <c r="E67" s="67"/>
      <c r="F67" s="88" t="e">
        <v>#REF!</v>
      </c>
      <c r="H67" s="199">
        <v>0</v>
      </c>
      <c r="J67" s="231">
        <f t="shared" ref="J67:J68" si="3">IF($H$18=0,0,H67/$H$18)</f>
        <v>0</v>
      </c>
    </row>
    <row r="68" spans="1:21">
      <c r="B68" s="286" t="s">
        <v>163</v>
      </c>
      <c r="C68" s="286"/>
      <c r="D68" s="67">
        <v>0</v>
      </c>
      <c r="E68" s="67"/>
      <c r="F68" s="88" t="e">
        <v>#REF!</v>
      </c>
      <c r="H68" s="199">
        <f>+BAL!G180</f>
        <v>0</v>
      </c>
      <c r="J68" s="231">
        <f t="shared" si="3"/>
        <v>0</v>
      </c>
    </row>
    <row r="69" spans="1:21" ht="13.5" customHeight="1">
      <c r="B69" s="78"/>
      <c r="F69" s="93"/>
      <c r="J69" s="93"/>
      <c r="U69" s="241"/>
    </row>
    <row r="70" spans="1:21" ht="13.5" customHeight="1" thickBot="1">
      <c r="B70" s="286" t="s">
        <v>164</v>
      </c>
      <c r="C70" s="286"/>
      <c r="D70" s="98" t="e">
        <v>#REF!</v>
      </c>
      <c r="E70" s="67"/>
      <c r="F70" s="88" t="e">
        <v>#REF!</v>
      </c>
      <c r="H70" s="99">
        <f>+H65-H67-H68</f>
        <v>-2792291.3146089995</v>
      </c>
      <c r="J70" s="231">
        <f>IF($H$18=0,0,H70/$H$18)</f>
        <v>-1.4117309838410774</v>
      </c>
    </row>
    <row r="71" spans="1:21" ht="13.5" customHeight="1" thickTop="1">
      <c r="B71" s="78"/>
    </row>
    <row r="72" spans="1:21" ht="12.75" customHeight="1">
      <c r="B72" s="78"/>
    </row>
    <row r="73" spans="1:21" ht="12.75" hidden="1" customHeight="1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</row>
    <row r="74" spans="1:21" ht="12.75" hidden="1" customHeight="1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</row>
    <row r="75" spans="1:21" ht="12.75" hidden="1" customHeight="1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</row>
    <row r="76" spans="1:21" ht="12.75" hidden="1" customHeight="1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</row>
    <row r="77" spans="1:21" ht="12.75" hidden="1" customHeight="1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</row>
    <row r="78" spans="1:21" ht="12.75" hidden="1" customHeight="1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</row>
    <row r="79" spans="1:21" ht="18" hidden="1" customHeight="1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</row>
    <row r="80" spans="1:21" ht="12.75" hidden="1" customHeight="1">
      <c r="A80" s="100"/>
      <c r="B80" s="100"/>
      <c r="C80" s="100"/>
      <c r="D80" s="100"/>
      <c r="E80" s="100"/>
      <c r="F80" s="100"/>
      <c r="G80" s="101"/>
      <c r="H80" s="101"/>
      <c r="I80" s="101"/>
      <c r="J80" s="101"/>
      <c r="K80" s="101"/>
    </row>
    <row r="81" spans="1:11" ht="12.75" hidden="1" customHeight="1">
      <c r="A81" s="102"/>
      <c r="B81" s="102"/>
      <c r="C81" s="102"/>
      <c r="D81" s="102"/>
      <c r="E81" s="102"/>
      <c r="F81" s="102"/>
      <c r="G81" s="101"/>
      <c r="H81" s="101"/>
      <c r="I81" s="101"/>
      <c r="J81" s="101"/>
      <c r="K81" s="101"/>
    </row>
    <row r="82" spans="1:11" ht="12.75" hidden="1" customHeight="1">
      <c r="A82" s="276"/>
      <c r="B82" s="276"/>
      <c r="C82" s="276"/>
      <c r="D82" s="276"/>
      <c r="E82" s="101"/>
      <c r="F82" s="102"/>
      <c r="G82" s="101"/>
      <c r="H82" s="101"/>
      <c r="I82" s="103"/>
      <c r="J82" s="104"/>
      <c r="K82" s="101"/>
    </row>
    <row r="83" spans="1:11" ht="12.75" hidden="1" customHeight="1">
      <c r="A83" s="277"/>
      <c r="B83" s="277"/>
      <c r="C83" s="277"/>
      <c r="D83" s="277"/>
      <c r="E83" s="105"/>
      <c r="F83" s="106"/>
      <c r="G83" s="101"/>
      <c r="H83" s="104"/>
      <c r="I83" s="103"/>
      <c r="J83" s="104"/>
      <c r="K83" s="101"/>
    </row>
    <row r="84" spans="1:11" ht="12.75" hidden="1" customHeight="1">
      <c r="A84" s="277"/>
      <c r="B84" s="277"/>
      <c r="C84" s="277"/>
      <c r="D84" s="277"/>
      <c r="E84" s="102"/>
      <c r="F84" s="102"/>
      <c r="G84" s="101"/>
      <c r="H84" s="101"/>
      <c r="I84" s="101"/>
      <c r="J84" s="101"/>
      <c r="K84" s="101"/>
    </row>
    <row r="85" spans="1:11" ht="12.75" hidden="1" customHeight="1"/>
    <row r="86" spans="1:11" ht="12.75" hidden="1" customHeight="1"/>
    <row r="87" spans="1:11" ht="12.75" hidden="1" customHeight="1"/>
  </sheetData>
  <mergeCells count="25">
    <mergeCell ref="A84:D84"/>
    <mergeCell ref="B67:C67"/>
    <mergeCell ref="B68:C68"/>
    <mergeCell ref="B70:C70"/>
    <mergeCell ref="A73:K79"/>
    <mergeCell ref="A82:D82"/>
    <mergeCell ref="A83:D83"/>
    <mergeCell ref="B65:C65"/>
    <mergeCell ref="B19:C19"/>
    <mergeCell ref="B20:C20"/>
    <mergeCell ref="B22:C22"/>
    <mergeCell ref="B25:C25"/>
    <mergeCell ref="B27:C27"/>
    <mergeCell ref="B51:C51"/>
    <mergeCell ref="B53:C53"/>
    <mergeCell ref="B55:C55"/>
    <mergeCell ref="B58:C58"/>
    <mergeCell ref="B60:C60"/>
    <mergeCell ref="B63:C63"/>
    <mergeCell ref="B18:C18"/>
    <mergeCell ref="B9:J9"/>
    <mergeCell ref="B10:J10"/>
    <mergeCell ref="B11:J11"/>
    <mergeCell ref="B12:J12"/>
    <mergeCell ref="B17:C17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219"/>
  <sheetViews>
    <sheetView zoomScale="130" zoomScaleNormal="130" workbookViewId="0">
      <pane ySplit="5" topLeftCell="A137" activePane="bottomLeft" state="frozen"/>
      <selection pane="bottomLeft" activeCell="C4" sqref="C4:G4"/>
    </sheetView>
  </sheetViews>
  <sheetFormatPr baseColWidth="10" defaultColWidth="11.44140625" defaultRowHeight="13.2"/>
  <cols>
    <col min="1" max="1" width="5.6640625" customWidth="1"/>
    <col min="2" max="2" width="3.5546875" customWidth="1"/>
    <col min="3" max="3" width="31.33203125" customWidth="1"/>
    <col min="4" max="7" width="17.33203125" customWidth="1"/>
    <col min="8" max="8" width="5.44140625" customWidth="1"/>
    <col min="10" max="10" width="14.5546875" style="1" bestFit="1" customWidth="1"/>
    <col min="11" max="11" width="16.77734375" style="1" bestFit="1" customWidth="1"/>
    <col min="12" max="12" width="14.44140625" style="1" customWidth="1"/>
    <col min="13" max="13" width="15.5546875" style="1" bestFit="1" customWidth="1"/>
  </cols>
  <sheetData>
    <row r="1" spans="1:13" ht="13.8">
      <c r="C1" s="249" t="s">
        <v>214</v>
      </c>
      <c r="D1" s="249"/>
      <c r="E1" s="249"/>
      <c r="F1" s="249"/>
      <c r="G1" s="249"/>
    </row>
    <row r="2" spans="1:13" ht="15">
      <c r="C2" s="250" t="s">
        <v>215</v>
      </c>
      <c r="D2" s="250"/>
      <c r="E2" s="250"/>
      <c r="F2" s="250"/>
      <c r="G2" s="250"/>
    </row>
    <row r="3" spans="1:13" ht="17.399999999999999">
      <c r="A3" s="188"/>
      <c r="B3" s="188"/>
      <c r="C3" s="251" t="s">
        <v>494</v>
      </c>
      <c r="D3" s="251"/>
      <c r="E3" s="251"/>
      <c r="F3" s="251"/>
      <c r="G3" s="251"/>
    </row>
    <row r="4" spans="1:13" ht="15">
      <c r="A4" s="189"/>
      <c r="B4" s="189"/>
      <c r="C4" s="252" t="s">
        <v>216</v>
      </c>
      <c r="D4" s="252"/>
      <c r="E4" s="252"/>
      <c r="F4" s="252"/>
      <c r="G4" s="252"/>
      <c r="M4" s="1">
        <f>+L5-K5</f>
        <v>232.94000000000028</v>
      </c>
    </row>
    <row r="5" spans="1:13" ht="17.399999999999999">
      <c r="C5" s="190"/>
      <c r="D5" s="190"/>
      <c r="E5" s="190"/>
      <c r="F5" s="190"/>
      <c r="G5" s="190"/>
      <c r="K5" s="1">
        <f>SUBTOTAL(9,K7:K215)</f>
        <v>1088.6399999999999</v>
      </c>
      <c r="L5" s="1">
        <f>SUBTOTAL(9,L7:L247)</f>
        <v>1321.5800000000002</v>
      </c>
    </row>
    <row r="6" spans="1:13">
      <c r="C6" s="191" t="s">
        <v>217</v>
      </c>
      <c r="D6" s="191" t="s">
        <v>218</v>
      </c>
      <c r="E6" s="191" t="s">
        <v>219</v>
      </c>
      <c r="F6" s="191" t="s">
        <v>220</v>
      </c>
      <c r="G6" s="191" t="s">
        <v>221</v>
      </c>
    </row>
    <row r="7" spans="1:13">
      <c r="A7" t="s">
        <v>222</v>
      </c>
      <c r="B7">
        <v>1</v>
      </c>
      <c r="C7" s="200" t="s">
        <v>223</v>
      </c>
      <c r="D7" s="201">
        <v>1324.44</v>
      </c>
      <c r="E7" s="201">
        <v>0</v>
      </c>
      <c r="F7" s="201">
        <v>0</v>
      </c>
      <c r="G7" s="201">
        <v>1324.44</v>
      </c>
      <c r="H7" t="str">
        <f>IF(I7=C7,"ok","REVISAR")</f>
        <v>ok</v>
      </c>
      <c r="I7" t="s">
        <v>223</v>
      </c>
      <c r="J7" s="1">
        <v>1324.44</v>
      </c>
      <c r="K7" s="1">
        <v>0</v>
      </c>
      <c r="L7" s="1">
        <v>0</v>
      </c>
      <c r="M7" s="1">
        <v>1324.44</v>
      </c>
    </row>
    <row r="8" spans="1:13">
      <c r="B8">
        <v>2</v>
      </c>
      <c r="C8" s="245" t="s">
        <v>224</v>
      </c>
      <c r="D8" s="246">
        <v>1324.44</v>
      </c>
      <c r="E8" s="246"/>
      <c r="F8" s="246"/>
      <c r="G8" s="246">
        <v>1324.44</v>
      </c>
      <c r="H8" t="str">
        <f t="shared" ref="H8:H71" si="0">IF(I8=C8,"ok","REVISAR")</f>
        <v>ok</v>
      </c>
      <c r="I8" t="s">
        <v>224</v>
      </c>
      <c r="J8" s="1">
        <v>1324.44</v>
      </c>
      <c r="M8" s="1">
        <v>1324.44</v>
      </c>
    </row>
    <row r="9" spans="1:13">
      <c r="A9" t="s">
        <v>222</v>
      </c>
      <c r="B9">
        <v>1</v>
      </c>
      <c r="C9" s="200" t="s">
        <v>225</v>
      </c>
      <c r="D9" s="201">
        <v>-1008205.812061</v>
      </c>
      <c r="E9" s="201">
        <v>0</v>
      </c>
      <c r="F9" s="201">
        <v>584.64</v>
      </c>
      <c r="G9" s="201">
        <v>-1008790.452061</v>
      </c>
      <c r="H9" t="str">
        <f t="shared" si="0"/>
        <v>ok</v>
      </c>
      <c r="I9" t="s">
        <v>225</v>
      </c>
      <c r="J9" s="1">
        <v>-1008205.812061</v>
      </c>
      <c r="K9" s="1">
        <v>0</v>
      </c>
      <c r="L9" s="1">
        <v>584.64</v>
      </c>
      <c r="M9" s="1">
        <v>-1008790.452061</v>
      </c>
    </row>
    <row r="10" spans="1:13">
      <c r="B10">
        <v>2</v>
      </c>
      <c r="C10" s="245" t="s">
        <v>226</v>
      </c>
      <c r="D10" s="246">
        <v>-1331003.0999609979</v>
      </c>
      <c r="E10" s="246"/>
      <c r="F10" s="246">
        <v>584.64</v>
      </c>
      <c r="G10" s="246">
        <v>-1331587.7399609999</v>
      </c>
      <c r="H10" t="str">
        <f t="shared" si="0"/>
        <v>ok</v>
      </c>
      <c r="I10" t="s">
        <v>226</v>
      </c>
      <c r="J10" s="1">
        <v>-1331003.0999609979</v>
      </c>
      <c r="L10" s="1">
        <v>584.64</v>
      </c>
      <c r="M10" s="1">
        <v>-1331587.7399609999</v>
      </c>
    </row>
    <row r="11" spans="1:13">
      <c r="B11">
        <v>1</v>
      </c>
      <c r="C11" s="202" t="s">
        <v>227</v>
      </c>
      <c r="D11" s="203">
        <v>301648.176000003</v>
      </c>
      <c r="E11" s="203"/>
      <c r="F11" s="203"/>
      <c r="G11" s="203">
        <v>301648.17599999998</v>
      </c>
      <c r="H11" t="str">
        <f t="shared" si="0"/>
        <v>ok</v>
      </c>
      <c r="I11" t="s">
        <v>227</v>
      </c>
      <c r="J11" s="1">
        <v>301648.176000003</v>
      </c>
      <c r="M11" s="1">
        <v>301648.17599999998</v>
      </c>
    </row>
    <row r="12" spans="1:13">
      <c r="B12">
        <v>2</v>
      </c>
      <c r="C12" s="245" t="s">
        <v>228</v>
      </c>
      <c r="D12" s="246">
        <v>244.40190000000001</v>
      </c>
      <c r="E12" s="246">
        <v>0</v>
      </c>
      <c r="F12" s="246">
        <v>0</v>
      </c>
      <c r="G12" s="246">
        <v>244.40190000000001</v>
      </c>
      <c r="H12" t="str">
        <f t="shared" si="0"/>
        <v>ok</v>
      </c>
      <c r="I12" t="s">
        <v>228</v>
      </c>
      <c r="J12" s="1">
        <v>244.40190000000001</v>
      </c>
      <c r="K12" s="1">
        <v>0</v>
      </c>
      <c r="L12" s="1">
        <v>0</v>
      </c>
      <c r="M12" s="1">
        <v>244.40190000000001</v>
      </c>
    </row>
    <row r="13" spans="1:13">
      <c r="B13">
        <v>1</v>
      </c>
      <c r="C13" s="202" t="s">
        <v>229</v>
      </c>
      <c r="D13" s="203">
        <v>14.11</v>
      </c>
      <c r="E13" s="203"/>
      <c r="F13" s="203"/>
      <c r="G13" s="203">
        <v>14.11</v>
      </c>
      <c r="H13" t="str">
        <f t="shared" si="0"/>
        <v>ok</v>
      </c>
      <c r="I13" t="s">
        <v>229</v>
      </c>
      <c r="J13" s="1">
        <v>14.11</v>
      </c>
      <c r="M13" s="1">
        <v>14.11</v>
      </c>
    </row>
    <row r="14" spans="1:13">
      <c r="B14">
        <v>2</v>
      </c>
      <c r="C14" s="245" t="s">
        <v>230</v>
      </c>
      <c r="D14" s="246">
        <v>230.2919</v>
      </c>
      <c r="E14" s="246"/>
      <c r="F14" s="246"/>
      <c r="G14" s="246">
        <v>230.2919</v>
      </c>
      <c r="H14" t="str">
        <f t="shared" si="0"/>
        <v>ok</v>
      </c>
      <c r="I14" t="s">
        <v>230</v>
      </c>
      <c r="J14" s="1">
        <v>230.2919</v>
      </c>
      <c r="M14" s="1">
        <v>230.2919</v>
      </c>
    </row>
    <row r="15" spans="1:13">
      <c r="B15">
        <v>1</v>
      </c>
      <c r="C15" s="202" t="s">
        <v>422</v>
      </c>
      <c r="D15" s="203">
        <v>1.0000001999999999E-2</v>
      </c>
      <c r="E15" s="203"/>
      <c r="F15" s="203"/>
      <c r="G15" s="203">
        <v>0.01</v>
      </c>
      <c r="H15" t="str">
        <f t="shared" si="0"/>
        <v>ok</v>
      </c>
      <c r="I15" t="s">
        <v>422</v>
      </c>
      <c r="J15" s="1">
        <v>1.0000001999999999E-2</v>
      </c>
      <c r="M15" s="1">
        <v>0.01</v>
      </c>
    </row>
    <row r="16" spans="1:13">
      <c r="B16">
        <v>2</v>
      </c>
      <c r="C16" s="245" t="s">
        <v>423</v>
      </c>
      <c r="D16" s="246">
        <v>20904.7</v>
      </c>
      <c r="E16" s="246"/>
      <c r="F16" s="246"/>
      <c r="G16" s="246">
        <v>20904.7</v>
      </c>
      <c r="H16" t="str">
        <f t="shared" si="0"/>
        <v>ok</v>
      </c>
      <c r="I16" t="s">
        <v>423</v>
      </c>
      <c r="J16" s="1">
        <v>20904.7</v>
      </c>
      <c r="M16" s="1">
        <v>20904.7</v>
      </c>
    </row>
    <row r="17" spans="1:13">
      <c r="A17" s="212" t="s">
        <v>222</v>
      </c>
      <c r="B17">
        <v>1</v>
      </c>
      <c r="C17" s="200" t="s">
        <v>363</v>
      </c>
      <c r="D17" s="201">
        <v>479239.98</v>
      </c>
      <c r="E17" s="201">
        <v>0</v>
      </c>
      <c r="F17" s="201">
        <v>0</v>
      </c>
      <c r="G17" s="201">
        <v>479239.98</v>
      </c>
      <c r="H17" t="str">
        <f t="shared" si="0"/>
        <v>ok</v>
      </c>
      <c r="I17" t="s">
        <v>363</v>
      </c>
      <c r="J17" s="1">
        <v>479239.98</v>
      </c>
      <c r="K17" s="1">
        <v>0</v>
      </c>
      <c r="L17" s="1">
        <v>0</v>
      </c>
      <c r="M17" s="1">
        <v>479239.98</v>
      </c>
    </row>
    <row r="18" spans="1:13">
      <c r="A18" s="212"/>
      <c r="C18" s="200" t="s">
        <v>483</v>
      </c>
      <c r="D18" s="201">
        <v>479230.97</v>
      </c>
      <c r="E18" s="201"/>
      <c r="F18" s="201"/>
      <c r="G18" s="201">
        <v>479230.97</v>
      </c>
      <c r="H18" t="str">
        <f t="shared" si="0"/>
        <v>ok</v>
      </c>
      <c r="I18" t="s">
        <v>483</v>
      </c>
      <c r="J18" s="1">
        <v>479230.97</v>
      </c>
      <c r="M18" s="1">
        <v>479230.97</v>
      </c>
    </row>
    <row r="19" spans="1:13">
      <c r="B19">
        <v>2</v>
      </c>
      <c r="C19" s="245" t="s">
        <v>424</v>
      </c>
      <c r="D19" s="246">
        <v>9.01</v>
      </c>
      <c r="E19" s="246">
        <v>0</v>
      </c>
      <c r="F19" s="246">
        <v>0</v>
      </c>
      <c r="G19" s="246">
        <v>9.01</v>
      </c>
      <c r="H19" t="str">
        <f t="shared" si="0"/>
        <v>ok</v>
      </c>
      <c r="I19" t="s">
        <v>424</v>
      </c>
      <c r="J19" s="1">
        <v>9.01</v>
      </c>
      <c r="K19" s="1">
        <v>0</v>
      </c>
      <c r="L19" s="1">
        <v>0</v>
      </c>
      <c r="M19" s="1">
        <v>9.01</v>
      </c>
    </row>
    <row r="20" spans="1:13">
      <c r="B20">
        <v>1</v>
      </c>
      <c r="C20" s="202" t="s">
        <v>425</v>
      </c>
      <c r="D20" s="203">
        <v>0.52</v>
      </c>
      <c r="E20" s="203"/>
      <c r="F20" s="203"/>
      <c r="G20" s="203">
        <v>0.52</v>
      </c>
      <c r="H20" t="str">
        <f t="shared" si="0"/>
        <v>ok</v>
      </c>
      <c r="I20" t="s">
        <v>425</v>
      </c>
      <c r="J20" s="1">
        <v>0.52</v>
      </c>
      <c r="M20" s="1">
        <v>0.52</v>
      </c>
    </row>
    <row r="21" spans="1:13">
      <c r="B21">
        <v>2</v>
      </c>
      <c r="C21" s="245" t="s">
        <v>426</v>
      </c>
      <c r="D21" s="246">
        <v>8.5</v>
      </c>
      <c r="E21" s="246"/>
      <c r="F21" s="246"/>
      <c r="G21" s="246">
        <v>8.5</v>
      </c>
      <c r="H21" t="str">
        <f t="shared" si="0"/>
        <v>ok</v>
      </c>
      <c r="I21" t="s">
        <v>426</v>
      </c>
      <c r="J21" s="1">
        <v>8.5</v>
      </c>
      <c r="M21" s="1">
        <v>8.5</v>
      </c>
    </row>
    <row r="22" spans="1:13">
      <c r="B22">
        <v>1</v>
      </c>
      <c r="C22" s="202" t="s">
        <v>427</v>
      </c>
      <c r="D22" s="203">
        <v>-0.01</v>
      </c>
      <c r="E22" s="203"/>
      <c r="F22" s="203"/>
      <c r="G22" s="203">
        <v>-0.01</v>
      </c>
      <c r="H22" t="str">
        <f t="shared" si="0"/>
        <v>ok</v>
      </c>
      <c r="I22" t="s">
        <v>427</v>
      </c>
      <c r="J22" s="1">
        <v>-0.01</v>
      </c>
      <c r="M22" s="1">
        <v>-0.01</v>
      </c>
    </row>
    <row r="23" spans="1:13">
      <c r="A23" s="212" t="s">
        <v>222</v>
      </c>
      <c r="B23">
        <v>2</v>
      </c>
      <c r="C23" s="247" t="s">
        <v>466</v>
      </c>
      <c r="D23" s="246"/>
      <c r="E23" s="246"/>
      <c r="F23" s="246"/>
      <c r="G23" s="248"/>
      <c r="H23" t="str">
        <f t="shared" si="0"/>
        <v>ok</v>
      </c>
      <c r="I23" t="s">
        <v>466</v>
      </c>
    </row>
    <row r="24" spans="1:13">
      <c r="A24" s="212"/>
      <c r="B24">
        <v>1</v>
      </c>
      <c r="C24" s="202" t="s">
        <v>467</v>
      </c>
      <c r="D24" s="203"/>
      <c r="E24" s="203"/>
      <c r="F24" s="203"/>
      <c r="G24" s="203"/>
      <c r="H24" t="str">
        <f t="shared" si="0"/>
        <v>ok</v>
      </c>
      <c r="I24" t="s">
        <v>467</v>
      </c>
    </row>
    <row r="25" spans="1:13">
      <c r="A25" s="212"/>
      <c r="B25">
        <v>2</v>
      </c>
      <c r="C25" s="245" t="s">
        <v>469</v>
      </c>
      <c r="D25" s="246"/>
      <c r="E25" s="246"/>
      <c r="F25" s="246"/>
      <c r="G25" s="246"/>
      <c r="H25" t="str">
        <f t="shared" si="0"/>
        <v>ok</v>
      </c>
      <c r="I25" t="s">
        <v>469</v>
      </c>
    </row>
    <row r="26" spans="1:13">
      <c r="A26" s="212"/>
      <c r="B26">
        <v>1</v>
      </c>
      <c r="C26" s="202" t="s">
        <v>470</v>
      </c>
      <c r="D26" s="203"/>
      <c r="E26" s="203"/>
      <c r="F26" s="203"/>
      <c r="G26" s="203"/>
      <c r="H26" t="str">
        <f t="shared" si="0"/>
        <v>ok</v>
      </c>
      <c r="I26" t="s">
        <v>470</v>
      </c>
    </row>
    <row r="27" spans="1:13">
      <c r="A27" s="212"/>
      <c r="B27">
        <v>2</v>
      </c>
      <c r="C27" s="245" t="s">
        <v>471</v>
      </c>
      <c r="D27" s="246"/>
      <c r="E27" s="246"/>
      <c r="F27" s="246"/>
      <c r="G27" s="246"/>
      <c r="H27" t="str">
        <f t="shared" si="0"/>
        <v>ok</v>
      </c>
      <c r="I27" t="s">
        <v>471</v>
      </c>
    </row>
    <row r="28" spans="1:13">
      <c r="A28" t="s">
        <v>222</v>
      </c>
      <c r="B28">
        <v>1</v>
      </c>
      <c r="C28" s="200" t="s">
        <v>231</v>
      </c>
      <c r="D28" s="201">
        <v>22890</v>
      </c>
      <c r="E28" s="201">
        <v>0</v>
      </c>
      <c r="F28" s="201">
        <v>0</v>
      </c>
      <c r="G28" s="201">
        <v>22890</v>
      </c>
      <c r="H28" t="str">
        <f t="shared" si="0"/>
        <v>ok</v>
      </c>
      <c r="I28" t="s">
        <v>231</v>
      </c>
      <c r="J28" s="1">
        <v>22890</v>
      </c>
      <c r="K28" s="1">
        <v>0</v>
      </c>
      <c r="L28" s="1">
        <v>0</v>
      </c>
      <c r="M28" s="1">
        <v>22890</v>
      </c>
    </row>
    <row r="29" spans="1:13">
      <c r="B29">
        <v>2</v>
      </c>
      <c r="C29" s="247" t="s">
        <v>472</v>
      </c>
      <c r="D29" s="248">
        <v>-2110</v>
      </c>
      <c r="E29" s="248"/>
      <c r="F29" s="248"/>
      <c r="G29" s="248">
        <v>-2110</v>
      </c>
      <c r="H29" t="str">
        <f t="shared" si="0"/>
        <v>ok</v>
      </c>
      <c r="I29" t="s">
        <v>472</v>
      </c>
      <c r="J29" s="1">
        <v>-2110</v>
      </c>
      <c r="M29" s="1">
        <v>-2110</v>
      </c>
    </row>
    <row r="30" spans="1:13">
      <c r="B30">
        <v>1</v>
      </c>
      <c r="C30" s="202" t="s">
        <v>428</v>
      </c>
      <c r="D30" s="203">
        <v>25000</v>
      </c>
      <c r="E30" s="203"/>
      <c r="F30" s="203"/>
      <c r="G30" s="203">
        <v>25000</v>
      </c>
      <c r="H30" t="str">
        <f t="shared" si="0"/>
        <v>ok</v>
      </c>
      <c r="I30" t="s">
        <v>428</v>
      </c>
      <c r="J30" s="1">
        <v>25000</v>
      </c>
      <c r="M30" s="1">
        <v>25000</v>
      </c>
    </row>
    <row r="31" spans="1:13">
      <c r="A31" t="s">
        <v>222</v>
      </c>
      <c r="B31">
        <v>2</v>
      </c>
      <c r="C31" s="247" t="s">
        <v>232</v>
      </c>
      <c r="D31" s="248">
        <v>24042.215655999</v>
      </c>
      <c r="E31" s="248">
        <v>80.64</v>
      </c>
      <c r="F31" s="248"/>
      <c r="G31" s="248">
        <v>24122.855656</v>
      </c>
      <c r="H31" t="str">
        <f t="shared" si="0"/>
        <v>ok</v>
      </c>
      <c r="I31" t="s">
        <v>232</v>
      </c>
      <c r="J31" s="1">
        <v>24042.215655999</v>
      </c>
      <c r="K31" s="1">
        <v>80.64</v>
      </c>
      <c r="M31" s="1">
        <v>24122.855656</v>
      </c>
    </row>
    <row r="32" spans="1:13">
      <c r="A32" s="212" t="s">
        <v>222</v>
      </c>
      <c r="B32">
        <v>1</v>
      </c>
      <c r="C32" s="200" t="s">
        <v>233</v>
      </c>
      <c r="D32" s="201">
        <v>110107.77553300001</v>
      </c>
      <c r="E32" s="201"/>
      <c r="F32" s="201"/>
      <c r="G32" s="201">
        <v>110107.77553300001</v>
      </c>
      <c r="H32" t="str">
        <f t="shared" si="0"/>
        <v>ok</v>
      </c>
      <c r="I32" t="s">
        <v>233</v>
      </c>
      <c r="J32" s="1">
        <v>110107.77553300001</v>
      </c>
      <c r="M32" s="1">
        <v>110107.77553300001</v>
      </c>
    </row>
    <row r="33" spans="1:13">
      <c r="A33" t="s">
        <v>222</v>
      </c>
      <c r="B33">
        <v>2</v>
      </c>
      <c r="C33" s="247" t="s">
        <v>234</v>
      </c>
      <c r="D33" s="248"/>
      <c r="E33" s="248"/>
      <c r="F33" s="248"/>
      <c r="G33" s="248"/>
      <c r="H33" t="str">
        <f t="shared" si="0"/>
        <v>ok</v>
      </c>
      <c r="I33" t="s">
        <v>234</v>
      </c>
    </row>
    <row r="34" spans="1:13">
      <c r="B34">
        <v>1</v>
      </c>
      <c r="C34" s="202" t="s">
        <v>235</v>
      </c>
      <c r="D34" s="203"/>
      <c r="E34" s="203"/>
      <c r="F34" s="203"/>
      <c r="G34" s="203"/>
      <c r="H34" t="str">
        <f t="shared" si="0"/>
        <v>ok</v>
      </c>
      <c r="I34" t="s">
        <v>235</v>
      </c>
    </row>
    <row r="35" spans="1:13">
      <c r="A35" s="212" t="s">
        <v>222</v>
      </c>
      <c r="B35">
        <v>2</v>
      </c>
      <c r="C35" s="247" t="s">
        <v>330</v>
      </c>
      <c r="D35" s="248">
        <v>89386.94</v>
      </c>
      <c r="E35" s="248">
        <v>0</v>
      </c>
      <c r="F35" s="248">
        <v>0</v>
      </c>
      <c r="G35" s="248">
        <v>89386.94</v>
      </c>
      <c r="H35" t="str">
        <f t="shared" si="0"/>
        <v>ok</v>
      </c>
      <c r="I35" t="s">
        <v>330</v>
      </c>
      <c r="J35" s="1">
        <v>89386.94</v>
      </c>
      <c r="K35" s="1">
        <v>0</v>
      </c>
      <c r="L35" s="1">
        <v>0</v>
      </c>
      <c r="M35" s="1">
        <v>89386.94</v>
      </c>
    </row>
    <row r="36" spans="1:13">
      <c r="B36">
        <v>1</v>
      </c>
      <c r="C36" s="202" t="s">
        <v>331</v>
      </c>
      <c r="D36" s="203">
        <v>88966</v>
      </c>
      <c r="E36" s="203"/>
      <c r="F36" s="203"/>
      <c r="G36" s="203">
        <v>88966</v>
      </c>
      <c r="H36" t="str">
        <f t="shared" si="0"/>
        <v>ok</v>
      </c>
      <c r="I36" t="s">
        <v>331</v>
      </c>
      <c r="J36" s="1">
        <v>88966</v>
      </c>
      <c r="M36" s="1">
        <v>88966</v>
      </c>
    </row>
    <row r="37" spans="1:13">
      <c r="B37">
        <v>2</v>
      </c>
      <c r="C37" s="245" t="s">
        <v>364</v>
      </c>
      <c r="D37" s="246">
        <v>420.94</v>
      </c>
      <c r="E37" s="246"/>
      <c r="F37" s="246"/>
      <c r="G37" s="246">
        <v>420.94</v>
      </c>
      <c r="H37" t="str">
        <f t="shared" si="0"/>
        <v>ok</v>
      </c>
      <c r="I37" t="s">
        <v>364</v>
      </c>
      <c r="J37" s="1">
        <v>420.94</v>
      </c>
      <c r="M37" s="1">
        <v>420.94</v>
      </c>
    </row>
    <row r="38" spans="1:13">
      <c r="A38" s="212" t="s">
        <v>222</v>
      </c>
      <c r="B38">
        <v>1</v>
      </c>
      <c r="C38" s="200" t="s">
        <v>236</v>
      </c>
      <c r="D38" s="201">
        <v>2701821.41</v>
      </c>
      <c r="E38" s="201">
        <v>0</v>
      </c>
      <c r="F38" s="201">
        <v>0</v>
      </c>
      <c r="G38" s="201">
        <v>2701821.41</v>
      </c>
      <c r="H38" t="str">
        <f t="shared" si="0"/>
        <v>ok</v>
      </c>
      <c r="I38" t="s">
        <v>236</v>
      </c>
      <c r="J38" s="1">
        <v>2701821.41</v>
      </c>
      <c r="K38" s="1">
        <v>0</v>
      </c>
      <c r="L38" s="1">
        <v>0</v>
      </c>
      <c r="M38" s="1">
        <v>2701821.41</v>
      </c>
    </row>
    <row r="39" spans="1:13">
      <c r="B39">
        <v>2</v>
      </c>
      <c r="C39" s="245" t="s">
        <v>237</v>
      </c>
      <c r="D39" s="246">
        <v>2693178.27</v>
      </c>
      <c r="E39" s="246"/>
      <c r="F39" s="246"/>
      <c r="G39" s="246">
        <v>2693178.27</v>
      </c>
      <c r="H39" t="str">
        <f t="shared" si="0"/>
        <v>ok</v>
      </c>
      <c r="I39" t="s">
        <v>237</v>
      </c>
      <c r="J39" s="1">
        <v>2693178.27</v>
      </c>
      <c r="M39" s="1">
        <v>2693178.27</v>
      </c>
    </row>
    <row r="40" spans="1:13">
      <c r="B40">
        <v>1</v>
      </c>
      <c r="C40" s="202" t="s">
        <v>238</v>
      </c>
      <c r="D40" s="203">
        <v>4653</v>
      </c>
      <c r="E40" s="203"/>
      <c r="F40" s="203"/>
      <c r="G40" s="203">
        <v>4653</v>
      </c>
      <c r="H40" t="str">
        <f t="shared" si="0"/>
        <v>ok</v>
      </c>
      <c r="I40" t="s">
        <v>238</v>
      </c>
      <c r="J40" s="1">
        <v>4653</v>
      </c>
      <c r="M40" s="1">
        <v>4653</v>
      </c>
    </row>
    <row r="41" spans="1:13">
      <c r="B41">
        <v>2</v>
      </c>
      <c r="C41" s="245" t="s">
        <v>239</v>
      </c>
      <c r="D41" s="246">
        <v>0.14000000000000001</v>
      </c>
      <c r="E41" s="246"/>
      <c r="F41" s="246"/>
      <c r="G41" s="246">
        <v>0.14000000000000001</v>
      </c>
      <c r="H41" t="str">
        <f t="shared" si="0"/>
        <v>ok</v>
      </c>
      <c r="I41" t="s">
        <v>239</v>
      </c>
      <c r="J41" s="1">
        <v>0.14000000000000001</v>
      </c>
      <c r="M41" s="1">
        <v>0.14000000000000001</v>
      </c>
    </row>
    <row r="42" spans="1:13">
      <c r="B42">
        <v>1</v>
      </c>
      <c r="C42" s="202" t="s">
        <v>240</v>
      </c>
      <c r="D42" s="203">
        <v>3990</v>
      </c>
      <c r="E42" s="203"/>
      <c r="F42" s="203"/>
      <c r="G42" s="203">
        <v>3990</v>
      </c>
      <c r="H42" t="str">
        <f t="shared" si="0"/>
        <v>ok</v>
      </c>
      <c r="I42" t="s">
        <v>240</v>
      </c>
      <c r="J42" s="1">
        <v>3990</v>
      </c>
      <c r="M42" s="1">
        <v>3990</v>
      </c>
    </row>
    <row r="43" spans="1:13">
      <c r="A43" t="s">
        <v>222</v>
      </c>
      <c r="B43">
        <v>2</v>
      </c>
      <c r="C43" s="247" t="s">
        <v>241</v>
      </c>
      <c r="D43" s="246"/>
      <c r="E43" s="246"/>
      <c r="F43" s="246"/>
      <c r="G43" s="248"/>
      <c r="H43" t="str">
        <f t="shared" si="0"/>
        <v>ok</v>
      </c>
      <c r="I43" t="s">
        <v>241</v>
      </c>
    </row>
    <row r="44" spans="1:13">
      <c r="B44">
        <v>1</v>
      </c>
      <c r="C44" s="202" t="s">
        <v>242</v>
      </c>
      <c r="D44" s="203"/>
      <c r="E44" s="203"/>
      <c r="F44" s="203"/>
      <c r="G44" s="203"/>
      <c r="H44" t="str">
        <f t="shared" si="0"/>
        <v>ok</v>
      </c>
      <c r="I44" t="s">
        <v>242</v>
      </c>
    </row>
    <row r="45" spans="1:13">
      <c r="A45" t="s">
        <v>222</v>
      </c>
      <c r="B45">
        <v>2</v>
      </c>
      <c r="C45" s="247" t="s">
        <v>243</v>
      </c>
      <c r="D45" s="248">
        <v>122794.3507</v>
      </c>
      <c r="E45" s="248">
        <v>0</v>
      </c>
      <c r="F45" s="248">
        <v>0</v>
      </c>
      <c r="G45" s="248">
        <v>122794.3507</v>
      </c>
      <c r="H45" t="str">
        <f t="shared" si="0"/>
        <v>ok</v>
      </c>
      <c r="I45" t="s">
        <v>243</v>
      </c>
      <c r="J45" s="1">
        <v>122794.3507</v>
      </c>
      <c r="K45" s="1">
        <v>0</v>
      </c>
      <c r="L45" s="1">
        <v>0</v>
      </c>
      <c r="M45" s="1">
        <v>122794.3507</v>
      </c>
    </row>
    <row r="46" spans="1:13">
      <c r="B46">
        <v>1</v>
      </c>
      <c r="C46" s="202" t="s">
        <v>244</v>
      </c>
      <c r="D46" s="203">
        <v>122641.8907</v>
      </c>
      <c r="E46" s="203"/>
      <c r="F46" s="203"/>
      <c r="G46" s="203">
        <v>122641.8907</v>
      </c>
      <c r="H46" t="str">
        <f t="shared" si="0"/>
        <v>ok</v>
      </c>
      <c r="I46" t="s">
        <v>244</v>
      </c>
      <c r="J46" s="1">
        <v>122641.8907</v>
      </c>
      <c r="M46" s="1">
        <v>122641.8907</v>
      </c>
    </row>
    <row r="47" spans="1:13">
      <c r="B47">
        <v>2</v>
      </c>
      <c r="C47" s="245" t="s">
        <v>332</v>
      </c>
      <c r="D47" s="246">
        <v>152.46</v>
      </c>
      <c r="E47" s="246"/>
      <c r="F47" s="246"/>
      <c r="G47" s="246">
        <v>152.46</v>
      </c>
      <c r="H47" t="str">
        <f t="shared" si="0"/>
        <v>ok</v>
      </c>
      <c r="I47" t="s">
        <v>332</v>
      </c>
      <c r="J47" s="1">
        <v>152.46</v>
      </c>
      <c r="M47" s="1">
        <v>152.46</v>
      </c>
    </row>
    <row r="48" spans="1:13">
      <c r="A48" t="s">
        <v>222</v>
      </c>
      <c r="B48">
        <v>1</v>
      </c>
      <c r="C48" s="200" t="s">
        <v>245</v>
      </c>
      <c r="D48" s="201">
        <v>44082.65</v>
      </c>
      <c r="E48" s="201">
        <v>0</v>
      </c>
      <c r="F48" s="201">
        <v>0</v>
      </c>
      <c r="G48" s="201">
        <v>44082.65</v>
      </c>
      <c r="H48" t="str">
        <f t="shared" si="0"/>
        <v>ok</v>
      </c>
      <c r="I48" t="s">
        <v>245</v>
      </c>
      <c r="J48" s="1">
        <v>44082.65</v>
      </c>
      <c r="K48" s="1">
        <v>0</v>
      </c>
      <c r="L48" s="1">
        <v>0</v>
      </c>
      <c r="M48" s="1">
        <v>44082.65</v>
      </c>
    </row>
    <row r="49" spans="1:13">
      <c r="B49">
        <v>2</v>
      </c>
      <c r="C49" s="245" t="s">
        <v>246</v>
      </c>
      <c r="D49" s="246">
        <v>44082.65</v>
      </c>
      <c r="E49" s="246"/>
      <c r="F49" s="246"/>
      <c r="G49" s="246">
        <v>44082.65</v>
      </c>
      <c r="H49" t="str">
        <f t="shared" si="0"/>
        <v>ok</v>
      </c>
      <c r="I49" t="s">
        <v>246</v>
      </c>
      <c r="J49" s="1">
        <v>44082.65</v>
      </c>
      <c r="M49" s="1">
        <v>44082.65</v>
      </c>
    </row>
    <row r="50" spans="1:13">
      <c r="A50" t="s">
        <v>222</v>
      </c>
      <c r="B50">
        <v>1</v>
      </c>
      <c r="C50" s="200" t="s">
        <v>247</v>
      </c>
      <c r="D50" s="201">
        <v>26198.48</v>
      </c>
      <c r="E50" s="203"/>
      <c r="F50" s="201"/>
      <c r="G50" s="201">
        <v>26198.48</v>
      </c>
      <c r="H50" t="str">
        <f t="shared" si="0"/>
        <v>ok</v>
      </c>
      <c r="I50" t="s">
        <v>247</v>
      </c>
      <c r="J50" s="1">
        <v>26198.48</v>
      </c>
      <c r="M50" s="1">
        <v>26198.48</v>
      </c>
    </row>
    <row r="51" spans="1:13">
      <c r="A51" t="s">
        <v>222</v>
      </c>
      <c r="B51">
        <v>2</v>
      </c>
      <c r="C51" s="247" t="s">
        <v>248</v>
      </c>
      <c r="D51" s="248">
        <v>14106.03</v>
      </c>
      <c r="E51" s="248">
        <v>0</v>
      </c>
      <c r="F51" s="248">
        <v>0</v>
      </c>
      <c r="G51" s="248">
        <v>14106.03</v>
      </c>
      <c r="H51" t="str">
        <f t="shared" si="0"/>
        <v>ok</v>
      </c>
      <c r="I51" t="s">
        <v>248</v>
      </c>
      <c r="J51" s="1">
        <v>14106.03</v>
      </c>
      <c r="K51" s="1">
        <v>0</v>
      </c>
      <c r="L51" s="1">
        <v>0</v>
      </c>
      <c r="M51" s="1">
        <v>14106.03</v>
      </c>
    </row>
    <row r="52" spans="1:13">
      <c r="B52">
        <v>1</v>
      </c>
      <c r="C52" s="202" t="s">
        <v>249</v>
      </c>
      <c r="D52" s="203">
        <v>14106.03</v>
      </c>
      <c r="E52" s="203"/>
      <c r="F52" s="203"/>
      <c r="G52" s="203">
        <v>14106.03</v>
      </c>
      <c r="H52" t="str">
        <f t="shared" si="0"/>
        <v>ok</v>
      </c>
      <c r="I52" t="s">
        <v>249</v>
      </c>
      <c r="J52" s="1">
        <v>14106.03</v>
      </c>
      <c r="M52" s="1">
        <v>14106.03</v>
      </c>
    </row>
    <row r="53" spans="1:13">
      <c r="A53" t="s">
        <v>222</v>
      </c>
      <c r="B53">
        <v>2</v>
      </c>
      <c r="C53" s="247" t="s">
        <v>250</v>
      </c>
      <c r="D53" s="248">
        <v>14106.03</v>
      </c>
      <c r="E53" s="246"/>
      <c r="F53" s="248"/>
      <c r="G53" s="248">
        <v>14106.03</v>
      </c>
      <c r="H53" t="str">
        <f t="shared" si="0"/>
        <v>ok</v>
      </c>
      <c r="I53" t="s">
        <v>250</v>
      </c>
      <c r="J53" s="1">
        <v>14106.03</v>
      </c>
      <c r="M53" s="1">
        <v>14106.03</v>
      </c>
    </row>
    <row r="54" spans="1:13">
      <c r="A54" t="s">
        <v>222</v>
      </c>
      <c r="B54">
        <v>1</v>
      </c>
      <c r="C54" s="200" t="s">
        <v>251</v>
      </c>
      <c r="D54" s="201">
        <v>575862.06999999995</v>
      </c>
      <c r="E54" s="201">
        <v>0</v>
      </c>
      <c r="F54" s="201">
        <v>0</v>
      </c>
      <c r="G54" s="201">
        <v>575862.06999999995</v>
      </c>
      <c r="H54" t="str">
        <f t="shared" si="0"/>
        <v>ok</v>
      </c>
      <c r="I54" t="s">
        <v>251</v>
      </c>
      <c r="J54" s="1">
        <v>575862.06999999995</v>
      </c>
      <c r="K54" s="1">
        <v>0</v>
      </c>
      <c r="L54" s="1">
        <v>0</v>
      </c>
      <c r="M54" s="1">
        <v>575862.06999999995</v>
      </c>
    </row>
    <row r="55" spans="1:13">
      <c r="B55">
        <v>2</v>
      </c>
      <c r="C55" s="245" t="s">
        <v>252</v>
      </c>
      <c r="D55" s="246">
        <v>442241.38</v>
      </c>
      <c r="E55" s="246"/>
      <c r="F55" s="246"/>
      <c r="G55" s="246">
        <v>442241.38</v>
      </c>
      <c r="H55" t="str">
        <f t="shared" si="0"/>
        <v>ok</v>
      </c>
      <c r="I55" t="s">
        <v>252</v>
      </c>
      <c r="J55" s="1">
        <v>442241.38</v>
      </c>
      <c r="M55" s="1">
        <v>442241.38</v>
      </c>
    </row>
    <row r="56" spans="1:13">
      <c r="B56">
        <v>1</v>
      </c>
      <c r="C56" s="202" t="s">
        <v>365</v>
      </c>
      <c r="D56" s="203">
        <v>133620.69</v>
      </c>
      <c r="E56" s="203"/>
      <c r="F56" s="203"/>
      <c r="G56" s="203">
        <v>133620.69</v>
      </c>
      <c r="H56" t="str">
        <f t="shared" si="0"/>
        <v>ok</v>
      </c>
      <c r="I56" t="s">
        <v>365</v>
      </c>
      <c r="J56" s="1">
        <v>133620.69</v>
      </c>
      <c r="M56" s="1">
        <v>133620.69</v>
      </c>
    </row>
    <row r="57" spans="1:13">
      <c r="A57" t="s">
        <v>222</v>
      </c>
      <c r="B57">
        <v>2</v>
      </c>
      <c r="C57" s="247" t="s">
        <v>253</v>
      </c>
      <c r="D57" s="248">
        <v>492349.13</v>
      </c>
      <c r="E57" s="246"/>
      <c r="F57" s="248"/>
      <c r="G57" s="248">
        <v>492349.13</v>
      </c>
      <c r="H57" t="str">
        <f t="shared" si="0"/>
        <v>ok</v>
      </c>
      <c r="I57" t="s">
        <v>253</v>
      </c>
      <c r="J57" s="1">
        <v>492349.13</v>
      </c>
      <c r="M57" s="1">
        <v>492349.13</v>
      </c>
    </row>
    <row r="58" spans="1:13">
      <c r="A58" t="s">
        <v>222</v>
      </c>
      <c r="B58">
        <v>1</v>
      </c>
      <c r="C58" s="200" t="s">
        <v>254</v>
      </c>
      <c r="D58" s="201">
        <v>19497.080000000002</v>
      </c>
      <c r="E58" s="201">
        <v>0</v>
      </c>
      <c r="F58" s="201">
        <v>0</v>
      </c>
      <c r="G58" s="201">
        <v>19497.080000000002</v>
      </c>
      <c r="H58" t="str">
        <f t="shared" si="0"/>
        <v>ok</v>
      </c>
      <c r="I58" t="s">
        <v>254</v>
      </c>
      <c r="J58" s="1">
        <v>19497.080000000002</v>
      </c>
      <c r="K58" s="1">
        <v>0</v>
      </c>
      <c r="L58" s="1">
        <v>0</v>
      </c>
      <c r="M58" s="1">
        <v>19497.080000000002</v>
      </c>
    </row>
    <row r="59" spans="1:13">
      <c r="B59">
        <v>2</v>
      </c>
      <c r="C59" s="245" t="s">
        <v>255</v>
      </c>
      <c r="D59" s="246">
        <v>19497.080000000002</v>
      </c>
      <c r="E59" s="246"/>
      <c r="F59" s="246"/>
      <c r="G59" s="246">
        <v>19497.080000000002</v>
      </c>
      <c r="H59" t="str">
        <f t="shared" si="0"/>
        <v>ok</v>
      </c>
      <c r="I59" t="s">
        <v>255</v>
      </c>
      <c r="J59" s="1">
        <v>19497.080000000002</v>
      </c>
      <c r="M59" s="1">
        <v>19497.080000000002</v>
      </c>
    </row>
    <row r="60" spans="1:13">
      <c r="A60" t="s">
        <v>222</v>
      </c>
      <c r="B60">
        <v>1</v>
      </c>
      <c r="C60" s="200" t="s">
        <v>256</v>
      </c>
      <c r="D60" s="201">
        <v>9098.64</v>
      </c>
      <c r="E60" s="203"/>
      <c r="F60" s="201"/>
      <c r="G60" s="201">
        <v>9098.64</v>
      </c>
      <c r="H60" t="str">
        <f t="shared" si="0"/>
        <v>ok</v>
      </c>
      <c r="I60" t="s">
        <v>256</v>
      </c>
      <c r="J60" s="1">
        <v>9098.64</v>
      </c>
      <c r="M60" s="1">
        <v>9098.64</v>
      </c>
    </row>
    <row r="61" spans="1:13">
      <c r="A61" t="s">
        <v>222</v>
      </c>
      <c r="B61">
        <v>2</v>
      </c>
      <c r="C61" s="247" t="s">
        <v>257</v>
      </c>
      <c r="D61" s="248">
        <v>501280.30599999998</v>
      </c>
      <c r="E61" s="248"/>
      <c r="F61" s="248"/>
      <c r="G61" s="248">
        <v>501280.30599999998</v>
      </c>
      <c r="H61" t="str">
        <f t="shared" si="0"/>
        <v>ok</v>
      </c>
      <c r="I61" t="s">
        <v>257</v>
      </c>
      <c r="J61" s="1">
        <v>501280.30599999998</v>
      </c>
      <c r="M61" s="1">
        <v>501280.30599999998</v>
      </c>
    </row>
    <row r="62" spans="1:13">
      <c r="A62" t="s">
        <v>222</v>
      </c>
      <c r="B62">
        <v>1</v>
      </c>
      <c r="C62" s="200" t="s">
        <v>258</v>
      </c>
      <c r="D62" s="201">
        <v>3331611.76</v>
      </c>
      <c r="E62" s="201">
        <v>0</v>
      </c>
      <c r="F62" s="201">
        <v>0</v>
      </c>
      <c r="G62" s="201">
        <v>3331611.76</v>
      </c>
      <c r="H62" t="str">
        <f t="shared" si="0"/>
        <v>ok</v>
      </c>
      <c r="I62" t="s">
        <v>258</v>
      </c>
      <c r="J62" s="1">
        <v>3331611.76</v>
      </c>
      <c r="K62" s="1">
        <v>0</v>
      </c>
      <c r="L62" s="1">
        <v>0</v>
      </c>
      <c r="M62" s="1">
        <v>3331611.76</v>
      </c>
    </row>
    <row r="63" spans="1:13">
      <c r="C63" s="202" t="s">
        <v>484</v>
      </c>
      <c r="D63" s="201">
        <v>802898.49</v>
      </c>
      <c r="E63" s="201"/>
      <c r="F63" s="201"/>
      <c r="G63" s="201">
        <v>802898.49</v>
      </c>
      <c r="H63" t="str">
        <f t="shared" si="0"/>
        <v>ok</v>
      </c>
      <c r="I63" t="s">
        <v>484</v>
      </c>
      <c r="J63" s="1">
        <v>802898.49</v>
      </c>
      <c r="M63" s="1">
        <v>802898.49</v>
      </c>
    </row>
    <row r="64" spans="1:13">
      <c r="B64">
        <v>2</v>
      </c>
      <c r="C64" s="245" t="s">
        <v>429</v>
      </c>
      <c r="D64" s="246">
        <v>5478.49</v>
      </c>
      <c r="E64" s="246"/>
      <c r="F64" s="246"/>
      <c r="G64" s="246">
        <v>5478.49</v>
      </c>
      <c r="H64" t="str">
        <f t="shared" si="0"/>
        <v>ok</v>
      </c>
      <c r="I64" t="s">
        <v>429</v>
      </c>
      <c r="J64" s="1">
        <v>5478.49</v>
      </c>
      <c r="M64" s="1">
        <v>5478.49</v>
      </c>
    </row>
    <row r="65" spans="1:13">
      <c r="B65">
        <v>1</v>
      </c>
      <c r="C65" s="202" t="s">
        <v>259</v>
      </c>
      <c r="D65" s="203">
        <v>1189805.77</v>
      </c>
      <c r="E65" s="203">
        <v>0</v>
      </c>
      <c r="F65" s="203">
        <v>0</v>
      </c>
      <c r="G65" s="203">
        <v>1189805.77</v>
      </c>
      <c r="H65" t="str">
        <f t="shared" si="0"/>
        <v>ok</v>
      </c>
      <c r="I65" t="s">
        <v>259</v>
      </c>
      <c r="J65" s="1">
        <v>1189805.77</v>
      </c>
      <c r="K65" s="1">
        <v>0</v>
      </c>
      <c r="L65" s="1">
        <v>0</v>
      </c>
      <c r="M65" s="1">
        <v>1189805.77</v>
      </c>
    </row>
    <row r="66" spans="1:13">
      <c r="B66">
        <v>2</v>
      </c>
      <c r="C66" s="245" t="s">
        <v>366</v>
      </c>
      <c r="D66" s="246">
        <v>576578.11</v>
      </c>
      <c r="E66" s="246"/>
      <c r="F66" s="246"/>
      <c r="G66" s="246">
        <v>576578.11</v>
      </c>
      <c r="H66" t="str">
        <f t="shared" si="0"/>
        <v>ok</v>
      </c>
      <c r="I66" t="s">
        <v>366</v>
      </c>
      <c r="J66" s="1">
        <v>576578.11</v>
      </c>
      <c r="M66" s="1">
        <v>576578.11</v>
      </c>
    </row>
    <row r="67" spans="1:13">
      <c r="B67">
        <v>1</v>
      </c>
      <c r="C67" s="202" t="s">
        <v>333</v>
      </c>
      <c r="D67" s="203">
        <v>-24641.71</v>
      </c>
      <c r="E67" s="203"/>
      <c r="F67" s="203"/>
      <c r="G67" s="203">
        <v>-24641.71</v>
      </c>
      <c r="H67" t="str">
        <f t="shared" si="0"/>
        <v>ok</v>
      </c>
      <c r="I67" t="s">
        <v>333</v>
      </c>
      <c r="J67" s="1">
        <v>-24641.71</v>
      </c>
      <c r="M67" s="1">
        <v>-24641.71</v>
      </c>
    </row>
    <row r="68" spans="1:13">
      <c r="B68">
        <v>2</v>
      </c>
      <c r="C68" s="245" t="s">
        <v>367</v>
      </c>
      <c r="D68" s="246">
        <v>521961.67</v>
      </c>
      <c r="E68" s="246"/>
      <c r="F68" s="246"/>
      <c r="G68" s="246">
        <v>521961.67</v>
      </c>
      <c r="H68" t="str">
        <f t="shared" si="0"/>
        <v>ok</v>
      </c>
      <c r="I68" t="s">
        <v>367</v>
      </c>
      <c r="J68" s="1">
        <v>521961.67</v>
      </c>
      <c r="M68" s="1">
        <v>521961.67</v>
      </c>
    </row>
    <row r="69" spans="1:13">
      <c r="B69">
        <v>1</v>
      </c>
      <c r="C69" s="202" t="s">
        <v>473</v>
      </c>
      <c r="D69" s="203">
        <v>115907.7</v>
      </c>
      <c r="E69" s="203"/>
      <c r="F69" s="203"/>
      <c r="G69" s="203">
        <v>115907.7</v>
      </c>
      <c r="H69" t="str">
        <f t="shared" si="0"/>
        <v>ok</v>
      </c>
      <c r="I69" t="s">
        <v>473</v>
      </c>
      <c r="J69" s="1">
        <v>115907.7</v>
      </c>
      <c r="M69" s="1">
        <v>115907.7</v>
      </c>
    </row>
    <row r="70" spans="1:13">
      <c r="C70" s="202" t="s">
        <v>485</v>
      </c>
      <c r="D70" s="203">
        <v>225.71</v>
      </c>
      <c r="E70" s="203">
        <v>0</v>
      </c>
      <c r="F70" s="203">
        <v>0</v>
      </c>
      <c r="G70" s="203">
        <v>225.71</v>
      </c>
      <c r="H70" t="str">
        <f t="shared" si="0"/>
        <v>ok</v>
      </c>
      <c r="I70" t="s">
        <v>485</v>
      </c>
      <c r="J70" s="1">
        <v>225.71</v>
      </c>
      <c r="K70" s="1">
        <v>0</v>
      </c>
      <c r="L70" s="1">
        <v>0</v>
      </c>
      <c r="M70" s="1">
        <v>225.71</v>
      </c>
    </row>
    <row r="71" spans="1:13">
      <c r="C71" s="202" t="s">
        <v>486</v>
      </c>
      <c r="D71" s="203">
        <v>225.71</v>
      </c>
      <c r="E71" s="203"/>
      <c r="F71" s="203"/>
      <c r="G71" s="203">
        <v>225.71</v>
      </c>
      <c r="H71" t="str">
        <f t="shared" si="0"/>
        <v>ok</v>
      </c>
      <c r="I71" t="s">
        <v>486</v>
      </c>
      <c r="J71" s="1">
        <v>225.71</v>
      </c>
      <c r="M71" s="1">
        <v>225.71</v>
      </c>
    </row>
    <row r="72" spans="1:13">
      <c r="B72">
        <v>2</v>
      </c>
      <c r="C72" s="245" t="s">
        <v>260</v>
      </c>
      <c r="D72" s="246">
        <v>5581.23</v>
      </c>
      <c r="E72" s="246"/>
      <c r="F72" s="246"/>
      <c r="G72" s="246">
        <v>5581.23</v>
      </c>
      <c r="H72" t="str">
        <f t="shared" ref="H72:H135" si="1">IF(I72=C72,"ok","REVISAR")</f>
        <v>ok</v>
      </c>
      <c r="I72" t="s">
        <v>260</v>
      </c>
      <c r="J72" s="1">
        <v>5581.23</v>
      </c>
      <c r="M72" s="1">
        <v>5581.23</v>
      </c>
    </row>
    <row r="73" spans="1:13">
      <c r="B73">
        <v>1</v>
      </c>
      <c r="C73" s="202" t="s">
        <v>261</v>
      </c>
      <c r="D73" s="203">
        <v>141026.80999999901</v>
      </c>
      <c r="E73" s="203"/>
      <c r="F73" s="203"/>
      <c r="G73" s="203">
        <v>141026.81</v>
      </c>
      <c r="H73" t="str">
        <f t="shared" si="1"/>
        <v>ok</v>
      </c>
      <c r="I73" t="s">
        <v>261</v>
      </c>
      <c r="J73" s="1">
        <v>141026.80999999901</v>
      </c>
      <c r="M73" s="1">
        <v>141026.81</v>
      </c>
    </row>
    <row r="74" spans="1:13">
      <c r="B74">
        <v>2</v>
      </c>
      <c r="C74" s="245" t="s">
        <v>430</v>
      </c>
      <c r="D74" s="246">
        <v>900000</v>
      </c>
      <c r="E74" s="246"/>
      <c r="F74" s="246"/>
      <c r="G74" s="246">
        <v>900000</v>
      </c>
      <c r="H74" t="str">
        <f t="shared" si="1"/>
        <v>ok</v>
      </c>
      <c r="I74" t="s">
        <v>430</v>
      </c>
      <c r="J74" s="1">
        <v>900000</v>
      </c>
      <c r="M74" s="1">
        <v>900000</v>
      </c>
    </row>
    <row r="75" spans="1:13">
      <c r="B75">
        <v>1</v>
      </c>
      <c r="C75" s="202" t="s">
        <v>368</v>
      </c>
      <c r="D75" s="203">
        <v>-80000</v>
      </c>
      <c r="E75" s="203"/>
      <c r="F75" s="203"/>
      <c r="G75" s="203">
        <v>-80000</v>
      </c>
      <c r="H75" t="str">
        <f t="shared" si="1"/>
        <v>ok</v>
      </c>
      <c r="I75" t="s">
        <v>368</v>
      </c>
      <c r="J75" s="1">
        <v>-80000</v>
      </c>
      <c r="M75" s="1">
        <v>-80000</v>
      </c>
    </row>
    <row r="76" spans="1:13">
      <c r="B76">
        <v>2</v>
      </c>
      <c r="C76" s="245" t="s">
        <v>474</v>
      </c>
      <c r="D76" s="246">
        <v>-216436.49</v>
      </c>
      <c r="E76" s="246"/>
      <c r="F76" s="246"/>
      <c r="G76" s="246">
        <v>-216436.49</v>
      </c>
      <c r="H76" t="str">
        <f t="shared" si="1"/>
        <v>ok</v>
      </c>
      <c r="I76" t="s">
        <v>474</v>
      </c>
      <c r="J76" s="1">
        <v>-216436.49</v>
      </c>
      <c r="M76" s="1">
        <v>-216436.49</v>
      </c>
    </row>
    <row r="77" spans="1:13">
      <c r="B77">
        <v>1</v>
      </c>
      <c r="C77" s="202" t="s">
        <v>475</v>
      </c>
      <c r="D77" s="203">
        <v>301434.21000000002</v>
      </c>
      <c r="E77" s="203"/>
      <c r="F77" s="203"/>
      <c r="G77" s="203">
        <v>301434.21000000002</v>
      </c>
      <c r="H77" t="str">
        <f t="shared" si="1"/>
        <v>ok</v>
      </c>
      <c r="I77" t="s">
        <v>475</v>
      </c>
      <c r="J77" s="1">
        <v>301434.21000000002</v>
      </c>
      <c r="M77" s="1">
        <v>301434.21000000002</v>
      </c>
    </row>
    <row r="78" spans="1:13">
      <c r="C78" s="202" t="s">
        <v>487</v>
      </c>
      <c r="D78" s="203">
        <v>281597.53999999998</v>
      </c>
      <c r="E78" s="203"/>
      <c r="F78" s="203"/>
      <c r="G78" s="203">
        <v>281597.53999999998</v>
      </c>
      <c r="H78" t="str">
        <f t="shared" si="1"/>
        <v>ok</v>
      </c>
      <c r="I78" t="s">
        <v>487</v>
      </c>
      <c r="J78" s="1">
        <v>281597.53999999998</v>
      </c>
      <c r="M78" s="1">
        <v>281597.53999999998</v>
      </c>
    </row>
    <row r="79" spans="1:13">
      <c r="A79" s="212" t="s">
        <v>222</v>
      </c>
      <c r="B79">
        <v>2</v>
      </c>
      <c r="C79" s="247" t="s">
        <v>262</v>
      </c>
      <c r="D79" s="248">
        <v>7883960.6200000001</v>
      </c>
      <c r="E79" s="248">
        <v>0</v>
      </c>
      <c r="F79" s="248">
        <v>0</v>
      </c>
      <c r="G79" s="248">
        <v>7883960.6200000001</v>
      </c>
      <c r="H79" t="str">
        <f t="shared" si="1"/>
        <v>ok</v>
      </c>
      <c r="I79" t="s">
        <v>262</v>
      </c>
      <c r="J79" s="1">
        <v>7883960.6200000001</v>
      </c>
      <c r="K79" s="1">
        <v>0</v>
      </c>
      <c r="L79" s="1">
        <v>0</v>
      </c>
      <c r="M79" s="1">
        <v>7883960.6200000001</v>
      </c>
    </row>
    <row r="80" spans="1:13">
      <c r="A80" s="212"/>
      <c r="B80">
        <v>1</v>
      </c>
      <c r="C80" s="200" t="s">
        <v>476</v>
      </c>
      <c r="D80" s="201">
        <v>7883960.6200000001</v>
      </c>
      <c r="E80" s="201"/>
      <c r="F80" s="201"/>
      <c r="G80" s="201">
        <v>7883960.6200000001</v>
      </c>
      <c r="H80" t="str">
        <f t="shared" si="1"/>
        <v>ok</v>
      </c>
      <c r="I80" t="s">
        <v>476</v>
      </c>
      <c r="J80" s="1">
        <v>7883960.6200000001</v>
      </c>
      <c r="M80" s="1">
        <v>7883960.6200000001</v>
      </c>
    </row>
    <row r="81" spans="1:13">
      <c r="A81" t="s">
        <v>222</v>
      </c>
      <c r="B81">
        <v>2</v>
      </c>
      <c r="C81" s="247" t="s">
        <v>334</v>
      </c>
      <c r="D81" s="248">
        <v>181339.95</v>
      </c>
      <c r="E81" s="248">
        <v>0</v>
      </c>
      <c r="F81" s="248">
        <v>0</v>
      </c>
      <c r="G81" s="248">
        <v>181339.95</v>
      </c>
      <c r="H81" t="str">
        <f t="shared" si="1"/>
        <v>ok</v>
      </c>
      <c r="I81" t="s">
        <v>334</v>
      </c>
      <c r="J81" s="1">
        <v>181339.95</v>
      </c>
      <c r="K81" s="1">
        <v>0</v>
      </c>
      <c r="L81" s="1">
        <v>0</v>
      </c>
      <c r="M81" s="1">
        <v>181339.95</v>
      </c>
    </row>
    <row r="82" spans="1:13">
      <c r="B82">
        <v>1</v>
      </c>
      <c r="C82" s="202" t="s">
        <v>335</v>
      </c>
      <c r="D82" s="203">
        <v>107958.73</v>
      </c>
      <c r="E82" s="203"/>
      <c r="F82" s="203"/>
      <c r="G82" s="203">
        <v>107958.73</v>
      </c>
      <c r="H82" t="str">
        <f t="shared" si="1"/>
        <v>ok</v>
      </c>
      <c r="I82" t="s">
        <v>335</v>
      </c>
      <c r="J82" s="1">
        <v>107958.73</v>
      </c>
      <c r="M82" s="1">
        <v>107958.73</v>
      </c>
    </row>
    <row r="83" spans="1:13">
      <c r="B83">
        <v>2</v>
      </c>
      <c r="C83" s="245" t="s">
        <v>336</v>
      </c>
      <c r="D83" s="246">
        <v>1709.08</v>
      </c>
      <c r="E83" s="246"/>
      <c r="F83" s="246"/>
      <c r="G83" s="246">
        <v>1709.08</v>
      </c>
      <c r="H83" t="str">
        <f t="shared" si="1"/>
        <v>ok</v>
      </c>
      <c r="I83" t="s">
        <v>336</v>
      </c>
      <c r="J83" s="1">
        <v>1709.08</v>
      </c>
      <c r="M83" s="1">
        <v>1709.08</v>
      </c>
    </row>
    <row r="84" spans="1:13">
      <c r="B84">
        <v>1</v>
      </c>
      <c r="C84" s="202" t="s">
        <v>337</v>
      </c>
      <c r="D84" s="203">
        <v>1400</v>
      </c>
      <c r="E84" s="203"/>
      <c r="F84" s="203"/>
      <c r="G84" s="203">
        <v>1400</v>
      </c>
      <c r="H84" t="str">
        <f t="shared" si="1"/>
        <v>ok</v>
      </c>
      <c r="I84" t="s">
        <v>337</v>
      </c>
      <c r="J84" s="1">
        <v>1400</v>
      </c>
      <c r="M84" s="1">
        <v>1400</v>
      </c>
    </row>
    <row r="85" spans="1:13">
      <c r="B85">
        <v>2</v>
      </c>
      <c r="C85" s="245" t="s">
        <v>338</v>
      </c>
      <c r="D85" s="246">
        <v>14588.47</v>
      </c>
      <c r="E85" s="246"/>
      <c r="F85" s="246"/>
      <c r="G85" s="246">
        <v>14588.47</v>
      </c>
      <c r="H85" t="str">
        <f t="shared" si="1"/>
        <v>ok</v>
      </c>
      <c r="I85" t="s">
        <v>338</v>
      </c>
      <c r="J85" s="1">
        <v>14588.47</v>
      </c>
      <c r="M85" s="1">
        <v>14588.47</v>
      </c>
    </row>
    <row r="86" spans="1:13">
      <c r="B86">
        <v>1</v>
      </c>
      <c r="C86" s="202" t="s">
        <v>339</v>
      </c>
      <c r="D86" s="203">
        <v>417.12</v>
      </c>
      <c r="E86" s="203"/>
      <c r="F86" s="203"/>
      <c r="G86" s="203">
        <v>417.12</v>
      </c>
      <c r="H86" t="str">
        <f t="shared" si="1"/>
        <v>ok</v>
      </c>
      <c r="I86" t="s">
        <v>339</v>
      </c>
      <c r="J86" s="1">
        <v>417.12</v>
      </c>
      <c r="M86" s="1">
        <v>417.12</v>
      </c>
    </row>
    <row r="87" spans="1:13">
      <c r="B87">
        <v>2</v>
      </c>
      <c r="C87" s="245" t="s">
        <v>477</v>
      </c>
      <c r="D87" s="246">
        <v>12192.55</v>
      </c>
      <c r="E87" s="246"/>
      <c r="F87" s="246"/>
      <c r="G87" s="246">
        <v>12192.55</v>
      </c>
      <c r="H87" t="str">
        <f t="shared" si="1"/>
        <v>ok</v>
      </c>
      <c r="I87" t="s">
        <v>477</v>
      </c>
      <c r="J87" s="1">
        <v>12192.55</v>
      </c>
      <c r="M87" s="1">
        <v>12192.55</v>
      </c>
    </row>
    <row r="88" spans="1:13">
      <c r="B88">
        <v>1</v>
      </c>
      <c r="C88" s="202" t="s">
        <v>340</v>
      </c>
      <c r="D88" s="203">
        <v>43074</v>
      </c>
      <c r="E88" s="203"/>
      <c r="F88" s="203"/>
      <c r="G88" s="203">
        <v>43074</v>
      </c>
      <c r="H88" t="str">
        <f t="shared" si="1"/>
        <v>ok</v>
      </c>
      <c r="I88" t="s">
        <v>340</v>
      </c>
      <c r="J88" s="1">
        <v>43074</v>
      </c>
      <c r="M88" s="1">
        <v>43074</v>
      </c>
    </row>
    <row r="89" spans="1:13">
      <c r="A89" t="s">
        <v>222</v>
      </c>
      <c r="B89">
        <v>2</v>
      </c>
      <c r="C89" s="247" t="s">
        <v>431</v>
      </c>
      <c r="D89" s="248"/>
      <c r="E89" s="248"/>
      <c r="F89" s="248"/>
      <c r="G89" s="248"/>
      <c r="H89" t="str">
        <f t="shared" si="1"/>
        <v>ok</v>
      </c>
      <c r="I89" t="s">
        <v>431</v>
      </c>
    </row>
    <row r="90" spans="1:13">
      <c r="A90" s="212" t="s">
        <v>222</v>
      </c>
      <c r="B90">
        <v>1</v>
      </c>
      <c r="C90" s="200" t="s">
        <v>420</v>
      </c>
      <c r="D90" s="201">
        <v>2275.19</v>
      </c>
      <c r="E90" s="201"/>
      <c r="F90" s="201"/>
      <c r="G90" s="201">
        <v>2275.19</v>
      </c>
      <c r="H90" t="str">
        <f t="shared" si="1"/>
        <v>ok</v>
      </c>
      <c r="I90" t="s">
        <v>420</v>
      </c>
      <c r="J90" s="1">
        <v>2275.19</v>
      </c>
      <c r="M90" s="1">
        <v>2275.19</v>
      </c>
    </row>
    <row r="91" spans="1:13">
      <c r="A91" t="s">
        <v>222</v>
      </c>
      <c r="B91">
        <v>2</v>
      </c>
      <c r="C91" s="247" t="s">
        <v>263</v>
      </c>
      <c r="D91" s="248">
        <v>425800</v>
      </c>
      <c r="E91" s="248">
        <v>0</v>
      </c>
      <c r="F91" s="248">
        <v>0</v>
      </c>
      <c r="G91" s="248">
        <v>425800</v>
      </c>
      <c r="H91" t="str">
        <f t="shared" si="1"/>
        <v>ok</v>
      </c>
      <c r="I91" t="s">
        <v>263</v>
      </c>
      <c r="J91" s="1">
        <v>425800</v>
      </c>
      <c r="K91" s="1">
        <v>0</v>
      </c>
      <c r="L91" s="1">
        <v>0</v>
      </c>
      <c r="M91" s="1">
        <v>425800</v>
      </c>
    </row>
    <row r="92" spans="1:13">
      <c r="B92">
        <v>1</v>
      </c>
      <c r="C92" s="202" t="s">
        <v>264</v>
      </c>
      <c r="D92" s="203">
        <v>200000</v>
      </c>
      <c r="E92" s="203"/>
      <c r="F92" s="203"/>
      <c r="G92" s="203">
        <v>200000</v>
      </c>
      <c r="H92" t="str">
        <f t="shared" si="1"/>
        <v>ok</v>
      </c>
      <c r="I92" t="s">
        <v>264</v>
      </c>
      <c r="J92" s="1">
        <v>200000</v>
      </c>
      <c r="M92" s="1">
        <v>200000</v>
      </c>
    </row>
    <row r="93" spans="1:13">
      <c r="C93" s="202" t="s">
        <v>488</v>
      </c>
      <c r="D93" s="203">
        <v>225800</v>
      </c>
      <c r="E93" s="203"/>
      <c r="F93" s="203"/>
      <c r="G93" s="203">
        <v>225800</v>
      </c>
      <c r="H93" t="str">
        <f t="shared" si="1"/>
        <v>ok</v>
      </c>
      <c r="I93" t="s">
        <v>488</v>
      </c>
      <c r="J93" s="1">
        <v>225800</v>
      </c>
      <c r="M93" s="1">
        <v>225800</v>
      </c>
    </row>
    <row r="94" spans="1:13">
      <c r="A94" t="s">
        <v>222</v>
      </c>
      <c r="B94">
        <v>2</v>
      </c>
      <c r="C94" s="247" t="s">
        <v>265</v>
      </c>
      <c r="D94" s="248">
        <v>1090000</v>
      </c>
      <c r="E94" s="246"/>
      <c r="F94" s="246"/>
      <c r="G94" s="248">
        <v>1090000</v>
      </c>
      <c r="H94" t="str">
        <f t="shared" si="1"/>
        <v>ok</v>
      </c>
      <c r="I94" t="s">
        <v>265</v>
      </c>
      <c r="J94" s="1">
        <v>1090000</v>
      </c>
      <c r="M94" s="1">
        <v>1090000</v>
      </c>
    </row>
    <row r="95" spans="1:13">
      <c r="A95" t="s">
        <v>222</v>
      </c>
      <c r="B95">
        <v>1</v>
      </c>
      <c r="C95" s="200" t="s">
        <v>266</v>
      </c>
      <c r="D95" s="201">
        <v>-7969283.6019000001</v>
      </c>
      <c r="E95" s="201">
        <v>0</v>
      </c>
      <c r="F95" s="201">
        <v>0</v>
      </c>
      <c r="G95" s="201">
        <v>-7969283.6019000001</v>
      </c>
      <c r="H95" t="str">
        <f t="shared" si="1"/>
        <v>ok</v>
      </c>
      <c r="I95" t="s">
        <v>266</v>
      </c>
      <c r="J95" s="1">
        <v>-7969283.6019000001</v>
      </c>
      <c r="K95" s="1">
        <v>0</v>
      </c>
      <c r="L95" s="1">
        <v>0</v>
      </c>
      <c r="M95" s="1">
        <v>-7969283.6019000001</v>
      </c>
    </row>
    <row r="96" spans="1:13">
      <c r="B96">
        <v>2</v>
      </c>
      <c r="C96" s="245" t="s">
        <v>267</v>
      </c>
      <c r="D96" s="246">
        <v>79094.13</v>
      </c>
      <c r="E96" s="246"/>
      <c r="F96" s="246"/>
      <c r="G96" s="246">
        <v>79094.13</v>
      </c>
      <c r="H96" t="str">
        <f t="shared" si="1"/>
        <v>ok</v>
      </c>
      <c r="I96" t="s">
        <v>267</v>
      </c>
      <c r="J96" s="1">
        <v>79094.13</v>
      </c>
      <c r="M96" s="1">
        <v>79094.13</v>
      </c>
    </row>
    <row r="97" spans="1:13">
      <c r="B97">
        <v>1</v>
      </c>
      <c r="C97" s="202" t="s">
        <v>268</v>
      </c>
      <c r="D97" s="203">
        <v>21649.16</v>
      </c>
      <c r="E97" s="203"/>
      <c r="F97" s="203"/>
      <c r="G97" s="203">
        <v>21649.16</v>
      </c>
      <c r="H97" t="str">
        <f t="shared" si="1"/>
        <v>ok</v>
      </c>
      <c r="I97" t="s">
        <v>268</v>
      </c>
      <c r="J97" s="1">
        <v>21649.16</v>
      </c>
      <c r="M97" s="1">
        <v>21649.16</v>
      </c>
    </row>
    <row r="98" spans="1:13">
      <c r="B98">
        <v>2</v>
      </c>
      <c r="C98" s="245" t="s">
        <v>269</v>
      </c>
      <c r="D98" s="246">
        <v>19435.669999999998</v>
      </c>
      <c r="E98" s="246"/>
      <c r="F98" s="246"/>
      <c r="G98" s="246">
        <v>19435.669999999998</v>
      </c>
      <c r="H98" t="str">
        <f t="shared" si="1"/>
        <v>ok</v>
      </c>
      <c r="I98" t="s">
        <v>269</v>
      </c>
      <c r="J98" s="1">
        <v>19435.669999999998</v>
      </c>
      <c r="M98" s="1">
        <v>19435.669999999998</v>
      </c>
    </row>
    <row r="99" spans="1:13">
      <c r="B99">
        <v>1</v>
      </c>
      <c r="C99" s="202" t="s">
        <v>270</v>
      </c>
      <c r="D99" s="203">
        <v>19075.43</v>
      </c>
      <c r="E99" s="203"/>
      <c r="F99" s="203"/>
      <c r="G99" s="203">
        <v>19075.43</v>
      </c>
      <c r="H99" t="str">
        <f t="shared" si="1"/>
        <v>ok</v>
      </c>
      <c r="I99" t="s">
        <v>270</v>
      </c>
      <c r="J99" s="1">
        <v>19075.43</v>
      </c>
      <c r="M99" s="1">
        <v>19075.43</v>
      </c>
    </row>
    <row r="100" spans="1:13">
      <c r="B100">
        <v>2</v>
      </c>
      <c r="C100" s="245" t="s">
        <v>341</v>
      </c>
      <c r="D100" s="246">
        <v>330278.21691700001</v>
      </c>
      <c r="E100" s="246"/>
      <c r="F100" s="246"/>
      <c r="G100" s="246">
        <v>330278.21691700001</v>
      </c>
      <c r="H100" t="str">
        <f t="shared" si="1"/>
        <v>ok</v>
      </c>
      <c r="I100" t="s">
        <v>341</v>
      </c>
      <c r="J100" s="1">
        <v>330278.21691700001</v>
      </c>
      <c r="M100" s="1">
        <v>330278.21691700001</v>
      </c>
    </row>
    <row r="101" spans="1:13">
      <c r="B101">
        <v>1</v>
      </c>
      <c r="C101" s="202" t="s">
        <v>369</v>
      </c>
      <c r="D101" s="203">
        <v>2511778.8352009999</v>
      </c>
      <c r="E101" s="203"/>
      <c r="F101" s="203"/>
      <c r="G101" s="203">
        <v>2511778.8352009999</v>
      </c>
      <c r="H101" t="str">
        <f t="shared" si="1"/>
        <v>ok</v>
      </c>
      <c r="I101" t="s">
        <v>369</v>
      </c>
      <c r="J101" s="1">
        <v>2511778.8352009999</v>
      </c>
      <c r="M101" s="1">
        <v>2511778.8352009999</v>
      </c>
    </row>
    <row r="102" spans="1:13">
      <c r="B102">
        <v>2</v>
      </c>
      <c r="C102" s="245" t="s">
        <v>432</v>
      </c>
      <c r="D102" s="246">
        <v>-153899.274917</v>
      </c>
      <c r="E102" s="246"/>
      <c r="F102" s="246"/>
      <c r="G102" s="246">
        <v>-153899.274917</v>
      </c>
      <c r="H102" t="str">
        <f t="shared" si="1"/>
        <v>ok</v>
      </c>
      <c r="I102" t="s">
        <v>432</v>
      </c>
      <c r="J102" s="1">
        <v>-153899.274917</v>
      </c>
      <c r="M102" s="1">
        <v>-153899.274917</v>
      </c>
    </row>
    <row r="103" spans="1:13">
      <c r="B103">
        <v>1</v>
      </c>
      <c r="C103" s="202" t="s">
        <v>478</v>
      </c>
      <c r="D103" s="203">
        <v>313909.20486499998</v>
      </c>
      <c r="E103" s="203"/>
      <c r="F103" s="203"/>
      <c r="G103" s="203">
        <v>313909.20486499998</v>
      </c>
      <c r="H103" t="str">
        <f t="shared" si="1"/>
        <v>ok</v>
      </c>
      <c r="I103" t="s">
        <v>478</v>
      </c>
      <c r="J103" s="1">
        <v>313909.20486499998</v>
      </c>
      <c r="M103" s="1">
        <v>313909.20486499998</v>
      </c>
    </row>
    <row r="104" spans="1:13">
      <c r="B104">
        <v>2</v>
      </c>
      <c r="C104" s="245" t="s">
        <v>479</v>
      </c>
      <c r="D104" s="246">
        <v>-4760521.5999999996</v>
      </c>
      <c r="E104" s="246"/>
      <c r="F104" s="246"/>
      <c r="G104" s="246">
        <v>-4760521.5999999996</v>
      </c>
      <c r="H104" t="str">
        <f t="shared" si="1"/>
        <v>ok</v>
      </c>
      <c r="I104" t="s">
        <v>479</v>
      </c>
      <c r="J104" s="1">
        <v>-4760521.5999999996</v>
      </c>
      <c r="M104" s="1">
        <v>-4760521.5999999996</v>
      </c>
    </row>
    <row r="105" spans="1:13">
      <c r="A105" t="s">
        <v>222</v>
      </c>
      <c r="B105">
        <v>1</v>
      </c>
      <c r="C105" s="200" t="s">
        <v>271</v>
      </c>
      <c r="D105" s="201">
        <v>1978019.1799000001</v>
      </c>
      <c r="E105" s="201">
        <v>0</v>
      </c>
      <c r="F105" s="201">
        <v>0</v>
      </c>
      <c r="G105" s="201">
        <v>1978019.1799000001</v>
      </c>
      <c r="H105" t="str">
        <f t="shared" si="1"/>
        <v>ok</v>
      </c>
      <c r="I105" t="s">
        <v>271</v>
      </c>
      <c r="J105" s="1">
        <v>1978019.1799000001</v>
      </c>
      <c r="K105" s="1">
        <v>0</v>
      </c>
      <c r="L105" s="1">
        <v>0</v>
      </c>
      <c r="M105" s="1">
        <v>1978019.1799000001</v>
      </c>
    </row>
    <row r="106" spans="1:13">
      <c r="B106">
        <v>2</v>
      </c>
      <c r="C106" s="245" t="s">
        <v>272</v>
      </c>
      <c r="D106" s="246">
        <v>1943205.5399999991</v>
      </c>
      <c r="E106" s="246"/>
      <c r="F106" s="246"/>
      <c r="G106" s="246">
        <v>1943205.54</v>
      </c>
      <c r="H106" t="str">
        <f t="shared" si="1"/>
        <v>ok</v>
      </c>
      <c r="I106" t="s">
        <v>272</v>
      </c>
      <c r="J106" s="1">
        <v>1943205.5399999991</v>
      </c>
      <c r="M106" s="1">
        <v>1943205.54</v>
      </c>
    </row>
    <row r="107" spans="1:13">
      <c r="C107" s="245" t="s">
        <v>489</v>
      </c>
      <c r="D107" s="246">
        <v>34051.72</v>
      </c>
      <c r="E107" s="246"/>
      <c r="F107" s="246"/>
      <c r="G107" s="246">
        <v>34051.72</v>
      </c>
      <c r="H107" t="str">
        <f t="shared" si="1"/>
        <v>ok</v>
      </c>
      <c r="I107" t="s">
        <v>489</v>
      </c>
      <c r="J107" s="1">
        <v>34051.72</v>
      </c>
      <c r="M107" s="1">
        <v>34051.72</v>
      </c>
    </row>
    <row r="108" spans="1:13">
      <c r="C108" s="245" t="s">
        <v>490</v>
      </c>
      <c r="D108" s="246">
        <v>663</v>
      </c>
      <c r="E108" s="246"/>
      <c r="F108" s="246"/>
      <c r="G108" s="246">
        <v>663</v>
      </c>
      <c r="H108" t="str">
        <f t="shared" si="1"/>
        <v>ok</v>
      </c>
      <c r="I108" t="s">
        <v>490</v>
      </c>
      <c r="J108" s="1">
        <v>663</v>
      </c>
      <c r="M108" s="1">
        <v>663</v>
      </c>
    </row>
    <row r="109" spans="1:13">
      <c r="B109">
        <v>1</v>
      </c>
      <c r="C109" s="202" t="s">
        <v>273</v>
      </c>
      <c r="D109" s="203">
        <v>98.919899999999998</v>
      </c>
      <c r="E109" s="203"/>
      <c r="F109" s="203"/>
      <c r="G109" s="203">
        <v>98.919899999999998</v>
      </c>
      <c r="H109" t="str">
        <f t="shared" si="1"/>
        <v>ok</v>
      </c>
      <c r="I109" t="s">
        <v>273</v>
      </c>
      <c r="J109" s="1">
        <v>98.919899999999998</v>
      </c>
      <c r="M109" s="1">
        <v>98.919899999999998</v>
      </c>
    </row>
    <row r="110" spans="1:13">
      <c r="A110" t="s">
        <v>222</v>
      </c>
      <c r="B110">
        <v>2</v>
      </c>
      <c r="C110" s="247" t="s">
        <v>274</v>
      </c>
      <c r="D110" s="248">
        <v>1654681.7639890001</v>
      </c>
      <c r="E110" s="248">
        <v>0</v>
      </c>
      <c r="F110" s="248">
        <v>0</v>
      </c>
      <c r="G110" s="248">
        <v>1654681.7639890001</v>
      </c>
      <c r="H110" t="str">
        <f t="shared" si="1"/>
        <v>ok</v>
      </c>
      <c r="I110" t="s">
        <v>274</v>
      </c>
      <c r="J110" s="1">
        <f>795.6+1653886.163989</f>
        <v>1654681.7639890001</v>
      </c>
      <c r="K110" s="1">
        <v>0</v>
      </c>
      <c r="L110" s="1">
        <v>0</v>
      </c>
      <c r="M110" s="1">
        <f>+J110</f>
        <v>1654681.7639890001</v>
      </c>
    </row>
    <row r="111" spans="1:13">
      <c r="B111">
        <v>1</v>
      </c>
      <c r="C111" s="202" t="s">
        <v>275</v>
      </c>
      <c r="D111" s="203">
        <v>252649.50520000001</v>
      </c>
      <c r="E111" s="203"/>
      <c r="F111" s="203"/>
      <c r="G111" s="203">
        <v>252649.50520000001</v>
      </c>
      <c r="H111" t="str">
        <f t="shared" si="1"/>
        <v>ok</v>
      </c>
      <c r="I111" t="s">
        <v>275</v>
      </c>
      <c r="J111" s="1">
        <v>252649.50520000001</v>
      </c>
      <c r="M111" s="1">
        <v>252649.50520000001</v>
      </c>
    </row>
    <row r="112" spans="1:13">
      <c r="B112">
        <v>2</v>
      </c>
      <c r="C112" s="245" t="s">
        <v>276</v>
      </c>
      <c r="D112" s="246">
        <v>214656.14471299999</v>
      </c>
      <c r="E112" s="246"/>
      <c r="F112" s="246"/>
      <c r="G112" s="246">
        <v>214656.14471299999</v>
      </c>
      <c r="H112" t="str">
        <f t="shared" si="1"/>
        <v>ok</v>
      </c>
      <c r="I112" t="s">
        <v>276</v>
      </c>
      <c r="J112" s="1">
        <v>214656.14471299999</v>
      </c>
      <c r="M112" s="1">
        <v>214656.14471299999</v>
      </c>
    </row>
    <row r="113" spans="1:13">
      <c r="B113">
        <v>1</v>
      </c>
      <c r="C113" s="202" t="s">
        <v>277</v>
      </c>
      <c r="D113" s="203">
        <v>15219.98</v>
      </c>
      <c r="E113" s="203"/>
      <c r="F113" s="203"/>
      <c r="G113" s="203">
        <v>15219.98</v>
      </c>
      <c r="H113" t="str">
        <f t="shared" si="1"/>
        <v>ok</v>
      </c>
      <c r="I113" t="s">
        <v>277</v>
      </c>
      <c r="J113" s="1">
        <v>15219.98</v>
      </c>
      <c r="M113" s="1">
        <v>15219.98</v>
      </c>
    </row>
    <row r="114" spans="1:13">
      <c r="B114">
        <v>2</v>
      </c>
      <c r="C114" s="245" t="s">
        <v>433</v>
      </c>
      <c r="D114" s="246">
        <v>314563.98067599995</v>
      </c>
      <c r="E114" s="246"/>
      <c r="F114" s="246"/>
      <c r="G114" s="246">
        <v>314563.98067599995</v>
      </c>
      <c r="H114" t="str">
        <f t="shared" si="1"/>
        <v>ok</v>
      </c>
      <c r="I114" t="s">
        <v>433</v>
      </c>
      <c r="J114" s="1">
        <f>795.6+313768.380676</f>
        <v>314563.98067599995</v>
      </c>
      <c r="M114" s="1">
        <f>+J114</f>
        <v>314563.98067599995</v>
      </c>
    </row>
    <row r="115" spans="1:13">
      <c r="B115">
        <v>1</v>
      </c>
      <c r="C115" s="202" t="s">
        <v>434</v>
      </c>
      <c r="D115" s="203">
        <v>320767.95</v>
      </c>
      <c r="E115" s="203"/>
      <c r="F115" s="203"/>
      <c r="G115" s="203">
        <v>320767.95</v>
      </c>
      <c r="H115" t="str">
        <f t="shared" si="1"/>
        <v>ok</v>
      </c>
      <c r="I115" t="s">
        <v>434</v>
      </c>
      <c r="J115" s="1">
        <v>320767.95</v>
      </c>
      <c r="M115" s="1">
        <v>320767.95</v>
      </c>
    </row>
    <row r="116" spans="1:13">
      <c r="B116">
        <v>2</v>
      </c>
      <c r="C116" s="245" t="s">
        <v>435</v>
      </c>
      <c r="D116" s="246">
        <v>147335.23860000001</v>
      </c>
      <c r="E116" s="246"/>
      <c r="F116" s="246"/>
      <c r="G116" s="246">
        <v>147335.23860000001</v>
      </c>
      <c r="H116" t="str">
        <f t="shared" si="1"/>
        <v>ok</v>
      </c>
      <c r="I116" t="s">
        <v>435</v>
      </c>
      <c r="J116" s="1">
        <v>147335.23860000001</v>
      </c>
      <c r="M116" s="1">
        <v>147335.23860000001</v>
      </c>
    </row>
    <row r="117" spans="1:13">
      <c r="B117">
        <v>1</v>
      </c>
      <c r="C117" s="202" t="s">
        <v>436</v>
      </c>
      <c r="D117" s="203">
        <v>174732.20689999999</v>
      </c>
      <c r="E117" s="203"/>
      <c r="F117" s="203"/>
      <c r="G117" s="203">
        <v>174732.20689999999</v>
      </c>
      <c r="H117" t="str">
        <f t="shared" si="1"/>
        <v>ok</v>
      </c>
      <c r="I117" t="s">
        <v>436</v>
      </c>
      <c r="J117" s="1">
        <v>174732.20689999999</v>
      </c>
      <c r="M117" s="1">
        <v>174732.20689999999</v>
      </c>
    </row>
    <row r="118" spans="1:13">
      <c r="B118">
        <v>2</v>
      </c>
      <c r="C118" s="245" t="s">
        <v>437</v>
      </c>
      <c r="D118" s="246">
        <v>214756.7579</v>
      </c>
      <c r="E118" s="246"/>
      <c r="F118" s="246"/>
      <c r="G118" s="246">
        <v>214756.7579</v>
      </c>
      <c r="H118" t="str">
        <f t="shared" si="1"/>
        <v>ok</v>
      </c>
      <c r="I118" t="s">
        <v>437</v>
      </c>
      <c r="J118" s="1">
        <v>214756.7579</v>
      </c>
      <c r="M118" s="1">
        <v>214756.7579</v>
      </c>
    </row>
    <row r="119" spans="1:13">
      <c r="A119" t="s">
        <v>222</v>
      </c>
      <c r="B119">
        <v>1</v>
      </c>
      <c r="C119" s="200" t="s">
        <v>370</v>
      </c>
      <c r="D119" s="201"/>
      <c r="E119" s="203"/>
      <c r="F119" s="203"/>
      <c r="G119" s="201"/>
      <c r="H119" t="str">
        <f t="shared" si="1"/>
        <v>ok</v>
      </c>
      <c r="I119" t="s">
        <v>370</v>
      </c>
    </row>
    <row r="120" spans="1:13">
      <c r="A120" t="s">
        <v>222</v>
      </c>
      <c r="B120">
        <v>2</v>
      </c>
      <c r="C120" s="247" t="s">
        <v>278</v>
      </c>
      <c r="D120" s="248">
        <v>1783936.94</v>
      </c>
      <c r="E120" s="248">
        <v>0</v>
      </c>
      <c r="F120" s="248">
        <v>0</v>
      </c>
      <c r="G120" s="248">
        <v>1783936.94</v>
      </c>
      <c r="H120" t="str">
        <f t="shared" si="1"/>
        <v>ok</v>
      </c>
      <c r="I120" t="s">
        <v>278</v>
      </c>
      <c r="J120" s="1">
        <v>1783936.94</v>
      </c>
      <c r="K120" s="1">
        <v>0</v>
      </c>
      <c r="L120" s="1">
        <v>0</v>
      </c>
      <c r="M120" s="1">
        <v>1783936.94</v>
      </c>
    </row>
    <row r="121" spans="1:13">
      <c r="B121">
        <v>1</v>
      </c>
      <c r="C121" s="202" t="s">
        <v>279</v>
      </c>
      <c r="D121" s="203">
        <v>1017759.31</v>
      </c>
      <c r="E121" s="203"/>
      <c r="F121" s="203"/>
      <c r="G121" s="203">
        <v>1017759.31</v>
      </c>
      <c r="H121" t="str">
        <f t="shared" si="1"/>
        <v>ok</v>
      </c>
      <c r="I121" t="s">
        <v>279</v>
      </c>
      <c r="J121" s="1">
        <v>1017759.31</v>
      </c>
      <c r="M121" s="1">
        <v>1017759.31</v>
      </c>
    </row>
    <row r="122" spans="1:13">
      <c r="B122">
        <v>2</v>
      </c>
      <c r="C122" s="245" t="s">
        <v>280</v>
      </c>
      <c r="D122" s="246">
        <v>41877.78</v>
      </c>
      <c r="E122" s="246"/>
      <c r="F122" s="246"/>
      <c r="G122" s="246">
        <v>41877.78</v>
      </c>
      <c r="H122" t="str">
        <f t="shared" si="1"/>
        <v>ok</v>
      </c>
      <c r="I122" t="s">
        <v>280</v>
      </c>
      <c r="J122" s="1">
        <v>41877.78</v>
      </c>
      <c r="M122" s="1">
        <v>41877.78</v>
      </c>
    </row>
    <row r="123" spans="1:13">
      <c r="B123">
        <v>1</v>
      </c>
      <c r="C123" s="202" t="s">
        <v>281</v>
      </c>
      <c r="D123" s="203">
        <v>34642.46</v>
      </c>
      <c r="E123" s="203"/>
      <c r="F123" s="203"/>
      <c r="G123" s="203">
        <v>34642.46</v>
      </c>
      <c r="H123" t="str">
        <f t="shared" si="1"/>
        <v>ok</v>
      </c>
      <c r="I123" t="s">
        <v>281</v>
      </c>
      <c r="J123" s="1">
        <v>34642.46</v>
      </c>
      <c r="M123" s="1">
        <v>34642.46</v>
      </c>
    </row>
    <row r="124" spans="1:13">
      <c r="B124">
        <v>2</v>
      </c>
      <c r="C124" s="245" t="s">
        <v>282</v>
      </c>
      <c r="D124" s="246">
        <v>84680.45</v>
      </c>
      <c r="E124" s="246"/>
      <c r="F124" s="246"/>
      <c r="G124" s="246">
        <v>84680.45</v>
      </c>
      <c r="H124" t="str">
        <f t="shared" si="1"/>
        <v>ok</v>
      </c>
      <c r="I124" t="s">
        <v>282</v>
      </c>
      <c r="J124" s="1">
        <v>84680.45</v>
      </c>
      <c r="M124" s="1">
        <v>84680.45</v>
      </c>
    </row>
    <row r="125" spans="1:13">
      <c r="B125">
        <v>1</v>
      </c>
      <c r="C125" s="202" t="s">
        <v>283</v>
      </c>
      <c r="D125" s="203">
        <v>242.07</v>
      </c>
      <c r="E125" s="203"/>
      <c r="F125" s="203"/>
      <c r="G125" s="203">
        <v>242.07</v>
      </c>
      <c r="H125" t="str">
        <f t="shared" si="1"/>
        <v>ok</v>
      </c>
      <c r="I125" t="s">
        <v>283</v>
      </c>
      <c r="J125" s="1">
        <v>242.07</v>
      </c>
      <c r="M125" s="1">
        <v>242.07</v>
      </c>
    </row>
    <row r="126" spans="1:13">
      <c r="B126">
        <v>2</v>
      </c>
      <c r="C126" s="245" t="s">
        <v>284</v>
      </c>
      <c r="D126" s="246">
        <v>18702.2</v>
      </c>
      <c r="E126" s="246"/>
      <c r="F126" s="246"/>
      <c r="G126" s="246">
        <v>18702.2</v>
      </c>
      <c r="H126" t="str">
        <f t="shared" si="1"/>
        <v>ok</v>
      </c>
      <c r="I126" t="s">
        <v>284</v>
      </c>
      <c r="J126" s="1">
        <v>18702.2</v>
      </c>
      <c r="M126" s="1">
        <v>18702.2</v>
      </c>
    </row>
    <row r="127" spans="1:13">
      <c r="B127">
        <v>1</v>
      </c>
      <c r="C127" s="202" t="s">
        <v>285</v>
      </c>
      <c r="D127" s="203">
        <v>45021.04</v>
      </c>
      <c r="E127" s="203"/>
      <c r="F127" s="203"/>
      <c r="G127" s="203">
        <v>45021.04</v>
      </c>
      <c r="H127" t="str">
        <f t="shared" si="1"/>
        <v>ok</v>
      </c>
      <c r="I127" t="s">
        <v>285</v>
      </c>
      <c r="J127" s="1">
        <v>45021.04</v>
      </c>
      <c r="M127" s="1">
        <v>45021.04</v>
      </c>
    </row>
    <row r="128" spans="1:13">
      <c r="B128">
        <v>2</v>
      </c>
      <c r="C128" s="245" t="s">
        <v>286</v>
      </c>
      <c r="D128" s="246">
        <v>11249.07</v>
      </c>
      <c r="E128" s="246"/>
      <c r="F128" s="246"/>
      <c r="G128" s="246">
        <v>11249.07</v>
      </c>
      <c r="H128" t="str">
        <f t="shared" si="1"/>
        <v>ok</v>
      </c>
      <c r="I128" t="s">
        <v>286</v>
      </c>
      <c r="J128" s="1">
        <v>11249.07</v>
      </c>
      <c r="M128" s="1">
        <v>11249.07</v>
      </c>
    </row>
    <row r="129" spans="1:13">
      <c r="B129">
        <v>1</v>
      </c>
      <c r="C129" s="202" t="s">
        <v>287</v>
      </c>
      <c r="D129" s="203">
        <v>191833.42</v>
      </c>
      <c r="E129" s="203"/>
      <c r="F129" s="203"/>
      <c r="G129" s="203">
        <v>191833.42</v>
      </c>
      <c r="H129" t="str">
        <f t="shared" si="1"/>
        <v>ok</v>
      </c>
      <c r="I129" t="s">
        <v>287</v>
      </c>
      <c r="J129" s="1">
        <v>191833.42</v>
      </c>
      <c r="M129" s="1">
        <v>191833.42</v>
      </c>
    </row>
    <row r="130" spans="1:13">
      <c r="B130">
        <v>2</v>
      </c>
      <c r="C130" s="245" t="s">
        <v>288</v>
      </c>
      <c r="D130" s="246">
        <v>45838.32</v>
      </c>
      <c r="E130" s="246"/>
      <c r="F130" s="246"/>
      <c r="G130" s="246">
        <v>45838.32</v>
      </c>
      <c r="H130" t="str">
        <f t="shared" si="1"/>
        <v>ok</v>
      </c>
      <c r="I130" t="s">
        <v>288</v>
      </c>
      <c r="J130" s="1">
        <v>45838.32</v>
      </c>
      <c r="M130" s="1">
        <v>45838.32</v>
      </c>
    </row>
    <row r="131" spans="1:13">
      <c r="B131">
        <v>1</v>
      </c>
      <c r="C131" s="202" t="s">
        <v>371</v>
      </c>
      <c r="D131" s="203">
        <v>25092</v>
      </c>
      <c r="E131" s="203"/>
      <c r="F131" s="203"/>
      <c r="G131" s="203">
        <v>25092</v>
      </c>
      <c r="H131" t="str">
        <f t="shared" si="1"/>
        <v>ok</v>
      </c>
      <c r="I131" t="s">
        <v>371</v>
      </c>
      <c r="J131" s="1">
        <v>25092</v>
      </c>
      <c r="M131" s="1">
        <v>25092</v>
      </c>
    </row>
    <row r="132" spans="1:13">
      <c r="B132">
        <v>2</v>
      </c>
      <c r="C132" s="245" t="s">
        <v>480</v>
      </c>
      <c r="D132" s="246">
        <v>208395.59</v>
      </c>
      <c r="E132" s="246"/>
      <c r="F132" s="246"/>
      <c r="G132" s="246">
        <v>208395.59</v>
      </c>
      <c r="H132" t="str">
        <f t="shared" si="1"/>
        <v>ok</v>
      </c>
      <c r="I132" t="s">
        <v>480</v>
      </c>
      <c r="J132" s="1">
        <v>208395.59</v>
      </c>
      <c r="M132" s="1">
        <v>208395.59</v>
      </c>
    </row>
    <row r="133" spans="1:13">
      <c r="B133">
        <v>1</v>
      </c>
      <c r="C133" s="202" t="s">
        <v>372</v>
      </c>
      <c r="D133" s="203">
        <v>58130.67</v>
      </c>
      <c r="E133" s="203"/>
      <c r="F133" s="203"/>
      <c r="G133" s="203">
        <v>58130.67</v>
      </c>
      <c r="H133" t="str">
        <f t="shared" si="1"/>
        <v>ok</v>
      </c>
      <c r="I133" t="s">
        <v>372</v>
      </c>
      <c r="J133" s="1">
        <v>58130.67</v>
      </c>
      <c r="M133" s="1">
        <v>58130.67</v>
      </c>
    </row>
    <row r="134" spans="1:13">
      <c r="B134">
        <v>2</v>
      </c>
      <c r="C134" s="245" t="s">
        <v>481</v>
      </c>
      <c r="D134" s="246">
        <v>472.56</v>
      </c>
      <c r="E134" s="246"/>
      <c r="F134" s="246"/>
      <c r="G134" s="246">
        <v>472.56</v>
      </c>
      <c r="H134" t="str">
        <f t="shared" si="1"/>
        <v>ok</v>
      </c>
      <c r="I134" t="s">
        <v>481</v>
      </c>
      <c r="J134" s="1">
        <v>472.56</v>
      </c>
      <c r="M134" s="1">
        <v>472.56</v>
      </c>
    </row>
    <row r="135" spans="1:13">
      <c r="A135" t="s">
        <v>222</v>
      </c>
      <c r="B135">
        <v>1</v>
      </c>
      <c r="C135" s="200" t="s">
        <v>289</v>
      </c>
      <c r="D135" s="201">
        <v>318566.65000000002</v>
      </c>
      <c r="E135" s="201">
        <v>0</v>
      </c>
      <c r="F135" s="201">
        <v>0</v>
      </c>
      <c r="G135" s="201">
        <v>318566.65000000002</v>
      </c>
      <c r="H135" t="str">
        <f t="shared" si="1"/>
        <v>ok</v>
      </c>
      <c r="I135" t="s">
        <v>289</v>
      </c>
      <c r="J135" s="1">
        <v>318566.65000000002</v>
      </c>
      <c r="K135" s="1">
        <v>0</v>
      </c>
      <c r="L135" s="1">
        <v>0</v>
      </c>
      <c r="M135" s="1">
        <v>318566.65000000002</v>
      </c>
    </row>
    <row r="136" spans="1:13">
      <c r="B136">
        <v>2</v>
      </c>
      <c r="C136" s="245" t="s">
        <v>290</v>
      </c>
      <c r="D136" s="246">
        <v>143760.79999999999</v>
      </c>
      <c r="E136" s="246"/>
      <c r="F136" s="246"/>
      <c r="G136" s="246">
        <v>143760.79999999999</v>
      </c>
      <c r="H136" t="str">
        <f t="shared" ref="H136:H183" si="2">IF(I136=C136,"ok","REVISAR")</f>
        <v>ok</v>
      </c>
      <c r="I136" t="s">
        <v>290</v>
      </c>
      <c r="J136" s="1">
        <v>143760.79999999999</v>
      </c>
      <c r="M136" s="1">
        <v>143760.79999999999</v>
      </c>
    </row>
    <row r="137" spans="1:13">
      <c r="B137">
        <v>1</v>
      </c>
      <c r="C137" s="202" t="s">
        <v>291</v>
      </c>
      <c r="D137" s="203">
        <v>78726.41</v>
      </c>
      <c r="E137" s="203"/>
      <c r="F137" s="203"/>
      <c r="G137" s="203">
        <v>78726.41</v>
      </c>
      <c r="H137" t="str">
        <f t="shared" si="2"/>
        <v>ok</v>
      </c>
      <c r="I137" t="s">
        <v>291</v>
      </c>
      <c r="J137" s="1">
        <v>78726.41</v>
      </c>
      <c r="M137" s="1">
        <v>78726.41</v>
      </c>
    </row>
    <row r="138" spans="1:13">
      <c r="B138">
        <v>2</v>
      </c>
      <c r="C138" s="245" t="s">
        <v>292</v>
      </c>
      <c r="D138" s="246">
        <v>42623.11</v>
      </c>
      <c r="E138" s="246"/>
      <c r="F138" s="246"/>
      <c r="G138" s="246">
        <v>42623.11</v>
      </c>
      <c r="H138" t="str">
        <f t="shared" si="2"/>
        <v>ok</v>
      </c>
      <c r="I138" t="s">
        <v>292</v>
      </c>
      <c r="J138" s="1">
        <v>42623.11</v>
      </c>
      <c r="M138" s="1">
        <v>42623.11</v>
      </c>
    </row>
    <row r="139" spans="1:13">
      <c r="B139">
        <v>1</v>
      </c>
      <c r="C139" s="202" t="s">
        <v>293</v>
      </c>
      <c r="D139" s="203">
        <v>51319</v>
      </c>
      <c r="E139" s="203"/>
      <c r="F139" s="203"/>
      <c r="G139" s="203">
        <v>51319</v>
      </c>
      <c r="H139" t="str">
        <f t="shared" si="2"/>
        <v>ok</v>
      </c>
      <c r="I139" t="s">
        <v>293</v>
      </c>
      <c r="J139" s="1">
        <v>51319</v>
      </c>
      <c r="M139" s="1">
        <v>51319</v>
      </c>
    </row>
    <row r="140" spans="1:13">
      <c r="B140">
        <v>2</v>
      </c>
      <c r="C140" s="245" t="s">
        <v>294</v>
      </c>
      <c r="D140" s="246">
        <v>2137.33</v>
      </c>
      <c r="E140" s="246"/>
      <c r="F140" s="246"/>
      <c r="G140" s="246">
        <v>2137.33</v>
      </c>
      <c r="H140" t="str">
        <f t="shared" si="2"/>
        <v>ok</v>
      </c>
      <c r="I140" t="s">
        <v>294</v>
      </c>
      <c r="J140" s="1">
        <v>2137.33</v>
      </c>
      <c r="M140" s="1">
        <v>2137.33</v>
      </c>
    </row>
    <row r="141" spans="1:13">
      <c r="A141" t="s">
        <v>222</v>
      </c>
      <c r="B141">
        <v>1</v>
      </c>
      <c r="C141" s="200" t="s">
        <v>295</v>
      </c>
      <c r="D141" s="201">
        <v>39400</v>
      </c>
      <c r="E141" s="201">
        <v>0</v>
      </c>
      <c r="F141" s="201">
        <v>0</v>
      </c>
      <c r="G141" s="201">
        <v>39400</v>
      </c>
      <c r="H141" t="str">
        <f t="shared" si="2"/>
        <v>ok</v>
      </c>
      <c r="I141" t="s">
        <v>295</v>
      </c>
      <c r="J141" s="1">
        <v>39400</v>
      </c>
      <c r="K141" s="1">
        <v>0</v>
      </c>
      <c r="L141" s="1">
        <v>0</v>
      </c>
      <c r="M141" s="1">
        <v>39400</v>
      </c>
    </row>
    <row r="142" spans="1:13">
      <c r="C142" s="202" t="s">
        <v>491</v>
      </c>
      <c r="D142" s="201">
        <v>5400</v>
      </c>
      <c r="E142" s="201"/>
      <c r="F142" s="201"/>
      <c r="G142" s="201">
        <v>5400</v>
      </c>
      <c r="H142" t="str">
        <f t="shared" si="2"/>
        <v>ok</v>
      </c>
      <c r="I142" t="s">
        <v>491</v>
      </c>
      <c r="J142" s="1">
        <v>5400</v>
      </c>
      <c r="M142" s="1">
        <v>5400</v>
      </c>
    </row>
    <row r="143" spans="1:13">
      <c r="C143" s="202" t="s">
        <v>492</v>
      </c>
      <c r="D143" s="201">
        <v>34000</v>
      </c>
      <c r="E143" s="201"/>
      <c r="F143" s="201"/>
      <c r="G143" s="201">
        <v>34000</v>
      </c>
      <c r="H143" t="str">
        <f t="shared" si="2"/>
        <v>ok</v>
      </c>
      <c r="I143" t="s">
        <v>492</v>
      </c>
      <c r="J143" s="1">
        <v>34000</v>
      </c>
      <c r="M143" s="1">
        <v>34000</v>
      </c>
    </row>
    <row r="144" spans="1:13">
      <c r="A144" t="s">
        <v>222</v>
      </c>
      <c r="B144">
        <v>2</v>
      </c>
      <c r="C144" s="247" t="s">
        <v>296</v>
      </c>
      <c r="D144" s="248">
        <v>125426.32</v>
      </c>
      <c r="E144" s="248">
        <v>0</v>
      </c>
      <c r="F144" s="248">
        <v>0</v>
      </c>
      <c r="G144" s="248">
        <v>125426.32</v>
      </c>
      <c r="H144" t="str">
        <f t="shared" si="2"/>
        <v>ok</v>
      </c>
      <c r="I144" t="s">
        <v>296</v>
      </c>
      <c r="J144" s="1">
        <v>125426.32</v>
      </c>
      <c r="K144" s="1">
        <v>0</v>
      </c>
      <c r="L144" s="1">
        <v>0</v>
      </c>
      <c r="M144" s="1">
        <v>125426.32</v>
      </c>
    </row>
    <row r="145" spans="1:13">
      <c r="B145">
        <v>1</v>
      </c>
      <c r="C145" s="202" t="s">
        <v>438</v>
      </c>
      <c r="D145" s="201">
        <v>19200</v>
      </c>
      <c r="E145" s="201"/>
      <c r="F145" s="201"/>
      <c r="G145" s="201">
        <v>19200</v>
      </c>
      <c r="H145" t="str">
        <f t="shared" si="2"/>
        <v>ok</v>
      </c>
      <c r="I145" t="s">
        <v>438</v>
      </c>
      <c r="J145" s="1">
        <v>19200</v>
      </c>
      <c r="M145" s="1">
        <v>19200</v>
      </c>
    </row>
    <row r="146" spans="1:13">
      <c r="B146">
        <v>2</v>
      </c>
      <c r="C146" s="245" t="s">
        <v>297</v>
      </c>
      <c r="D146" s="246">
        <v>106226.32</v>
      </c>
      <c r="E146" s="246"/>
      <c r="F146" s="246"/>
      <c r="G146" s="246">
        <v>106226.32</v>
      </c>
      <c r="H146" t="str">
        <f t="shared" si="2"/>
        <v>ok</v>
      </c>
      <c r="I146" t="s">
        <v>297</v>
      </c>
      <c r="J146" s="1">
        <v>106226.32</v>
      </c>
      <c r="M146" s="1">
        <v>106226.32</v>
      </c>
    </row>
    <row r="147" spans="1:13">
      <c r="A147" t="s">
        <v>222</v>
      </c>
      <c r="B147">
        <v>1</v>
      </c>
      <c r="C147" s="200" t="s">
        <v>298</v>
      </c>
      <c r="D147" s="201">
        <v>12288.78</v>
      </c>
      <c r="E147" s="201"/>
      <c r="F147" s="203"/>
      <c r="G147" s="201">
        <v>12288.78</v>
      </c>
      <c r="H147" t="str">
        <f t="shared" si="2"/>
        <v>ok</v>
      </c>
      <c r="I147" t="s">
        <v>298</v>
      </c>
      <c r="J147" s="1">
        <v>12288.78</v>
      </c>
      <c r="M147" s="1">
        <v>12288.78</v>
      </c>
    </row>
    <row r="148" spans="1:13">
      <c r="A148" t="s">
        <v>222</v>
      </c>
      <c r="B148">
        <v>2</v>
      </c>
      <c r="C148" s="247" t="s">
        <v>299</v>
      </c>
      <c r="D148" s="248">
        <f>SUM(D149:D151)</f>
        <v>29358.699999999997</v>
      </c>
      <c r="E148" s="248">
        <v>0</v>
      </c>
      <c r="F148" s="248">
        <v>0</v>
      </c>
      <c r="G148" s="248">
        <f>SUM(G149:G151)</f>
        <v>29358.699999999997</v>
      </c>
      <c r="H148" t="str">
        <f t="shared" si="2"/>
        <v>ok</v>
      </c>
      <c r="I148" t="s">
        <v>299</v>
      </c>
      <c r="J148" s="1">
        <f>+D148</f>
        <v>29358.699999999997</v>
      </c>
      <c r="K148" s="1">
        <v>0</v>
      </c>
      <c r="L148" s="1">
        <v>0</v>
      </c>
      <c r="M148" s="1">
        <f>+J148</f>
        <v>29358.699999999997</v>
      </c>
    </row>
    <row r="149" spans="1:13">
      <c r="B149">
        <v>1</v>
      </c>
      <c r="C149" s="202" t="s">
        <v>300</v>
      </c>
      <c r="D149" s="203">
        <v>9945.32</v>
      </c>
      <c r="E149" s="203"/>
      <c r="F149" s="203"/>
      <c r="G149" s="203">
        <v>9945.32</v>
      </c>
      <c r="H149" t="str">
        <f t="shared" si="2"/>
        <v>ok</v>
      </c>
      <c r="I149" t="s">
        <v>300</v>
      </c>
      <c r="J149" s="1">
        <v>9945.32</v>
      </c>
      <c r="M149" s="1">
        <v>9945.32</v>
      </c>
    </row>
    <row r="150" spans="1:13">
      <c r="B150">
        <v>2</v>
      </c>
      <c r="C150" s="245" t="s">
        <v>301</v>
      </c>
      <c r="D150" s="246">
        <f>360+8453.3</f>
        <v>8813.2999999999993</v>
      </c>
      <c r="E150" s="246"/>
      <c r="F150" s="246"/>
      <c r="G150" s="246">
        <f>360+8453.3</f>
        <v>8813.2999999999993</v>
      </c>
      <c r="H150" t="str">
        <f t="shared" si="2"/>
        <v>ok</v>
      </c>
      <c r="I150" t="s">
        <v>301</v>
      </c>
      <c r="J150" s="1">
        <f>360+8453.3</f>
        <v>8813.2999999999993</v>
      </c>
      <c r="M150" s="1">
        <f>+J150</f>
        <v>8813.2999999999993</v>
      </c>
    </row>
    <row r="151" spans="1:13">
      <c r="B151">
        <v>1</v>
      </c>
      <c r="C151" s="202" t="s">
        <v>302</v>
      </c>
      <c r="D151" s="203">
        <v>10600.08</v>
      </c>
      <c r="E151" s="203"/>
      <c r="F151" s="203"/>
      <c r="G151" s="203">
        <v>10600.08</v>
      </c>
      <c r="H151" t="str">
        <f t="shared" si="2"/>
        <v>ok</v>
      </c>
      <c r="I151" t="s">
        <v>302</v>
      </c>
      <c r="J151" s="1">
        <v>10600.08</v>
      </c>
      <c r="M151" s="1">
        <v>10600.08</v>
      </c>
    </row>
    <row r="152" spans="1:13">
      <c r="A152" t="s">
        <v>222</v>
      </c>
      <c r="B152">
        <v>2</v>
      </c>
      <c r="C152" s="247" t="s">
        <v>303</v>
      </c>
      <c r="D152" s="248">
        <v>19480</v>
      </c>
      <c r="E152" s="246"/>
      <c r="F152" s="246"/>
      <c r="G152" s="248">
        <v>19480</v>
      </c>
      <c r="H152" t="str">
        <f t="shared" si="2"/>
        <v>ok</v>
      </c>
      <c r="I152" t="s">
        <v>303</v>
      </c>
      <c r="J152" s="1">
        <v>19480</v>
      </c>
      <c r="M152" s="1">
        <v>19480</v>
      </c>
    </row>
    <row r="153" spans="1:13">
      <c r="A153" t="s">
        <v>222</v>
      </c>
      <c r="B153">
        <v>1</v>
      </c>
      <c r="C153" s="200" t="s">
        <v>304</v>
      </c>
      <c r="D153" s="201">
        <v>132585.93</v>
      </c>
      <c r="E153" s="201"/>
      <c r="F153" s="201"/>
      <c r="G153" s="201">
        <v>132585.93</v>
      </c>
      <c r="H153" t="str">
        <f t="shared" si="2"/>
        <v>ok</v>
      </c>
      <c r="I153" t="s">
        <v>304</v>
      </c>
      <c r="J153" s="1">
        <v>132585.93</v>
      </c>
      <c r="M153" s="1">
        <v>132585.93</v>
      </c>
    </row>
    <row r="154" spans="1:13">
      <c r="A154" t="s">
        <v>222</v>
      </c>
      <c r="B154">
        <v>2</v>
      </c>
      <c r="C154" s="247" t="s">
        <v>305</v>
      </c>
      <c r="D154" s="248">
        <v>9159.26</v>
      </c>
      <c r="E154" s="248"/>
      <c r="F154" s="246"/>
      <c r="G154" s="248">
        <v>9159.26</v>
      </c>
      <c r="H154" t="str">
        <f t="shared" si="2"/>
        <v>ok</v>
      </c>
      <c r="I154" t="s">
        <v>305</v>
      </c>
      <c r="J154" s="1">
        <v>9159.26</v>
      </c>
      <c r="M154" s="1">
        <v>9159.26</v>
      </c>
    </row>
    <row r="155" spans="1:13">
      <c r="A155" t="s">
        <v>222</v>
      </c>
      <c r="B155">
        <v>1</v>
      </c>
      <c r="C155" s="200" t="s">
        <v>306</v>
      </c>
      <c r="D155" s="201"/>
      <c r="E155" s="203"/>
      <c r="F155" s="203"/>
      <c r="G155" s="201"/>
      <c r="H155" t="str">
        <f t="shared" si="2"/>
        <v>ok</v>
      </c>
      <c r="I155" t="s">
        <v>306</v>
      </c>
    </row>
    <row r="156" spans="1:13">
      <c r="A156" t="s">
        <v>222</v>
      </c>
      <c r="B156">
        <v>2</v>
      </c>
      <c r="C156" s="247" t="s">
        <v>342</v>
      </c>
      <c r="D156" s="246">
        <v>1173.3</v>
      </c>
      <c r="E156" s="246"/>
      <c r="F156" s="246"/>
      <c r="G156" s="248">
        <v>1173.3</v>
      </c>
      <c r="H156" t="str">
        <f t="shared" si="2"/>
        <v>ok</v>
      </c>
      <c r="I156" t="s">
        <v>342</v>
      </c>
      <c r="J156" s="1">
        <v>1173.3</v>
      </c>
      <c r="M156" s="1">
        <v>1173.3</v>
      </c>
    </row>
    <row r="157" spans="1:13">
      <c r="A157" t="s">
        <v>222</v>
      </c>
      <c r="B157">
        <v>1</v>
      </c>
      <c r="C157" s="200" t="s">
        <v>307</v>
      </c>
      <c r="D157" s="201">
        <v>72756.347393000004</v>
      </c>
      <c r="E157" s="201">
        <v>0</v>
      </c>
      <c r="F157" s="201">
        <v>0</v>
      </c>
      <c r="G157" s="201">
        <v>72756.347393000004</v>
      </c>
      <c r="H157" t="str">
        <f t="shared" si="2"/>
        <v>ok</v>
      </c>
      <c r="I157" t="s">
        <v>307</v>
      </c>
      <c r="J157" s="1">
        <v>72756.347393000004</v>
      </c>
      <c r="K157" s="1">
        <v>0</v>
      </c>
      <c r="L157" s="1">
        <v>0</v>
      </c>
      <c r="M157" s="1">
        <v>72756.347393000004</v>
      </c>
    </row>
    <row r="158" spans="1:13">
      <c r="B158">
        <v>2</v>
      </c>
      <c r="C158" s="245" t="s">
        <v>308</v>
      </c>
      <c r="D158" s="246">
        <v>71316.347393000004</v>
      </c>
      <c r="E158" s="246"/>
      <c r="F158" s="246"/>
      <c r="G158" s="246">
        <v>71316.347393000004</v>
      </c>
      <c r="H158" t="str">
        <f t="shared" si="2"/>
        <v>ok</v>
      </c>
      <c r="I158" t="s">
        <v>308</v>
      </c>
      <c r="J158" s="1">
        <v>71316.347393000004</v>
      </c>
      <c r="M158" s="1">
        <v>71316.347393000004</v>
      </c>
    </row>
    <row r="159" spans="1:13">
      <c r="B159">
        <v>1</v>
      </c>
      <c r="C159" s="202" t="s">
        <v>309</v>
      </c>
      <c r="D159" s="203">
        <v>1440</v>
      </c>
      <c r="E159" s="203"/>
      <c r="F159" s="203"/>
      <c r="G159" s="203">
        <v>1440</v>
      </c>
      <c r="H159" t="str">
        <f t="shared" si="2"/>
        <v>ok</v>
      </c>
      <c r="I159" t="s">
        <v>309</v>
      </c>
      <c r="J159" s="1">
        <v>1440</v>
      </c>
      <c r="M159" s="1">
        <v>1440</v>
      </c>
    </row>
    <row r="160" spans="1:13">
      <c r="A160" t="s">
        <v>222</v>
      </c>
      <c r="B160">
        <v>2</v>
      </c>
      <c r="C160" s="247" t="s">
        <v>373</v>
      </c>
      <c r="D160" s="248">
        <v>2165.75</v>
      </c>
      <c r="E160" s="248"/>
      <c r="F160" s="248"/>
      <c r="G160" s="248">
        <v>2165.75</v>
      </c>
      <c r="H160" t="str">
        <f t="shared" si="2"/>
        <v>ok</v>
      </c>
      <c r="I160" t="s">
        <v>373</v>
      </c>
      <c r="J160" s="1">
        <v>2165.75</v>
      </c>
      <c r="M160" s="1">
        <v>2165.75</v>
      </c>
    </row>
    <row r="161" spans="1:13">
      <c r="A161" t="s">
        <v>222</v>
      </c>
      <c r="B161">
        <v>1</v>
      </c>
      <c r="C161" s="200" t="s">
        <v>310</v>
      </c>
      <c r="D161" s="201">
        <v>55597.440000000002</v>
      </c>
      <c r="E161" s="201"/>
      <c r="F161" s="201"/>
      <c r="G161" s="201">
        <v>55597.440000000002</v>
      </c>
      <c r="H161" t="str">
        <f t="shared" si="2"/>
        <v>ok</v>
      </c>
      <c r="I161" t="s">
        <v>310</v>
      </c>
      <c r="J161" s="1">
        <v>55597.440000000002</v>
      </c>
      <c r="M161" s="1">
        <v>55597.440000000002</v>
      </c>
    </row>
    <row r="162" spans="1:13">
      <c r="A162" t="s">
        <v>222</v>
      </c>
      <c r="B162">
        <v>2</v>
      </c>
      <c r="C162" s="247" t="s">
        <v>311</v>
      </c>
      <c r="D162" s="248">
        <v>6328.2703460000002</v>
      </c>
      <c r="E162" s="248"/>
      <c r="F162" s="248"/>
      <c r="G162" s="248">
        <v>6328.2703460000002</v>
      </c>
      <c r="H162" t="str">
        <f t="shared" si="2"/>
        <v>ok</v>
      </c>
      <c r="I162" t="s">
        <v>311</v>
      </c>
      <c r="J162" s="1">
        <v>6328.2703460000002</v>
      </c>
      <c r="M162" s="1">
        <v>6328.2703460000002</v>
      </c>
    </row>
    <row r="163" spans="1:13">
      <c r="A163" t="s">
        <v>222</v>
      </c>
      <c r="B163">
        <v>1</v>
      </c>
      <c r="C163" s="200" t="s">
        <v>312</v>
      </c>
      <c r="D163" s="201"/>
      <c r="E163" s="201"/>
      <c r="F163" s="203"/>
      <c r="G163" s="201"/>
      <c r="H163" t="str">
        <f t="shared" si="2"/>
        <v>ok</v>
      </c>
      <c r="I163" t="s">
        <v>312</v>
      </c>
    </row>
    <row r="164" spans="1:13">
      <c r="A164" t="s">
        <v>222</v>
      </c>
      <c r="B164">
        <v>2</v>
      </c>
      <c r="C164" s="247" t="s">
        <v>439</v>
      </c>
      <c r="D164" s="248">
        <v>84055.230337999994</v>
      </c>
      <c r="E164" s="248"/>
      <c r="F164" s="246"/>
      <c r="G164" s="248">
        <v>84055.230337999994</v>
      </c>
      <c r="H164" t="str">
        <f t="shared" si="2"/>
        <v>ok</v>
      </c>
      <c r="I164" t="s">
        <v>439</v>
      </c>
      <c r="J164" s="1">
        <v>84055.230337999994</v>
      </c>
      <c r="M164" s="1">
        <v>84055.230337999994</v>
      </c>
    </row>
    <row r="165" spans="1:13">
      <c r="A165" s="212" t="s">
        <v>222</v>
      </c>
      <c r="B165">
        <v>1</v>
      </c>
      <c r="C165" s="200" t="s">
        <v>482</v>
      </c>
      <c r="D165" s="201">
        <v>38441.61</v>
      </c>
      <c r="E165" s="201"/>
      <c r="F165" s="203"/>
      <c r="G165" s="201">
        <v>38441.61</v>
      </c>
      <c r="H165" t="str">
        <f t="shared" si="2"/>
        <v>ok</v>
      </c>
      <c r="I165" t="s">
        <v>482</v>
      </c>
      <c r="J165" s="1">
        <v>38441.61</v>
      </c>
      <c r="M165" s="1">
        <v>38441.61</v>
      </c>
    </row>
    <row r="166" spans="1:13">
      <c r="A166" t="s">
        <v>222</v>
      </c>
      <c r="B166">
        <v>2</v>
      </c>
      <c r="C166" s="247" t="s">
        <v>440</v>
      </c>
      <c r="D166" s="246">
        <v>114777.61244300001</v>
      </c>
      <c r="E166" s="246"/>
      <c r="F166" s="246"/>
      <c r="G166" s="248">
        <v>114777.61244300001</v>
      </c>
      <c r="H166" t="str">
        <f t="shared" si="2"/>
        <v>ok</v>
      </c>
      <c r="I166" t="s">
        <v>440</v>
      </c>
      <c r="J166" s="1">
        <v>114777.61244300001</v>
      </c>
      <c r="M166" s="1">
        <v>114777.61244300001</v>
      </c>
    </row>
    <row r="167" spans="1:13">
      <c r="A167" t="s">
        <v>222</v>
      </c>
      <c r="B167">
        <v>1</v>
      </c>
      <c r="C167" s="200" t="s">
        <v>313</v>
      </c>
      <c r="D167" s="201"/>
      <c r="E167" s="201"/>
      <c r="F167" s="201"/>
      <c r="G167" s="201"/>
      <c r="H167" t="str">
        <f t="shared" si="2"/>
        <v>ok</v>
      </c>
      <c r="I167" t="s">
        <v>313</v>
      </c>
    </row>
    <row r="168" spans="1:13">
      <c r="A168" t="s">
        <v>222</v>
      </c>
      <c r="B168">
        <v>2</v>
      </c>
      <c r="C168" s="247" t="s">
        <v>314</v>
      </c>
      <c r="D168" s="248">
        <v>1408</v>
      </c>
      <c r="E168" s="246"/>
      <c r="F168" s="246"/>
      <c r="G168" s="248">
        <v>1408</v>
      </c>
      <c r="H168" t="str">
        <f t="shared" si="2"/>
        <v>ok</v>
      </c>
      <c r="I168" t="s">
        <v>314</v>
      </c>
      <c r="J168" s="1">
        <v>1408</v>
      </c>
      <c r="M168" s="1">
        <v>1408</v>
      </c>
    </row>
    <row r="169" spans="1:13">
      <c r="A169" t="s">
        <v>222</v>
      </c>
      <c r="B169">
        <v>1</v>
      </c>
      <c r="C169" s="200" t="s">
        <v>315</v>
      </c>
      <c r="D169" s="201"/>
      <c r="E169" s="201"/>
      <c r="F169" s="201"/>
      <c r="G169" s="201"/>
      <c r="H169" t="str">
        <f t="shared" si="2"/>
        <v>ok</v>
      </c>
      <c r="I169" t="s">
        <v>315</v>
      </c>
    </row>
    <row r="170" spans="1:13">
      <c r="A170" t="s">
        <v>222</v>
      </c>
      <c r="B170">
        <v>2</v>
      </c>
      <c r="C170" s="247" t="s">
        <v>316</v>
      </c>
      <c r="D170" s="248"/>
      <c r="E170" s="246"/>
      <c r="F170" s="246"/>
      <c r="G170" s="248"/>
      <c r="H170" t="str">
        <f t="shared" si="2"/>
        <v>ok</v>
      </c>
      <c r="I170" t="s">
        <v>316</v>
      </c>
    </row>
    <row r="171" spans="1:13">
      <c r="A171" t="s">
        <v>222</v>
      </c>
      <c r="B171">
        <v>1</v>
      </c>
      <c r="C171" s="200" t="s">
        <v>317</v>
      </c>
      <c r="D171" s="201">
        <v>43318.29</v>
      </c>
      <c r="E171" s="201">
        <v>0</v>
      </c>
      <c r="F171" s="201">
        <v>0</v>
      </c>
      <c r="G171" s="201">
        <v>43318.29</v>
      </c>
      <c r="H171" t="str">
        <f t="shared" si="2"/>
        <v>ok</v>
      </c>
      <c r="I171" t="s">
        <v>317</v>
      </c>
      <c r="J171" s="1">
        <v>43318.29</v>
      </c>
      <c r="K171" s="1">
        <v>0</v>
      </c>
      <c r="L171" s="1">
        <v>0</v>
      </c>
      <c r="M171" s="1">
        <v>43318.29</v>
      </c>
    </row>
    <row r="172" spans="1:13">
      <c r="B172">
        <v>2</v>
      </c>
      <c r="C172" s="245" t="s">
        <v>318</v>
      </c>
      <c r="D172" s="246">
        <v>43318.29</v>
      </c>
      <c r="E172" s="246"/>
      <c r="F172" s="246"/>
      <c r="G172" s="246">
        <v>43318.29</v>
      </c>
      <c r="H172" t="str">
        <f t="shared" si="2"/>
        <v>ok</v>
      </c>
      <c r="I172" t="s">
        <v>318</v>
      </c>
      <c r="J172" s="1">
        <v>43318.29</v>
      </c>
      <c r="M172" s="1">
        <v>43318.29</v>
      </c>
    </row>
    <row r="173" spans="1:13">
      <c r="B173">
        <v>1</v>
      </c>
      <c r="C173" s="202" t="s">
        <v>319</v>
      </c>
      <c r="D173" s="203"/>
      <c r="E173" s="203"/>
      <c r="F173" s="203"/>
      <c r="G173" s="203"/>
      <c r="H173" t="str">
        <f t="shared" si="2"/>
        <v>ok</v>
      </c>
      <c r="I173" t="s">
        <v>319</v>
      </c>
    </row>
    <row r="174" spans="1:13">
      <c r="A174" t="s">
        <v>222</v>
      </c>
      <c r="B174">
        <v>2</v>
      </c>
      <c r="C174" s="247" t="s">
        <v>320</v>
      </c>
      <c r="D174" s="248">
        <v>229474.65</v>
      </c>
      <c r="E174" s="248">
        <v>504</v>
      </c>
      <c r="F174" s="248">
        <v>0</v>
      </c>
      <c r="G174" s="248">
        <v>229978.65</v>
      </c>
      <c r="H174" t="str">
        <f t="shared" si="2"/>
        <v>ok</v>
      </c>
      <c r="I174" t="s">
        <v>320</v>
      </c>
      <c r="J174" s="1">
        <v>229474.65</v>
      </c>
      <c r="K174" s="1">
        <v>504</v>
      </c>
      <c r="L174" s="1">
        <v>0</v>
      </c>
      <c r="M174" s="1">
        <v>229978.65</v>
      </c>
    </row>
    <row r="175" spans="1:13">
      <c r="B175">
        <v>1</v>
      </c>
      <c r="C175" s="202" t="s">
        <v>321</v>
      </c>
      <c r="D175" s="203">
        <v>43745.31</v>
      </c>
      <c r="E175" s="203">
        <v>504</v>
      </c>
      <c r="F175" s="203"/>
      <c r="G175" s="203">
        <v>44249.31</v>
      </c>
      <c r="H175" t="str">
        <f t="shared" si="2"/>
        <v>ok</v>
      </c>
      <c r="I175" t="s">
        <v>321</v>
      </c>
      <c r="J175" s="1">
        <v>43745.31</v>
      </c>
      <c r="K175" s="1">
        <v>504</v>
      </c>
      <c r="M175" s="1">
        <v>44249.31</v>
      </c>
    </row>
    <row r="176" spans="1:13">
      <c r="B176">
        <v>2</v>
      </c>
      <c r="C176" s="245" t="s">
        <v>322</v>
      </c>
      <c r="D176" s="246">
        <v>42675.8</v>
      </c>
      <c r="E176" s="246"/>
      <c r="F176" s="246"/>
      <c r="G176" s="246">
        <v>42675.8</v>
      </c>
      <c r="H176" t="str">
        <f t="shared" si="2"/>
        <v>ok</v>
      </c>
      <c r="I176" t="s">
        <v>322</v>
      </c>
      <c r="J176" s="1">
        <v>42675.8</v>
      </c>
      <c r="M176" s="1">
        <v>42675.8</v>
      </c>
    </row>
    <row r="177" spans="1:13">
      <c r="B177">
        <v>1</v>
      </c>
      <c r="C177" s="202" t="s">
        <v>323</v>
      </c>
      <c r="D177" s="203">
        <v>143053.54</v>
      </c>
      <c r="E177" s="203"/>
      <c r="F177" s="203"/>
      <c r="G177" s="203">
        <v>143053.54</v>
      </c>
      <c r="H177" t="str">
        <f t="shared" si="2"/>
        <v>ok</v>
      </c>
      <c r="I177" t="s">
        <v>323</v>
      </c>
      <c r="J177" s="1">
        <v>143053.54</v>
      </c>
      <c r="M177" s="1">
        <v>143053.54</v>
      </c>
    </row>
    <row r="178" spans="1:13">
      <c r="A178" t="s">
        <v>222</v>
      </c>
      <c r="B178">
        <v>2</v>
      </c>
      <c r="C178" s="247" t="s">
        <v>324</v>
      </c>
      <c r="D178" s="246"/>
      <c r="E178" s="246"/>
      <c r="F178" s="246"/>
      <c r="G178" s="248"/>
      <c r="H178" t="str">
        <f t="shared" si="2"/>
        <v>ok</v>
      </c>
      <c r="I178" t="s">
        <v>324</v>
      </c>
    </row>
    <row r="179" spans="1:13">
      <c r="B179">
        <v>1</v>
      </c>
      <c r="C179" s="202" t="s">
        <v>325</v>
      </c>
      <c r="D179" s="203"/>
      <c r="E179" s="203"/>
      <c r="F179" s="203"/>
      <c r="G179" s="203"/>
      <c r="H179" t="str">
        <f t="shared" si="2"/>
        <v>ok</v>
      </c>
      <c r="I179" t="s">
        <v>325</v>
      </c>
    </row>
    <row r="180" spans="1:13">
      <c r="B180">
        <v>2</v>
      </c>
      <c r="C180" s="245" t="s">
        <v>326</v>
      </c>
      <c r="D180" s="246"/>
      <c r="E180" s="246"/>
      <c r="F180" s="246"/>
      <c r="G180" s="246"/>
      <c r="H180" t="str">
        <f t="shared" si="2"/>
        <v>ok</v>
      </c>
      <c r="I180" t="s">
        <v>326</v>
      </c>
    </row>
    <row r="181" spans="1:13">
      <c r="A181" t="s">
        <v>222</v>
      </c>
      <c r="B181">
        <v>1</v>
      </c>
      <c r="C181" s="200" t="s">
        <v>327</v>
      </c>
      <c r="D181" s="201">
        <v>4574.3500000000004</v>
      </c>
      <c r="E181" s="201">
        <v>0</v>
      </c>
      <c r="F181" s="201">
        <v>0</v>
      </c>
      <c r="G181" s="201">
        <v>4574.3500000000004</v>
      </c>
      <c r="H181" t="str">
        <f t="shared" si="2"/>
        <v>ok</v>
      </c>
      <c r="I181" t="s">
        <v>327</v>
      </c>
      <c r="J181" s="1">
        <v>4574.3500000000004</v>
      </c>
      <c r="K181" s="1">
        <v>0</v>
      </c>
      <c r="L181" s="1">
        <v>0</v>
      </c>
      <c r="M181" s="1">
        <v>4574.3500000000004</v>
      </c>
    </row>
    <row r="182" spans="1:13">
      <c r="C182" s="202" t="s">
        <v>493</v>
      </c>
      <c r="D182" s="201">
        <v>3974.32</v>
      </c>
      <c r="E182" s="201"/>
      <c r="F182" s="201"/>
      <c r="G182" s="201">
        <v>3974.32</v>
      </c>
      <c r="H182" t="str">
        <f t="shared" si="2"/>
        <v>ok</v>
      </c>
      <c r="I182" t="s">
        <v>493</v>
      </c>
      <c r="J182" s="1">
        <v>3974.32</v>
      </c>
      <c r="M182" s="1">
        <v>3974.32</v>
      </c>
    </row>
    <row r="183" spans="1:13">
      <c r="B183">
        <v>2</v>
      </c>
      <c r="C183" s="245" t="s">
        <v>328</v>
      </c>
      <c r="D183" s="246">
        <v>600.03</v>
      </c>
      <c r="E183" s="246"/>
      <c r="F183" s="246"/>
      <c r="G183" s="246">
        <v>600.03</v>
      </c>
      <c r="H183" t="str">
        <f t="shared" si="2"/>
        <v>ok</v>
      </c>
      <c r="I183" t="s">
        <v>328</v>
      </c>
      <c r="J183" s="1">
        <v>600.03</v>
      </c>
      <c r="M183" s="1">
        <v>600.03</v>
      </c>
    </row>
    <row r="184" spans="1:13">
      <c r="B184">
        <v>1</v>
      </c>
      <c r="C184" s="193"/>
      <c r="D184" s="192"/>
      <c r="E184" s="192"/>
      <c r="F184" s="192"/>
      <c r="G184" s="192"/>
    </row>
    <row r="185" spans="1:13">
      <c r="A185" t="s">
        <v>222</v>
      </c>
      <c r="B185">
        <v>2</v>
      </c>
      <c r="C185" s="194" t="s">
        <v>329</v>
      </c>
      <c r="D185" s="195">
        <v>0</v>
      </c>
      <c r="E185" s="195">
        <f>+E7+E9+E17+E23+E28+E31+E32+E33+E35+E38+E43+E45+E48+E50+E51+E53+E54+E57+E58+E60+E61+E62+E81+E91+E94+E95+E105+E110+E119+E120+E135+E141+E144+E147+E148+E152+E153+E154+E155+E156+E157+E160+E161+E162+E163+E164+E166+E167+E168+E169+E170+E171+E174+E178+E181+E79+E165+E89+E90</f>
        <v>584.64</v>
      </c>
      <c r="F185" s="195">
        <f>+F7+F9+F17+F23+F28+F31+F32+F33+F35+F38+F43+F45+F48+F50+F51+F53+F54+F57+F58+F60+F61+F62+F81+F91+F94+F95+F105+F110+F119+F120+F135+F141+F144+F147+F148+F152+F153+F154+F155+F156+F157+F160+F161+F162+F163+F164+F166+F167+F168+F169+F170+F171+F174+F178+F181+F79</f>
        <v>584.64</v>
      </c>
      <c r="G185" s="195">
        <f>+D185+E185-F185</f>
        <v>0</v>
      </c>
    </row>
    <row r="186" spans="1:13">
      <c r="C186" s="193"/>
      <c r="D186" s="192"/>
      <c r="E186" s="192"/>
      <c r="F186" s="192"/>
      <c r="G186" s="192"/>
    </row>
    <row r="187" spans="1:13">
      <c r="C187" s="196"/>
      <c r="D187" s="197"/>
      <c r="E187" s="197"/>
      <c r="F187" s="197"/>
      <c r="G187" s="197"/>
    </row>
    <row r="188" spans="1:13">
      <c r="C188" s="193"/>
      <c r="D188" s="192"/>
      <c r="E188" s="192"/>
      <c r="F188" s="192"/>
      <c r="G188" s="192"/>
    </row>
    <row r="189" spans="1:13">
      <c r="C189" s="196"/>
      <c r="D189" s="197"/>
      <c r="E189" s="197"/>
      <c r="F189" s="197"/>
      <c r="G189" s="197"/>
      <c r="J189" s="1">
        <v>0</v>
      </c>
      <c r="K189" s="1">
        <v>0</v>
      </c>
      <c r="L189" s="1">
        <v>0</v>
      </c>
      <c r="M189" s="1">
        <v>0</v>
      </c>
    </row>
    <row r="190" spans="1:13">
      <c r="C190" s="193"/>
      <c r="D190" s="192"/>
      <c r="E190" s="192"/>
      <c r="F190" s="192"/>
      <c r="G190" s="192"/>
      <c r="J190" s="1">
        <v>0</v>
      </c>
      <c r="K190" s="1">
        <v>0</v>
      </c>
      <c r="L190" s="1">
        <v>0</v>
      </c>
      <c r="M190" s="1">
        <v>0</v>
      </c>
    </row>
    <row r="191" spans="1:13">
      <c r="C191" s="196"/>
      <c r="D191" s="197"/>
      <c r="E191" s="197"/>
      <c r="F191" s="197"/>
      <c r="G191" s="197"/>
      <c r="I191" t="s">
        <v>327</v>
      </c>
      <c r="J191" s="1">
        <v>0</v>
      </c>
      <c r="K191" s="1">
        <v>0</v>
      </c>
      <c r="L191" s="1">
        <v>76.150000000000006</v>
      </c>
      <c r="M191" s="1">
        <v>76.150000000000006</v>
      </c>
    </row>
    <row r="192" spans="1:13">
      <c r="C192" s="193"/>
      <c r="D192" s="192"/>
      <c r="E192" s="192"/>
      <c r="F192" s="192"/>
      <c r="G192" s="192"/>
      <c r="I192" t="s">
        <v>328</v>
      </c>
      <c r="J192" s="1">
        <v>0</v>
      </c>
      <c r="L192" s="1">
        <v>76.150000000000006</v>
      </c>
      <c r="M192" s="1">
        <v>76.150000000000006</v>
      </c>
    </row>
    <row r="193" spans="3:13">
      <c r="C193" s="196"/>
      <c r="D193" s="197"/>
      <c r="E193" s="197"/>
      <c r="F193" s="197"/>
      <c r="G193" s="197"/>
      <c r="J193" s="1">
        <v>0</v>
      </c>
      <c r="K193" s="1">
        <v>0</v>
      </c>
      <c r="L193" s="1">
        <v>0</v>
      </c>
      <c r="M193" s="1">
        <v>0</v>
      </c>
    </row>
    <row r="194" spans="3:13">
      <c r="C194" s="193"/>
      <c r="D194" s="192"/>
      <c r="E194" s="192"/>
      <c r="F194" s="192"/>
      <c r="G194" s="192"/>
      <c r="J194" s="1">
        <v>0</v>
      </c>
      <c r="K194" s="1">
        <v>0</v>
      </c>
      <c r="L194" s="1">
        <v>0</v>
      </c>
      <c r="M194" s="1">
        <v>0</v>
      </c>
    </row>
    <row r="195" spans="3:13">
      <c r="C195" s="196"/>
      <c r="D195" s="197"/>
      <c r="E195" s="197"/>
      <c r="F195" s="197"/>
      <c r="G195" s="197"/>
    </row>
    <row r="196" spans="3:13">
      <c r="C196" s="193"/>
      <c r="D196" s="192"/>
      <c r="E196" s="192"/>
      <c r="F196" s="192"/>
      <c r="G196" s="192"/>
    </row>
    <row r="197" spans="3:13">
      <c r="C197" s="196"/>
      <c r="D197" s="197"/>
      <c r="E197" s="197"/>
      <c r="F197" s="197"/>
      <c r="G197" s="197"/>
    </row>
    <row r="198" spans="3:13">
      <c r="C198" s="193"/>
      <c r="D198" s="192"/>
      <c r="E198" s="192"/>
      <c r="F198" s="192"/>
      <c r="G198" s="192"/>
    </row>
    <row r="199" spans="3:13">
      <c r="C199" s="196"/>
      <c r="D199" s="197"/>
      <c r="E199" s="197"/>
      <c r="F199" s="197"/>
      <c r="G199" s="197"/>
    </row>
    <row r="200" spans="3:13">
      <c r="C200" s="193"/>
      <c r="D200" s="192"/>
      <c r="E200" s="192"/>
      <c r="F200" s="192"/>
      <c r="G200" s="192"/>
    </row>
    <row r="201" spans="3:13">
      <c r="C201" s="196"/>
      <c r="D201" s="197"/>
      <c r="E201" s="197"/>
      <c r="F201" s="197"/>
      <c r="G201" s="197"/>
    </row>
    <row r="202" spans="3:13">
      <c r="C202" s="193"/>
      <c r="D202" s="192"/>
      <c r="E202" s="192"/>
      <c r="F202" s="192"/>
      <c r="G202" s="192"/>
    </row>
    <row r="203" spans="3:13">
      <c r="C203" s="196"/>
      <c r="D203" s="197"/>
      <c r="E203" s="197"/>
      <c r="F203" s="197"/>
      <c r="G203" s="197"/>
    </row>
    <row r="204" spans="3:13">
      <c r="C204" s="193"/>
      <c r="D204" s="192"/>
      <c r="E204" s="192"/>
      <c r="F204" s="192"/>
      <c r="G204" s="192"/>
    </row>
    <row r="205" spans="3:13">
      <c r="C205" s="196"/>
      <c r="D205" s="197"/>
      <c r="E205" s="197"/>
      <c r="F205" s="197"/>
      <c r="G205" s="197"/>
    </row>
    <row r="206" spans="3:13">
      <c r="C206" s="193"/>
      <c r="D206" s="192"/>
      <c r="E206" s="192"/>
      <c r="F206" s="192"/>
      <c r="G206" s="192"/>
    </row>
    <row r="207" spans="3:13">
      <c r="C207" s="196"/>
      <c r="D207" s="197"/>
      <c r="E207" s="197"/>
      <c r="F207" s="197"/>
      <c r="G207" s="197"/>
    </row>
    <row r="208" spans="3:13">
      <c r="C208" s="193"/>
      <c r="D208" s="192"/>
      <c r="E208" s="192"/>
      <c r="F208" s="192"/>
      <c r="G208" s="192"/>
    </row>
    <row r="209" spans="3:7">
      <c r="C209" s="196"/>
      <c r="D209" s="197"/>
      <c r="E209" s="197"/>
      <c r="F209" s="197"/>
      <c r="G209" s="197"/>
    </row>
    <row r="210" spans="3:7">
      <c r="C210" s="193"/>
      <c r="D210" s="192"/>
      <c r="E210" s="192"/>
      <c r="F210" s="192"/>
      <c r="G210" s="192"/>
    </row>
    <row r="211" spans="3:7">
      <c r="C211" s="196"/>
      <c r="D211" s="197"/>
      <c r="E211" s="197"/>
      <c r="F211" s="197"/>
      <c r="G211" s="197"/>
    </row>
    <row r="212" spans="3:7">
      <c r="C212" s="193"/>
      <c r="D212" s="192"/>
      <c r="E212" s="192"/>
      <c r="F212" s="192"/>
      <c r="G212" s="192"/>
    </row>
    <row r="213" spans="3:7">
      <c r="C213" s="196"/>
      <c r="D213" s="197"/>
      <c r="E213" s="197"/>
      <c r="F213" s="197"/>
      <c r="G213" s="197"/>
    </row>
    <row r="214" spans="3:7">
      <c r="C214" s="193"/>
      <c r="D214" s="192"/>
      <c r="E214" s="192"/>
      <c r="F214" s="192"/>
      <c r="G214" s="192"/>
    </row>
    <row r="215" spans="3:7">
      <c r="C215" s="196"/>
      <c r="D215" s="197"/>
      <c r="E215" s="197"/>
      <c r="F215" s="197"/>
      <c r="G215" s="197"/>
    </row>
    <row r="216" spans="3:7">
      <c r="C216" s="193"/>
      <c r="D216" s="192"/>
      <c r="E216" s="192"/>
      <c r="F216" s="192"/>
      <c r="G216" s="192"/>
    </row>
    <row r="217" spans="3:7">
      <c r="C217" s="196"/>
      <c r="D217" s="197"/>
      <c r="E217" s="197"/>
      <c r="F217" s="197"/>
      <c r="G217" s="197"/>
    </row>
    <row r="218" spans="3:7">
      <c r="C218" s="193"/>
      <c r="D218" s="192"/>
      <c r="E218" s="192"/>
      <c r="F218" s="192"/>
      <c r="G218" s="192"/>
    </row>
    <row r="219" spans="3:7">
      <c r="C219" s="196"/>
      <c r="D219" s="197"/>
      <c r="E219" s="197"/>
      <c r="F219" s="197"/>
      <c r="G219" s="197"/>
    </row>
  </sheetData>
  <autoFilter ref="A5:N190" xr:uid="{00000000-0001-0000-0500-000000000000}"/>
  <mergeCells count="4">
    <mergeCell ref="C1:G1"/>
    <mergeCell ref="C2:G2"/>
    <mergeCell ref="C3:G3"/>
    <mergeCell ref="C4:G4"/>
  </mergeCells>
  <printOptions horizontalCentered="1"/>
  <pageMargins left="0.70866141732283472" right="0.70866141732283472" top="0.74803149606299213" bottom="0.74803149606299213" header="0.31496062992125984" footer="0.31496062992125984"/>
  <pageSetup scale="90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Z78"/>
  <sheetViews>
    <sheetView topLeftCell="A19" zoomScaleNormal="100" workbookViewId="0">
      <selection activeCell="C4" sqref="C4:G4"/>
    </sheetView>
  </sheetViews>
  <sheetFormatPr baseColWidth="10" defaultColWidth="8.88671875" defaultRowHeight="13.2"/>
  <cols>
    <col min="1" max="1" width="4.6640625" style="30" customWidth="1"/>
    <col min="2" max="2" width="3.21875" style="30" customWidth="1"/>
    <col min="3" max="4" width="8.88671875" style="30"/>
    <col min="5" max="5" width="9.44140625" style="30" customWidth="1"/>
    <col min="6" max="6" width="5.44140625" style="30" customWidth="1"/>
    <col min="7" max="7" width="6.5546875" style="30" customWidth="1"/>
    <col min="8" max="8" width="9.5546875" style="30" bestFit="1" customWidth="1"/>
    <col min="9" max="9" width="8.88671875" style="30"/>
    <col min="10" max="10" width="8" style="30" customWidth="1"/>
    <col min="11" max="11" width="5.44140625" style="30" customWidth="1"/>
    <col min="12" max="12" width="8.88671875" style="30"/>
    <col min="13" max="13" width="5.44140625" style="30" customWidth="1"/>
    <col min="14" max="14" width="15" style="30" customWidth="1"/>
    <col min="15" max="15" width="23.109375" style="30" customWidth="1"/>
    <col min="16" max="16" width="3.5546875" style="30" customWidth="1"/>
    <col min="17" max="17" width="4.109375" style="30" customWidth="1"/>
    <col min="18" max="18" width="9.6640625" style="30" bestFit="1" customWidth="1"/>
    <col min="19" max="19" width="13.44140625" style="30" bestFit="1" customWidth="1"/>
    <col min="20" max="20" width="10.5546875" style="30" bestFit="1" customWidth="1"/>
    <col min="21" max="21" width="8.88671875" style="30"/>
    <col min="22" max="22" width="17" style="30" bestFit="1" customWidth="1"/>
    <col min="23" max="23" width="8.88671875" style="30"/>
    <col min="24" max="24" width="14.5546875" style="30" customWidth="1"/>
    <col min="25" max="25" width="8.88671875" style="30"/>
    <col min="26" max="26" width="15.44140625" style="30" bestFit="1" customWidth="1"/>
    <col min="27" max="257" width="8.88671875" style="30"/>
    <col min="258" max="258" width="6.5546875" style="30" customWidth="1"/>
    <col min="259" max="260" width="8.88671875" style="30"/>
    <col min="261" max="261" width="9.44140625" style="30" customWidth="1"/>
    <col min="262" max="262" width="5.44140625" style="30" customWidth="1"/>
    <col min="263" max="263" width="6.5546875" style="30" customWidth="1"/>
    <col min="264" max="264" width="9.5546875" style="30" bestFit="1" customWidth="1"/>
    <col min="265" max="265" width="8.88671875" style="30"/>
    <col min="266" max="266" width="8" style="30" customWidth="1"/>
    <col min="267" max="267" width="5.44140625" style="30" customWidth="1"/>
    <col min="268" max="268" width="8.88671875" style="30"/>
    <col min="269" max="269" width="5.44140625" style="30" customWidth="1"/>
    <col min="270" max="270" width="15" style="30" customWidth="1"/>
    <col min="271" max="271" width="23.109375" style="30" customWidth="1"/>
    <col min="272" max="272" width="5" style="30" customWidth="1"/>
    <col min="273" max="274" width="8.88671875" style="30"/>
    <col min="275" max="275" width="13.44140625" style="30" bestFit="1" customWidth="1"/>
    <col min="276" max="276" width="10.5546875" style="30" bestFit="1" customWidth="1"/>
    <col min="277" max="277" width="8.88671875" style="30"/>
    <col min="278" max="278" width="17" style="30" bestFit="1" customWidth="1"/>
    <col min="279" max="279" width="8.88671875" style="30"/>
    <col min="280" max="280" width="14.5546875" style="30" customWidth="1"/>
    <col min="281" max="281" width="8.88671875" style="30"/>
    <col min="282" max="282" width="15.44140625" style="30" bestFit="1" customWidth="1"/>
    <col min="283" max="513" width="8.88671875" style="30"/>
    <col min="514" max="514" width="6.5546875" style="30" customWidth="1"/>
    <col min="515" max="516" width="8.88671875" style="30"/>
    <col min="517" max="517" width="9.44140625" style="30" customWidth="1"/>
    <col min="518" max="518" width="5.44140625" style="30" customWidth="1"/>
    <col min="519" max="519" width="6.5546875" style="30" customWidth="1"/>
    <col min="520" max="520" width="9.5546875" style="30" bestFit="1" customWidth="1"/>
    <col min="521" max="521" width="8.88671875" style="30"/>
    <col min="522" max="522" width="8" style="30" customWidth="1"/>
    <col min="523" max="523" width="5.44140625" style="30" customWidth="1"/>
    <col min="524" max="524" width="8.88671875" style="30"/>
    <col min="525" max="525" width="5.44140625" style="30" customWidth="1"/>
    <col min="526" max="526" width="15" style="30" customWidth="1"/>
    <col min="527" max="527" width="23.109375" style="30" customWidth="1"/>
    <col min="528" max="528" width="5" style="30" customWidth="1"/>
    <col min="529" max="530" width="8.88671875" style="30"/>
    <col min="531" max="531" width="13.44140625" style="30" bestFit="1" customWidth="1"/>
    <col min="532" max="532" width="10.5546875" style="30" bestFit="1" customWidth="1"/>
    <col min="533" max="533" width="8.88671875" style="30"/>
    <col min="534" max="534" width="17" style="30" bestFit="1" customWidth="1"/>
    <col min="535" max="535" width="8.88671875" style="30"/>
    <col min="536" max="536" width="14.5546875" style="30" customWidth="1"/>
    <col min="537" max="537" width="8.88671875" style="30"/>
    <col min="538" max="538" width="15.44140625" style="30" bestFit="1" customWidth="1"/>
    <col min="539" max="769" width="8.88671875" style="30"/>
    <col min="770" max="770" width="6.5546875" style="30" customWidth="1"/>
    <col min="771" max="772" width="8.88671875" style="30"/>
    <col min="773" max="773" width="9.44140625" style="30" customWidth="1"/>
    <col min="774" max="774" width="5.44140625" style="30" customWidth="1"/>
    <col min="775" max="775" width="6.5546875" style="30" customWidth="1"/>
    <col min="776" max="776" width="9.5546875" style="30" bestFit="1" customWidth="1"/>
    <col min="777" max="777" width="8.88671875" style="30"/>
    <col min="778" max="778" width="8" style="30" customWidth="1"/>
    <col min="779" max="779" width="5.44140625" style="30" customWidth="1"/>
    <col min="780" max="780" width="8.88671875" style="30"/>
    <col min="781" max="781" width="5.44140625" style="30" customWidth="1"/>
    <col min="782" max="782" width="15" style="30" customWidth="1"/>
    <col min="783" max="783" width="23.109375" style="30" customWidth="1"/>
    <col min="784" max="784" width="5" style="30" customWidth="1"/>
    <col min="785" max="786" width="8.88671875" style="30"/>
    <col min="787" max="787" width="13.44140625" style="30" bestFit="1" customWidth="1"/>
    <col min="788" max="788" width="10.5546875" style="30" bestFit="1" customWidth="1"/>
    <col min="789" max="789" width="8.88671875" style="30"/>
    <col min="790" max="790" width="17" style="30" bestFit="1" customWidth="1"/>
    <col min="791" max="791" width="8.88671875" style="30"/>
    <col min="792" max="792" width="14.5546875" style="30" customWidth="1"/>
    <col min="793" max="793" width="8.88671875" style="30"/>
    <col min="794" max="794" width="15.44140625" style="30" bestFit="1" customWidth="1"/>
    <col min="795" max="1025" width="8.88671875" style="30"/>
    <col min="1026" max="1026" width="6.5546875" style="30" customWidth="1"/>
    <col min="1027" max="1028" width="8.88671875" style="30"/>
    <col min="1029" max="1029" width="9.44140625" style="30" customWidth="1"/>
    <col min="1030" max="1030" width="5.44140625" style="30" customWidth="1"/>
    <col min="1031" max="1031" width="6.5546875" style="30" customWidth="1"/>
    <col min="1032" max="1032" width="9.5546875" style="30" bestFit="1" customWidth="1"/>
    <col min="1033" max="1033" width="8.88671875" style="30"/>
    <col min="1034" max="1034" width="8" style="30" customWidth="1"/>
    <col min="1035" max="1035" width="5.44140625" style="30" customWidth="1"/>
    <col min="1036" max="1036" width="8.88671875" style="30"/>
    <col min="1037" max="1037" width="5.44140625" style="30" customWidth="1"/>
    <col min="1038" max="1038" width="15" style="30" customWidth="1"/>
    <col min="1039" max="1039" width="23.109375" style="30" customWidth="1"/>
    <col min="1040" max="1040" width="5" style="30" customWidth="1"/>
    <col min="1041" max="1042" width="8.88671875" style="30"/>
    <col min="1043" max="1043" width="13.44140625" style="30" bestFit="1" customWidth="1"/>
    <col min="1044" max="1044" width="10.5546875" style="30" bestFit="1" customWidth="1"/>
    <col min="1045" max="1045" width="8.88671875" style="30"/>
    <col min="1046" max="1046" width="17" style="30" bestFit="1" customWidth="1"/>
    <col min="1047" max="1047" width="8.88671875" style="30"/>
    <col min="1048" max="1048" width="14.5546875" style="30" customWidth="1"/>
    <col min="1049" max="1049" width="8.88671875" style="30"/>
    <col min="1050" max="1050" width="15.44140625" style="30" bestFit="1" customWidth="1"/>
    <col min="1051" max="1281" width="8.88671875" style="30"/>
    <col min="1282" max="1282" width="6.5546875" style="30" customWidth="1"/>
    <col min="1283" max="1284" width="8.88671875" style="30"/>
    <col min="1285" max="1285" width="9.44140625" style="30" customWidth="1"/>
    <col min="1286" max="1286" width="5.44140625" style="30" customWidth="1"/>
    <col min="1287" max="1287" width="6.5546875" style="30" customWidth="1"/>
    <col min="1288" max="1288" width="9.5546875" style="30" bestFit="1" customWidth="1"/>
    <col min="1289" max="1289" width="8.88671875" style="30"/>
    <col min="1290" max="1290" width="8" style="30" customWidth="1"/>
    <col min="1291" max="1291" width="5.44140625" style="30" customWidth="1"/>
    <col min="1292" max="1292" width="8.88671875" style="30"/>
    <col min="1293" max="1293" width="5.44140625" style="30" customWidth="1"/>
    <col min="1294" max="1294" width="15" style="30" customWidth="1"/>
    <col min="1295" max="1295" width="23.109375" style="30" customWidth="1"/>
    <col min="1296" max="1296" width="5" style="30" customWidth="1"/>
    <col min="1297" max="1298" width="8.88671875" style="30"/>
    <col min="1299" max="1299" width="13.44140625" style="30" bestFit="1" customWidth="1"/>
    <col min="1300" max="1300" width="10.5546875" style="30" bestFit="1" customWidth="1"/>
    <col min="1301" max="1301" width="8.88671875" style="30"/>
    <col min="1302" max="1302" width="17" style="30" bestFit="1" customWidth="1"/>
    <col min="1303" max="1303" width="8.88671875" style="30"/>
    <col min="1304" max="1304" width="14.5546875" style="30" customWidth="1"/>
    <col min="1305" max="1305" width="8.88671875" style="30"/>
    <col min="1306" max="1306" width="15.44140625" style="30" bestFit="1" customWidth="1"/>
    <col min="1307" max="1537" width="8.88671875" style="30"/>
    <col min="1538" max="1538" width="6.5546875" style="30" customWidth="1"/>
    <col min="1539" max="1540" width="8.88671875" style="30"/>
    <col min="1541" max="1541" width="9.44140625" style="30" customWidth="1"/>
    <col min="1542" max="1542" width="5.44140625" style="30" customWidth="1"/>
    <col min="1543" max="1543" width="6.5546875" style="30" customWidth="1"/>
    <col min="1544" max="1544" width="9.5546875" style="30" bestFit="1" customWidth="1"/>
    <col min="1545" max="1545" width="8.88671875" style="30"/>
    <col min="1546" max="1546" width="8" style="30" customWidth="1"/>
    <col min="1547" max="1547" width="5.44140625" style="30" customWidth="1"/>
    <col min="1548" max="1548" width="8.88671875" style="30"/>
    <col min="1549" max="1549" width="5.44140625" style="30" customWidth="1"/>
    <col min="1550" max="1550" width="15" style="30" customWidth="1"/>
    <col min="1551" max="1551" width="23.109375" style="30" customWidth="1"/>
    <col min="1552" max="1552" width="5" style="30" customWidth="1"/>
    <col min="1553" max="1554" width="8.88671875" style="30"/>
    <col min="1555" max="1555" width="13.44140625" style="30" bestFit="1" customWidth="1"/>
    <col min="1556" max="1556" width="10.5546875" style="30" bestFit="1" customWidth="1"/>
    <col min="1557" max="1557" width="8.88671875" style="30"/>
    <col min="1558" max="1558" width="17" style="30" bestFit="1" customWidth="1"/>
    <col min="1559" max="1559" width="8.88671875" style="30"/>
    <col min="1560" max="1560" width="14.5546875" style="30" customWidth="1"/>
    <col min="1561" max="1561" width="8.88671875" style="30"/>
    <col min="1562" max="1562" width="15.44140625" style="30" bestFit="1" customWidth="1"/>
    <col min="1563" max="1793" width="8.88671875" style="30"/>
    <col min="1794" max="1794" width="6.5546875" style="30" customWidth="1"/>
    <col min="1795" max="1796" width="8.88671875" style="30"/>
    <col min="1797" max="1797" width="9.44140625" style="30" customWidth="1"/>
    <col min="1798" max="1798" width="5.44140625" style="30" customWidth="1"/>
    <col min="1799" max="1799" width="6.5546875" style="30" customWidth="1"/>
    <col min="1800" max="1800" width="9.5546875" style="30" bestFit="1" customWidth="1"/>
    <col min="1801" max="1801" width="8.88671875" style="30"/>
    <col min="1802" max="1802" width="8" style="30" customWidth="1"/>
    <col min="1803" max="1803" width="5.44140625" style="30" customWidth="1"/>
    <col min="1804" max="1804" width="8.88671875" style="30"/>
    <col min="1805" max="1805" width="5.44140625" style="30" customWidth="1"/>
    <col min="1806" max="1806" width="15" style="30" customWidth="1"/>
    <col min="1807" max="1807" width="23.109375" style="30" customWidth="1"/>
    <col min="1808" max="1808" width="5" style="30" customWidth="1"/>
    <col min="1809" max="1810" width="8.88671875" style="30"/>
    <col min="1811" max="1811" width="13.44140625" style="30" bestFit="1" customWidth="1"/>
    <col min="1812" max="1812" width="10.5546875" style="30" bestFit="1" customWidth="1"/>
    <col min="1813" max="1813" width="8.88671875" style="30"/>
    <col min="1814" max="1814" width="17" style="30" bestFit="1" customWidth="1"/>
    <col min="1815" max="1815" width="8.88671875" style="30"/>
    <col min="1816" max="1816" width="14.5546875" style="30" customWidth="1"/>
    <col min="1817" max="1817" width="8.88671875" style="30"/>
    <col min="1818" max="1818" width="15.44140625" style="30" bestFit="1" customWidth="1"/>
    <col min="1819" max="2049" width="8.88671875" style="30"/>
    <col min="2050" max="2050" width="6.5546875" style="30" customWidth="1"/>
    <col min="2051" max="2052" width="8.88671875" style="30"/>
    <col min="2053" max="2053" width="9.44140625" style="30" customWidth="1"/>
    <col min="2054" max="2054" width="5.44140625" style="30" customWidth="1"/>
    <col min="2055" max="2055" width="6.5546875" style="30" customWidth="1"/>
    <col min="2056" max="2056" width="9.5546875" style="30" bestFit="1" customWidth="1"/>
    <col min="2057" max="2057" width="8.88671875" style="30"/>
    <col min="2058" max="2058" width="8" style="30" customWidth="1"/>
    <col min="2059" max="2059" width="5.44140625" style="30" customWidth="1"/>
    <col min="2060" max="2060" width="8.88671875" style="30"/>
    <col min="2061" max="2061" width="5.44140625" style="30" customWidth="1"/>
    <col min="2062" max="2062" width="15" style="30" customWidth="1"/>
    <col min="2063" max="2063" width="23.109375" style="30" customWidth="1"/>
    <col min="2064" max="2064" width="5" style="30" customWidth="1"/>
    <col min="2065" max="2066" width="8.88671875" style="30"/>
    <col min="2067" max="2067" width="13.44140625" style="30" bestFit="1" customWidth="1"/>
    <col min="2068" max="2068" width="10.5546875" style="30" bestFit="1" customWidth="1"/>
    <col min="2069" max="2069" width="8.88671875" style="30"/>
    <col min="2070" max="2070" width="17" style="30" bestFit="1" customWidth="1"/>
    <col min="2071" max="2071" width="8.88671875" style="30"/>
    <col min="2072" max="2072" width="14.5546875" style="30" customWidth="1"/>
    <col min="2073" max="2073" width="8.88671875" style="30"/>
    <col min="2074" max="2074" width="15.44140625" style="30" bestFit="1" customWidth="1"/>
    <col min="2075" max="2305" width="8.88671875" style="30"/>
    <col min="2306" max="2306" width="6.5546875" style="30" customWidth="1"/>
    <col min="2307" max="2308" width="8.88671875" style="30"/>
    <col min="2309" max="2309" width="9.44140625" style="30" customWidth="1"/>
    <col min="2310" max="2310" width="5.44140625" style="30" customWidth="1"/>
    <col min="2311" max="2311" width="6.5546875" style="30" customWidth="1"/>
    <col min="2312" max="2312" width="9.5546875" style="30" bestFit="1" customWidth="1"/>
    <col min="2313" max="2313" width="8.88671875" style="30"/>
    <col min="2314" max="2314" width="8" style="30" customWidth="1"/>
    <col min="2315" max="2315" width="5.44140625" style="30" customWidth="1"/>
    <col min="2316" max="2316" width="8.88671875" style="30"/>
    <col min="2317" max="2317" width="5.44140625" style="30" customWidth="1"/>
    <col min="2318" max="2318" width="15" style="30" customWidth="1"/>
    <col min="2319" max="2319" width="23.109375" style="30" customWidth="1"/>
    <col min="2320" max="2320" width="5" style="30" customWidth="1"/>
    <col min="2321" max="2322" width="8.88671875" style="30"/>
    <col min="2323" max="2323" width="13.44140625" style="30" bestFit="1" customWidth="1"/>
    <col min="2324" max="2324" width="10.5546875" style="30" bestFit="1" customWidth="1"/>
    <col min="2325" max="2325" width="8.88671875" style="30"/>
    <col min="2326" max="2326" width="17" style="30" bestFit="1" customWidth="1"/>
    <col min="2327" max="2327" width="8.88671875" style="30"/>
    <col min="2328" max="2328" width="14.5546875" style="30" customWidth="1"/>
    <col min="2329" max="2329" width="8.88671875" style="30"/>
    <col min="2330" max="2330" width="15.44140625" style="30" bestFit="1" customWidth="1"/>
    <col min="2331" max="2561" width="8.88671875" style="30"/>
    <col min="2562" max="2562" width="6.5546875" style="30" customWidth="1"/>
    <col min="2563" max="2564" width="8.88671875" style="30"/>
    <col min="2565" max="2565" width="9.44140625" style="30" customWidth="1"/>
    <col min="2566" max="2566" width="5.44140625" style="30" customWidth="1"/>
    <col min="2567" max="2567" width="6.5546875" style="30" customWidth="1"/>
    <col min="2568" max="2568" width="9.5546875" style="30" bestFit="1" customWidth="1"/>
    <col min="2569" max="2569" width="8.88671875" style="30"/>
    <col min="2570" max="2570" width="8" style="30" customWidth="1"/>
    <col min="2571" max="2571" width="5.44140625" style="30" customWidth="1"/>
    <col min="2572" max="2572" width="8.88671875" style="30"/>
    <col min="2573" max="2573" width="5.44140625" style="30" customWidth="1"/>
    <col min="2574" max="2574" width="15" style="30" customWidth="1"/>
    <col min="2575" max="2575" width="23.109375" style="30" customWidth="1"/>
    <col min="2576" max="2576" width="5" style="30" customWidth="1"/>
    <col min="2577" max="2578" width="8.88671875" style="30"/>
    <col min="2579" max="2579" width="13.44140625" style="30" bestFit="1" customWidth="1"/>
    <col min="2580" max="2580" width="10.5546875" style="30" bestFit="1" customWidth="1"/>
    <col min="2581" max="2581" width="8.88671875" style="30"/>
    <col min="2582" max="2582" width="17" style="30" bestFit="1" customWidth="1"/>
    <col min="2583" max="2583" width="8.88671875" style="30"/>
    <col min="2584" max="2584" width="14.5546875" style="30" customWidth="1"/>
    <col min="2585" max="2585" width="8.88671875" style="30"/>
    <col min="2586" max="2586" width="15.44140625" style="30" bestFit="1" customWidth="1"/>
    <col min="2587" max="2817" width="8.88671875" style="30"/>
    <col min="2818" max="2818" width="6.5546875" style="30" customWidth="1"/>
    <col min="2819" max="2820" width="8.88671875" style="30"/>
    <col min="2821" max="2821" width="9.44140625" style="30" customWidth="1"/>
    <col min="2822" max="2822" width="5.44140625" style="30" customWidth="1"/>
    <col min="2823" max="2823" width="6.5546875" style="30" customWidth="1"/>
    <col min="2824" max="2824" width="9.5546875" style="30" bestFit="1" customWidth="1"/>
    <col min="2825" max="2825" width="8.88671875" style="30"/>
    <col min="2826" max="2826" width="8" style="30" customWidth="1"/>
    <col min="2827" max="2827" width="5.44140625" style="30" customWidth="1"/>
    <col min="2828" max="2828" width="8.88671875" style="30"/>
    <col min="2829" max="2829" width="5.44140625" style="30" customWidth="1"/>
    <col min="2830" max="2830" width="15" style="30" customWidth="1"/>
    <col min="2831" max="2831" width="23.109375" style="30" customWidth="1"/>
    <col min="2832" max="2832" width="5" style="30" customWidth="1"/>
    <col min="2833" max="2834" width="8.88671875" style="30"/>
    <col min="2835" max="2835" width="13.44140625" style="30" bestFit="1" customWidth="1"/>
    <col min="2836" max="2836" width="10.5546875" style="30" bestFit="1" customWidth="1"/>
    <col min="2837" max="2837" width="8.88671875" style="30"/>
    <col min="2838" max="2838" width="17" style="30" bestFit="1" customWidth="1"/>
    <col min="2839" max="2839" width="8.88671875" style="30"/>
    <col min="2840" max="2840" width="14.5546875" style="30" customWidth="1"/>
    <col min="2841" max="2841" width="8.88671875" style="30"/>
    <col min="2842" max="2842" width="15.44140625" style="30" bestFit="1" customWidth="1"/>
    <col min="2843" max="3073" width="8.88671875" style="30"/>
    <col min="3074" max="3074" width="6.5546875" style="30" customWidth="1"/>
    <col min="3075" max="3076" width="8.88671875" style="30"/>
    <col min="3077" max="3077" width="9.44140625" style="30" customWidth="1"/>
    <col min="3078" max="3078" width="5.44140625" style="30" customWidth="1"/>
    <col min="3079" max="3079" width="6.5546875" style="30" customWidth="1"/>
    <col min="3080" max="3080" width="9.5546875" style="30" bestFit="1" customWidth="1"/>
    <col min="3081" max="3081" width="8.88671875" style="30"/>
    <col min="3082" max="3082" width="8" style="30" customWidth="1"/>
    <col min="3083" max="3083" width="5.44140625" style="30" customWidth="1"/>
    <col min="3084" max="3084" width="8.88671875" style="30"/>
    <col min="3085" max="3085" width="5.44140625" style="30" customWidth="1"/>
    <col min="3086" max="3086" width="15" style="30" customWidth="1"/>
    <col min="3087" max="3087" width="23.109375" style="30" customWidth="1"/>
    <col min="3088" max="3088" width="5" style="30" customWidth="1"/>
    <col min="3089" max="3090" width="8.88671875" style="30"/>
    <col min="3091" max="3091" width="13.44140625" style="30" bestFit="1" customWidth="1"/>
    <col min="3092" max="3092" width="10.5546875" style="30" bestFit="1" customWidth="1"/>
    <col min="3093" max="3093" width="8.88671875" style="30"/>
    <col min="3094" max="3094" width="17" style="30" bestFit="1" customWidth="1"/>
    <col min="3095" max="3095" width="8.88671875" style="30"/>
    <col min="3096" max="3096" width="14.5546875" style="30" customWidth="1"/>
    <col min="3097" max="3097" width="8.88671875" style="30"/>
    <col min="3098" max="3098" width="15.44140625" style="30" bestFit="1" customWidth="1"/>
    <col min="3099" max="3329" width="8.88671875" style="30"/>
    <col min="3330" max="3330" width="6.5546875" style="30" customWidth="1"/>
    <col min="3331" max="3332" width="8.88671875" style="30"/>
    <col min="3333" max="3333" width="9.44140625" style="30" customWidth="1"/>
    <col min="3334" max="3334" width="5.44140625" style="30" customWidth="1"/>
    <col min="3335" max="3335" width="6.5546875" style="30" customWidth="1"/>
    <col min="3336" max="3336" width="9.5546875" style="30" bestFit="1" customWidth="1"/>
    <col min="3337" max="3337" width="8.88671875" style="30"/>
    <col min="3338" max="3338" width="8" style="30" customWidth="1"/>
    <col min="3339" max="3339" width="5.44140625" style="30" customWidth="1"/>
    <col min="3340" max="3340" width="8.88671875" style="30"/>
    <col min="3341" max="3341" width="5.44140625" style="30" customWidth="1"/>
    <col min="3342" max="3342" width="15" style="30" customWidth="1"/>
    <col min="3343" max="3343" width="23.109375" style="30" customWidth="1"/>
    <col min="3344" max="3344" width="5" style="30" customWidth="1"/>
    <col min="3345" max="3346" width="8.88671875" style="30"/>
    <col min="3347" max="3347" width="13.44140625" style="30" bestFit="1" customWidth="1"/>
    <col min="3348" max="3348" width="10.5546875" style="30" bestFit="1" customWidth="1"/>
    <col min="3349" max="3349" width="8.88671875" style="30"/>
    <col min="3350" max="3350" width="17" style="30" bestFit="1" customWidth="1"/>
    <col min="3351" max="3351" width="8.88671875" style="30"/>
    <col min="3352" max="3352" width="14.5546875" style="30" customWidth="1"/>
    <col min="3353" max="3353" width="8.88671875" style="30"/>
    <col min="3354" max="3354" width="15.44140625" style="30" bestFit="1" customWidth="1"/>
    <col min="3355" max="3585" width="8.88671875" style="30"/>
    <col min="3586" max="3586" width="6.5546875" style="30" customWidth="1"/>
    <col min="3587" max="3588" width="8.88671875" style="30"/>
    <col min="3589" max="3589" width="9.44140625" style="30" customWidth="1"/>
    <col min="3590" max="3590" width="5.44140625" style="30" customWidth="1"/>
    <col min="3591" max="3591" width="6.5546875" style="30" customWidth="1"/>
    <col min="3592" max="3592" width="9.5546875" style="30" bestFit="1" customWidth="1"/>
    <col min="3593" max="3593" width="8.88671875" style="30"/>
    <col min="3594" max="3594" width="8" style="30" customWidth="1"/>
    <col min="3595" max="3595" width="5.44140625" style="30" customWidth="1"/>
    <col min="3596" max="3596" width="8.88671875" style="30"/>
    <col min="3597" max="3597" width="5.44140625" style="30" customWidth="1"/>
    <col min="3598" max="3598" width="15" style="30" customWidth="1"/>
    <col min="3599" max="3599" width="23.109375" style="30" customWidth="1"/>
    <col min="3600" max="3600" width="5" style="30" customWidth="1"/>
    <col min="3601" max="3602" width="8.88671875" style="30"/>
    <col min="3603" max="3603" width="13.44140625" style="30" bestFit="1" customWidth="1"/>
    <col min="3604" max="3604" width="10.5546875" style="30" bestFit="1" customWidth="1"/>
    <col min="3605" max="3605" width="8.88671875" style="30"/>
    <col min="3606" max="3606" width="17" style="30" bestFit="1" customWidth="1"/>
    <col min="3607" max="3607" width="8.88671875" style="30"/>
    <col min="3608" max="3608" width="14.5546875" style="30" customWidth="1"/>
    <col min="3609" max="3609" width="8.88671875" style="30"/>
    <col min="3610" max="3610" width="15.44140625" style="30" bestFit="1" customWidth="1"/>
    <col min="3611" max="3841" width="8.88671875" style="30"/>
    <col min="3842" max="3842" width="6.5546875" style="30" customWidth="1"/>
    <col min="3843" max="3844" width="8.88671875" style="30"/>
    <col min="3845" max="3845" width="9.44140625" style="30" customWidth="1"/>
    <col min="3846" max="3846" width="5.44140625" style="30" customWidth="1"/>
    <col min="3847" max="3847" width="6.5546875" style="30" customWidth="1"/>
    <col min="3848" max="3848" width="9.5546875" style="30" bestFit="1" customWidth="1"/>
    <col min="3849" max="3849" width="8.88671875" style="30"/>
    <col min="3850" max="3850" width="8" style="30" customWidth="1"/>
    <col min="3851" max="3851" width="5.44140625" style="30" customWidth="1"/>
    <col min="3852" max="3852" width="8.88671875" style="30"/>
    <col min="3853" max="3853" width="5.44140625" style="30" customWidth="1"/>
    <col min="3854" max="3854" width="15" style="30" customWidth="1"/>
    <col min="3855" max="3855" width="23.109375" style="30" customWidth="1"/>
    <col min="3856" max="3856" width="5" style="30" customWidth="1"/>
    <col min="3857" max="3858" width="8.88671875" style="30"/>
    <col min="3859" max="3859" width="13.44140625" style="30" bestFit="1" customWidth="1"/>
    <col min="3860" max="3860" width="10.5546875" style="30" bestFit="1" customWidth="1"/>
    <col min="3861" max="3861" width="8.88671875" style="30"/>
    <col min="3862" max="3862" width="17" style="30" bestFit="1" customWidth="1"/>
    <col min="3863" max="3863" width="8.88671875" style="30"/>
    <col min="3864" max="3864" width="14.5546875" style="30" customWidth="1"/>
    <col min="3865" max="3865" width="8.88671875" style="30"/>
    <col min="3866" max="3866" width="15.44140625" style="30" bestFit="1" customWidth="1"/>
    <col min="3867" max="4097" width="8.88671875" style="30"/>
    <col min="4098" max="4098" width="6.5546875" style="30" customWidth="1"/>
    <col min="4099" max="4100" width="8.88671875" style="30"/>
    <col min="4101" max="4101" width="9.44140625" style="30" customWidth="1"/>
    <col min="4102" max="4102" width="5.44140625" style="30" customWidth="1"/>
    <col min="4103" max="4103" width="6.5546875" style="30" customWidth="1"/>
    <col min="4104" max="4104" width="9.5546875" style="30" bestFit="1" customWidth="1"/>
    <col min="4105" max="4105" width="8.88671875" style="30"/>
    <col min="4106" max="4106" width="8" style="30" customWidth="1"/>
    <col min="4107" max="4107" width="5.44140625" style="30" customWidth="1"/>
    <col min="4108" max="4108" width="8.88671875" style="30"/>
    <col min="4109" max="4109" width="5.44140625" style="30" customWidth="1"/>
    <col min="4110" max="4110" width="15" style="30" customWidth="1"/>
    <col min="4111" max="4111" width="23.109375" style="30" customWidth="1"/>
    <col min="4112" max="4112" width="5" style="30" customWidth="1"/>
    <col min="4113" max="4114" width="8.88671875" style="30"/>
    <col min="4115" max="4115" width="13.44140625" style="30" bestFit="1" customWidth="1"/>
    <col min="4116" max="4116" width="10.5546875" style="30" bestFit="1" customWidth="1"/>
    <col min="4117" max="4117" width="8.88671875" style="30"/>
    <col min="4118" max="4118" width="17" style="30" bestFit="1" customWidth="1"/>
    <col min="4119" max="4119" width="8.88671875" style="30"/>
    <col min="4120" max="4120" width="14.5546875" style="30" customWidth="1"/>
    <col min="4121" max="4121" width="8.88671875" style="30"/>
    <col min="4122" max="4122" width="15.44140625" style="30" bestFit="1" customWidth="1"/>
    <col min="4123" max="4353" width="8.88671875" style="30"/>
    <col min="4354" max="4354" width="6.5546875" style="30" customWidth="1"/>
    <col min="4355" max="4356" width="8.88671875" style="30"/>
    <col min="4357" max="4357" width="9.44140625" style="30" customWidth="1"/>
    <col min="4358" max="4358" width="5.44140625" style="30" customWidth="1"/>
    <col min="4359" max="4359" width="6.5546875" style="30" customWidth="1"/>
    <col min="4360" max="4360" width="9.5546875" style="30" bestFit="1" customWidth="1"/>
    <col min="4361" max="4361" width="8.88671875" style="30"/>
    <col min="4362" max="4362" width="8" style="30" customWidth="1"/>
    <col min="4363" max="4363" width="5.44140625" style="30" customWidth="1"/>
    <col min="4364" max="4364" width="8.88671875" style="30"/>
    <col min="4365" max="4365" width="5.44140625" style="30" customWidth="1"/>
    <col min="4366" max="4366" width="15" style="30" customWidth="1"/>
    <col min="4367" max="4367" width="23.109375" style="30" customWidth="1"/>
    <col min="4368" max="4368" width="5" style="30" customWidth="1"/>
    <col min="4369" max="4370" width="8.88671875" style="30"/>
    <col min="4371" max="4371" width="13.44140625" style="30" bestFit="1" customWidth="1"/>
    <col min="4372" max="4372" width="10.5546875" style="30" bestFit="1" customWidth="1"/>
    <col min="4373" max="4373" width="8.88671875" style="30"/>
    <col min="4374" max="4374" width="17" style="30" bestFit="1" customWidth="1"/>
    <col min="4375" max="4375" width="8.88671875" style="30"/>
    <col min="4376" max="4376" width="14.5546875" style="30" customWidth="1"/>
    <col min="4377" max="4377" width="8.88671875" style="30"/>
    <col min="4378" max="4378" width="15.44140625" style="30" bestFit="1" customWidth="1"/>
    <col min="4379" max="4609" width="8.88671875" style="30"/>
    <col min="4610" max="4610" width="6.5546875" style="30" customWidth="1"/>
    <col min="4611" max="4612" width="8.88671875" style="30"/>
    <col min="4613" max="4613" width="9.44140625" style="30" customWidth="1"/>
    <col min="4614" max="4614" width="5.44140625" style="30" customWidth="1"/>
    <col min="4615" max="4615" width="6.5546875" style="30" customWidth="1"/>
    <col min="4616" max="4616" width="9.5546875" style="30" bestFit="1" customWidth="1"/>
    <col min="4617" max="4617" width="8.88671875" style="30"/>
    <col min="4618" max="4618" width="8" style="30" customWidth="1"/>
    <col min="4619" max="4619" width="5.44140625" style="30" customWidth="1"/>
    <col min="4620" max="4620" width="8.88671875" style="30"/>
    <col min="4621" max="4621" width="5.44140625" style="30" customWidth="1"/>
    <col min="4622" max="4622" width="15" style="30" customWidth="1"/>
    <col min="4623" max="4623" width="23.109375" style="30" customWidth="1"/>
    <col min="4624" max="4624" width="5" style="30" customWidth="1"/>
    <col min="4625" max="4626" width="8.88671875" style="30"/>
    <col min="4627" max="4627" width="13.44140625" style="30" bestFit="1" customWidth="1"/>
    <col min="4628" max="4628" width="10.5546875" style="30" bestFit="1" customWidth="1"/>
    <col min="4629" max="4629" width="8.88671875" style="30"/>
    <col min="4630" max="4630" width="17" style="30" bestFit="1" customWidth="1"/>
    <col min="4631" max="4631" width="8.88671875" style="30"/>
    <col min="4632" max="4632" width="14.5546875" style="30" customWidth="1"/>
    <col min="4633" max="4633" width="8.88671875" style="30"/>
    <col min="4634" max="4634" width="15.44140625" style="30" bestFit="1" customWidth="1"/>
    <col min="4635" max="4865" width="8.88671875" style="30"/>
    <col min="4866" max="4866" width="6.5546875" style="30" customWidth="1"/>
    <col min="4867" max="4868" width="8.88671875" style="30"/>
    <col min="4869" max="4869" width="9.44140625" style="30" customWidth="1"/>
    <col min="4870" max="4870" width="5.44140625" style="30" customWidth="1"/>
    <col min="4871" max="4871" width="6.5546875" style="30" customWidth="1"/>
    <col min="4872" max="4872" width="9.5546875" style="30" bestFit="1" customWidth="1"/>
    <col min="4873" max="4873" width="8.88671875" style="30"/>
    <col min="4874" max="4874" width="8" style="30" customWidth="1"/>
    <col min="4875" max="4875" width="5.44140625" style="30" customWidth="1"/>
    <col min="4876" max="4876" width="8.88671875" style="30"/>
    <col min="4877" max="4877" width="5.44140625" style="30" customWidth="1"/>
    <col min="4878" max="4878" width="15" style="30" customWidth="1"/>
    <col min="4879" max="4879" width="23.109375" style="30" customWidth="1"/>
    <col min="4880" max="4880" width="5" style="30" customWidth="1"/>
    <col min="4881" max="4882" width="8.88671875" style="30"/>
    <col min="4883" max="4883" width="13.44140625" style="30" bestFit="1" customWidth="1"/>
    <col min="4884" max="4884" width="10.5546875" style="30" bestFit="1" customWidth="1"/>
    <col min="4885" max="4885" width="8.88671875" style="30"/>
    <col min="4886" max="4886" width="17" style="30" bestFit="1" customWidth="1"/>
    <col min="4887" max="4887" width="8.88671875" style="30"/>
    <col min="4888" max="4888" width="14.5546875" style="30" customWidth="1"/>
    <col min="4889" max="4889" width="8.88671875" style="30"/>
    <col min="4890" max="4890" width="15.44140625" style="30" bestFit="1" customWidth="1"/>
    <col min="4891" max="5121" width="8.88671875" style="30"/>
    <col min="5122" max="5122" width="6.5546875" style="30" customWidth="1"/>
    <col min="5123" max="5124" width="8.88671875" style="30"/>
    <col min="5125" max="5125" width="9.44140625" style="30" customWidth="1"/>
    <col min="5126" max="5126" width="5.44140625" style="30" customWidth="1"/>
    <col min="5127" max="5127" width="6.5546875" style="30" customWidth="1"/>
    <col min="5128" max="5128" width="9.5546875" style="30" bestFit="1" customWidth="1"/>
    <col min="5129" max="5129" width="8.88671875" style="30"/>
    <col min="5130" max="5130" width="8" style="30" customWidth="1"/>
    <col min="5131" max="5131" width="5.44140625" style="30" customWidth="1"/>
    <col min="5132" max="5132" width="8.88671875" style="30"/>
    <col min="5133" max="5133" width="5.44140625" style="30" customWidth="1"/>
    <col min="5134" max="5134" width="15" style="30" customWidth="1"/>
    <col min="5135" max="5135" width="23.109375" style="30" customWidth="1"/>
    <col min="5136" max="5136" width="5" style="30" customWidth="1"/>
    <col min="5137" max="5138" width="8.88671875" style="30"/>
    <col min="5139" max="5139" width="13.44140625" style="30" bestFit="1" customWidth="1"/>
    <col min="5140" max="5140" width="10.5546875" style="30" bestFit="1" customWidth="1"/>
    <col min="5141" max="5141" width="8.88671875" style="30"/>
    <col min="5142" max="5142" width="17" style="30" bestFit="1" customWidth="1"/>
    <col min="5143" max="5143" width="8.88671875" style="30"/>
    <col min="5144" max="5144" width="14.5546875" style="30" customWidth="1"/>
    <col min="5145" max="5145" width="8.88671875" style="30"/>
    <col min="5146" max="5146" width="15.44140625" style="30" bestFit="1" customWidth="1"/>
    <col min="5147" max="5377" width="8.88671875" style="30"/>
    <col min="5378" max="5378" width="6.5546875" style="30" customWidth="1"/>
    <col min="5379" max="5380" width="8.88671875" style="30"/>
    <col min="5381" max="5381" width="9.44140625" style="30" customWidth="1"/>
    <col min="5382" max="5382" width="5.44140625" style="30" customWidth="1"/>
    <col min="5383" max="5383" width="6.5546875" style="30" customWidth="1"/>
    <col min="5384" max="5384" width="9.5546875" style="30" bestFit="1" customWidth="1"/>
    <col min="5385" max="5385" width="8.88671875" style="30"/>
    <col min="5386" max="5386" width="8" style="30" customWidth="1"/>
    <col min="5387" max="5387" width="5.44140625" style="30" customWidth="1"/>
    <col min="5388" max="5388" width="8.88671875" style="30"/>
    <col min="5389" max="5389" width="5.44140625" style="30" customWidth="1"/>
    <col min="5390" max="5390" width="15" style="30" customWidth="1"/>
    <col min="5391" max="5391" width="23.109375" style="30" customWidth="1"/>
    <col min="5392" max="5392" width="5" style="30" customWidth="1"/>
    <col min="5393" max="5394" width="8.88671875" style="30"/>
    <col min="5395" max="5395" width="13.44140625" style="30" bestFit="1" customWidth="1"/>
    <col min="5396" max="5396" width="10.5546875" style="30" bestFit="1" customWidth="1"/>
    <col min="5397" max="5397" width="8.88671875" style="30"/>
    <col min="5398" max="5398" width="17" style="30" bestFit="1" customWidth="1"/>
    <col min="5399" max="5399" width="8.88671875" style="30"/>
    <col min="5400" max="5400" width="14.5546875" style="30" customWidth="1"/>
    <col min="5401" max="5401" width="8.88671875" style="30"/>
    <col min="5402" max="5402" width="15.44140625" style="30" bestFit="1" customWidth="1"/>
    <col min="5403" max="5633" width="8.88671875" style="30"/>
    <col min="5634" max="5634" width="6.5546875" style="30" customWidth="1"/>
    <col min="5635" max="5636" width="8.88671875" style="30"/>
    <col min="5637" max="5637" width="9.44140625" style="30" customWidth="1"/>
    <col min="5638" max="5638" width="5.44140625" style="30" customWidth="1"/>
    <col min="5639" max="5639" width="6.5546875" style="30" customWidth="1"/>
    <col min="5640" max="5640" width="9.5546875" style="30" bestFit="1" customWidth="1"/>
    <col min="5641" max="5641" width="8.88671875" style="30"/>
    <col min="5642" max="5642" width="8" style="30" customWidth="1"/>
    <col min="5643" max="5643" width="5.44140625" style="30" customWidth="1"/>
    <col min="5644" max="5644" width="8.88671875" style="30"/>
    <col min="5645" max="5645" width="5.44140625" style="30" customWidth="1"/>
    <col min="5646" max="5646" width="15" style="30" customWidth="1"/>
    <col min="5647" max="5647" width="23.109375" style="30" customWidth="1"/>
    <col min="5648" max="5648" width="5" style="30" customWidth="1"/>
    <col min="5649" max="5650" width="8.88671875" style="30"/>
    <col min="5651" max="5651" width="13.44140625" style="30" bestFit="1" customWidth="1"/>
    <col min="5652" max="5652" width="10.5546875" style="30" bestFit="1" customWidth="1"/>
    <col min="5653" max="5653" width="8.88671875" style="30"/>
    <col min="5654" max="5654" width="17" style="30" bestFit="1" customWidth="1"/>
    <col min="5655" max="5655" width="8.88671875" style="30"/>
    <col min="5656" max="5656" width="14.5546875" style="30" customWidth="1"/>
    <col min="5657" max="5657" width="8.88671875" style="30"/>
    <col min="5658" max="5658" width="15.44140625" style="30" bestFit="1" customWidth="1"/>
    <col min="5659" max="5889" width="8.88671875" style="30"/>
    <col min="5890" max="5890" width="6.5546875" style="30" customWidth="1"/>
    <col min="5891" max="5892" width="8.88671875" style="30"/>
    <col min="5893" max="5893" width="9.44140625" style="30" customWidth="1"/>
    <col min="5894" max="5894" width="5.44140625" style="30" customWidth="1"/>
    <col min="5895" max="5895" width="6.5546875" style="30" customWidth="1"/>
    <col min="5896" max="5896" width="9.5546875" style="30" bestFit="1" customWidth="1"/>
    <col min="5897" max="5897" width="8.88671875" style="30"/>
    <col min="5898" max="5898" width="8" style="30" customWidth="1"/>
    <col min="5899" max="5899" width="5.44140625" style="30" customWidth="1"/>
    <col min="5900" max="5900" width="8.88671875" style="30"/>
    <col min="5901" max="5901" width="5.44140625" style="30" customWidth="1"/>
    <col min="5902" max="5902" width="15" style="30" customWidth="1"/>
    <col min="5903" max="5903" width="23.109375" style="30" customWidth="1"/>
    <col min="5904" max="5904" width="5" style="30" customWidth="1"/>
    <col min="5905" max="5906" width="8.88671875" style="30"/>
    <col min="5907" max="5907" width="13.44140625" style="30" bestFit="1" customWidth="1"/>
    <col min="5908" max="5908" width="10.5546875" style="30" bestFit="1" customWidth="1"/>
    <col min="5909" max="5909" width="8.88671875" style="30"/>
    <col min="5910" max="5910" width="17" style="30" bestFit="1" customWidth="1"/>
    <col min="5911" max="5911" width="8.88671875" style="30"/>
    <col min="5912" max="5912" width="14.5546875" style="30" customWidth="1"/>
    <col min="5913" max="5913" width="8.88671875" style="30"/>
    <col min="5914" max="5914" width="15.44140625" style="30" bestFit="1" customWidth="1"/>
    <col min="5915" max="6145" width="8.88671875" style="30"/>
    <col min="6146" max="6146" width="6.5546875" style="30" customWidth="1"/>
    <col min="6147" max="6148" width="8.88671875" style="30"/>
    <col min="6149" max="6149" width="9.44140625" style="30" customWidth="1"/>
    <col min="6150" max="6150" width="5.44140625" style="30" customWidth="1"/>
    <col min="6151" max="6151" width="6.5546875" style="30" customWidth="1"/>
    <col min="6152" max="6152" width="9.5546875" style="30" bestFit="1" customWidth="1"/>
    <col min="6153" max="6153" width="8.88671875" style="30"/>
    <col min="6154" max="6154" width="8" style="30" customWidth="1"/>
    <col min="6155" max="6155" width="5.44140625" style="30" customWidth="1"/>
    <col min="6156" max="6156" width="8.88671875" style="30"/>
    <col min="6157" max="6157" width="5.44140625" style="30" customWidth="1"/>
    <col min="6158" max="6158" width="15" style="30" customWidth="1"/>
    <col min="6159" max="6159" width="23.109375" style="30" customWidth="1"/>
    <col min="6160" max="6160" width="5" style="30" customWidth="1"/>
    <col min="6161" max="6162" width="8.88671875" style="30"/>
    <col min="6163" max="6163" width="13.44140625" style="30" bestFit="1" customWidth="1"/>
    <col min="6164" max="6164" width="10.5546875" style="30" bestFit="1" customWidth="1"/>
    <col min="6165" max="6165" width="8.88671875" style="30"/>
    <col min="6166" max="6166" width="17" style="30" bestFit="1" customWidth="1"/>
    <col min="6167" max="6167" width="8.88671875" style="30"/>
    <col min="6168" max="6168" width="14.5546875" style="30" customWidth="1"/>
    <col min="6169" max="6169" width="8.88671875" style="30"/>
    <col min="6170" max="6170" width="15.44140625" style="30" bestFit="1" customWidth="1"/>
    <col min="6171" max="6401" width="8.88671875" style="30"/>
    <col min="6402" max="6402" width="6.5546875" style="30" customWidth="1"/>
    <col min="6403" max="6404" width="8.88671875" style="30"/>
    <col min="6405" max="6405" width="9.44140625" style="30" customWidth="1"/>
    <col min="6406" max="6406" width="5.44140625" style="30" customWidth="1"/>
    <col min="6407" max="6407" width="6.5546875" style="30" customWidth="1"/>
    <col min="6408" max="6408" width="9.5546875" style="30" bestFit="1" customWidth="1"/>
    <col min="6409" max="6409" width="8.88671875" style="30"/>
    <col min="6410" max="6410" width="8" style="30" customWidth="1"/>
    <col min="6411" max="6411" width="5.44140625" style="30" customWidth="1"/>
    <col min="6412" max="6412" width="8.88671875" style="30"/>
    <col min="6413" max="6413" width="5.44140625" style="30" customWidth="1"/>
    <col min="6414" max="6414" width="15" style="30" customWidth="1"/>
    <col min="6415" max="6415" width="23.109375" style="30" customWidth="1"/>
    <col min="6416" max="6416" width="5" style="30" customWidth="1"/>
    <col min="6417" max="6418" width="8.88671875" style="30"/>
    <col min="6419" max="6419" width="13.44140625" style="30" bestFit="1" customWidth="1"/>
    <col min="6420" max="6420" width="10.5546875" style="30" bestFit="1" customWidth="1"/>
    <col min="6421" max="6421" width="8.88671875" style="30"/>
    <col min="6422" max="6422" width="17" style="30" bestFit="1" customWidth="1"/>
    <col min="6423" max="6423" width="8.88671875" style="30"/>
    <col min="6424" max="6424" width="14.5546875" style="30" customWidth="1"/>
    <col min="6425" max="6425" width="8.88671875" style="30"/>
    <col min="6426" max="6426" width="15.44140625" style="30" bestFit="1" customWidth="1"/>
    <col min="6427" max="6657" width="8.88671875" style="30"/>
    <col min="6658" max="6658" width="6.5546875" style="30" customWidth="1"/>
    <col min="6659" max="6660" width="8.88671875" style="30"/>
    <col min="6661" max="6661" width="9.44140625" style="30" customWidth="1"/>
    <col min="6662" max="6662" width="5.44140625" style="30" customWidth="1"/>
    <col min="6663" max="6663" width="6.5546875" style="30" customWidth="1"/>
    <col min="6664" max="6664" width="9.5546875" style="30" bestFit="1" customWidth="1"/>
    <col min="6665" max="6665" width="8.88671875" style="30"/>
    <col min="6666" max="6666" width="8" style="30" customWidth="1"/>
    <col min="6667" max="6667" width="5.44140625" style="30" customWidth="1"/>
    <col min="6668" max="6668" width="8.88671875" style="30"/>
    <col min="6669" max="6669" width="5.44140625" style="30" customWidth="1"/>
    <col min="6670" max="6670" width="15" style="30" customWidth="1"/>
    <col min="6671" max="6671" width="23.109375" style="30" customWidth="1"/>
    <col min="6672" max="6672" width="5" style="30" customWidth="1"/>
    <col min="6673" max="6674" width="8.88671875" style="30"/>
    <col min="6675" max="6675" width="13.44140625" style="30" bestFit="1" customWidth="1"/>
    <col min="6676" max="6676" width="10.5546875" style="30" bestFit="1" customWidth="1"/>
    <col min="6677" max="6677" width="8.88671875" style="30"/>
    <col min="6678" max="6678" width="17" style="30" bestFit="1" customWidth="1"/>
    <col min="6679" max="6679" width="8.88671875" style="30"/>
    <col min="6680" max="6680" width="14.5546875" style="30" customWidth="1"/>
    <col min="6681" max="6681" width="8.88671875" style="30"/>
    <col min="6682" max="6682" width="15.44140625" style="30" bestFit="1" customWidth="1"/>
    <col min="6683" max="6913" width="8.88671875" style="30"/>
    <col min="6914" max="6914" width="6.5546875" style="30" customWidth="1"/>
    <col min="6915" max="6916" width="8.88671875" style="30"/>
    <col min="6917" max="6917" width="9.44140625" style="30" customWidth="1"/>
    <col min="6918" max="6918" width="5.44140625" style="30" customWidth="1"/>
    <col min="6919" max="6919" width="6.5546875" style="30" customWidth="1"/>
    <col min="6920" max="6920" width="9.5546875" style="30" bestFit="1" customWidth="1"/>
    <col min="6921" max="6921" width="8.88671875" style="30"/>
    <col min="6922" max="6922" width="8" style="30" customWidth="1"/>
    <col min="6923" max="6923" width="5.44140625" style="30" customWidth="1"/>
    <col min="6924" max="6924" width="8.88671875" style="30"/>
    <col min="6925" max="6925" width="5.44140625" style="30" customWidth="1"/>
    <col min="6926" max="6926" width="15" style="30" customWidth="1"/>
    <col min="6927" max="6927" width="23.109375" style="30" customWidth="1"/>
    <col min="6928" max="6928" width="5" style="30" customWidth="1"/>
    <col min="6929" max="6930" width="8.88671875" style="30"/>
    <col min="6931" max="6931" width="13.44140625" style="30" bestFit="1" customWidth="1"/>
    <col min="6932" max="6932" width="10.5546875" style="30" bestFit="1" customWidth="1"/>
    <col min="6933" max="6933" width="8.88671875" style="30"/>
    <col min="6934" max="6934" width="17" style="30" bestFit="1" customWidth="1"/>
    <col min="6935" max="6935" width="8.88671875" style="30"/>
    <col min="6936" max="6936" width="14.5546875" style="30" customWidth="1"/>
    <col min="6937" max="6937" width="8.88671875" style="30"/>
    <col min="6938" max="6938" width="15.44140625" style="30" bestFit="1" customWidth="1"/>
    <col min="6939" max="7169" width="8.88671875" style="30"/>
    <col min="7170" max="7170" width="6.5546875" style="30" customWidth="1"/>
    <col min="7171" max="7172" width="8.88671875" style="30"/>
    <col min="7173" max="7173" width="9.44140625" style="30" customWidth="1"/>
    <col min="7174" max="7174" width="5.44140625" style="30" customWidth="1"/>
    <col min="7175" max="7175" width="6.5546875" style="30" customWidth="1"/>
    <col min="7176" max="7176" width="9.5546875" style="30" bestFit="1" customWidth="1"/>
    <col min="7177" max="7177" width="8.88671875" style="30"/>
    <col min="7178" max="7178" width="8" style="30" customWidth="1"/>
    <col min="7179" max="7179" width="5.44140625" style="30" customWidth="1"/>
    <col min="7180" max="7180" width="8.88671875" style="30"/>
    <col min="7181" max="7181" width="5.44140625" style="30" customWidth="1"/>
    <col min="7182" max="7182" width="15" style="30" customWidth="1"/>
    <col min="7183" max="7183" width="23.109375" style="30" customWidth="1"/>
    <col min="7184" max="7184" width="5" style="30" customWidth="1"/>
    <col min="7185" max="7186" width="8.88671875" style="30"/>
    <col min="7187" max="7187" width="13.44140625" style="30" bestFit="1" customWidth="1"/>
    <col min="7188" max="7188" width="10.5546875" style="30" bestFit="1" customWidth="1"/>
    <col min="7189" max="7189" width="8.88671875" style="30"/>
    <col min="7190" max="7190" width="17" style="30" bestFit="1" customWidth="1"/>
    <col min="7191" max="7191" width="8.88671875" style="30"/>
    <col min="7192" max="7192" width="14.5546875" style="30" customWidth="1"/>
    <col min="7193" max="7193" width="8.88671875" style="30"/>
    <col min="7194" max="7194" width="15.44140625" style="30" bestFit="1" customWidth="1"/>
    <col min="7195" max="7425" width="8.88671875" style="30"/>
    <col min="7426" max="7426" width="6.5546875" style="30" customWidth="1"/>
    <col min="7427" max="7428" width="8.88671875" style="30"/>
    <col min="7429" max="7429" width="9.44140625" style="30" customWidth="1"/>
    <col min="7430" max="7430" width="5.44140625" style="30" customWidth="1"/>
    <col min="7431" max="7431" width="6.5546875" style="30" customWidth="1"/>
    <col min="7432" max="7432" width="9.5546875" style="30" bestFit="1" customWidth="1"/>
    <col min="7433" max="7433" width="8.88671875" style="30"/>
    <col min="7434" max="7434" width="8" style="30" customWidth="1"/>
    <col min="7435" max="7435" width="5.44140625" style="30" customWidth="1"/>
    <col min="7436" max="7436" width="8.88671875" style="30"/>
    <col min="7437" max="7437" width="5.44140625" style="30" customWidth="1"/>
    <col min="7438" max="7438" width="15" style="30" customWidth="1"/>
    <col min="7439" max="7439" width="23.109375" style="30" customWidth="1"/>
    <col min="7440" max="7440" width="5" style="30" customWidth="1"/>
    <col min="7441" max="7442" width="8.88671875" style="30"/>
    <col min="7443" max="7443" width="13.44140625" style="30" bestFit="1" customWidth="1"/>
    <col min="7444" max="7444" width="10.5546875" style="30" bestFit="1" customWidth="1"/>
    <col min="7445" max="7445" width="8.88671875" style="30"/>
    <col min="7446" max="7446" width="17" style="30" bestFit="1" customWidth="1"/>
    <col min="7447" max="7447" width="8.88671875" style="30"/>
    <col min="7448" max="7448" width="14.5546875" style="30" customWidth="1"/>
    <col min="7449" max="7449" width="8.88671875" style="30"/>
    <col min="7450" max="7450" width="15.44140625" style="30" bestFit="1" customWidth="1"/>
    <col min="7451" max="7681" width="8.88671875" style="30"/>
    <col min="7682" max="7682" width="6.5546875" style="30" customWidth="1"/>
    <col min="7683" max="7684" width="8.88671875" style="30"/>
    <col min="7685" max="7685" width="9.44140625" style="30" customWidth="1"/>
    <col min="7686" max="7686" width="5.44140625" style="30" customWidth="1"/>
    <col min="7687" max="7687" width="6.5546875" style="30" customWidth="1"/>
    <col min="7688" max="7688" width="9.5546875" style="30" bestFit="1" customWidth="1"/>
    <col min="7689" max="7689" width="8.88671875" style="30"/>
    <col min="7690" max="7690" width="8" style="30" customWidth="1"/>
    <col min="7691" max="7691" width="5.44140625" style="30" customWidth="1"/>
    <col min="7692" max="7692" width="8.88671875" style="30"/>
    <col min="7693" max="7693" width="5.44140625" style="30" customWidth="1"/>
    <col min="7694" max="7694" width="15" style="30" customWidth="1"/>
    <col min="7695" max="7695" width="23.109375" style="30" customWidth="1"/>
    <col min="7696" max="7696" width="5" style="30" customWidth="1"/>
    <col min="7697" max="7698" width="8.88671875" style="30"/>
    <col min="7699" max="7699" width="13.44140625" style="30" bestFit="1" customWidth="1"/>
    <col min="7700" max="7700" width="10.5546875" style="30" bestFit="1" customWidth="1"/>
    <col min="7701" max="7701" width="8.88671875" style="30"/>
    <col min="7702" max="7702" width="17" style="30" bestFit="1" customWidth="1"/>
    <col min="7703" max="7703" width="8.88671875" style="30"/>
    <col min="7704" max="7704" width="14.5546875" style="30" customWidth="1"/>
    <col min="7705" max="7705" width="8.88671875" style="30"/>
    <col min="7706" max="7706" width="15.44140625" style="30" bestFit="1" customWidth="1"/>
    <col min="7707" max="7937" width="8.88671875" style="30"/>
    <col min="7938" max="7938" width="6.5546875" style="30" customWidth="1"/>
    <col min="7939" max="7940" width="8.88671875" style="30"/>
    <col min="7941" max="7941" width="9.44140625" style="30" customWidth="1"/>
    <col min="7942" max="7942" width="5.44140625" style="30" customWidth="1"/>
    <col min="7943" max="7943" width="6.5546875" style="30" customWidth="1"/>
    <col min="7944" max="7944" width="9.5546875" style="30" bestFit="1" customWidth="1"/>
    <col min="7945" max="7945" width="8.88671875" style="30"/>
    <col min="7946" max="7946" width="8" style="30" customWidth="1"/>
    <col min="7947" max="7947" width="5.44140625" style="30" customWidth="1"/>
    <col min="7948" max="7948" width="8.88671875" style="30"/>
    <col min="7949" max="7949" width="5.44140625" style="30" customWidth="1"/>
    <col min="7950" max="7950" width="15" style="30" customWidth="1"/>
    <col min="7951" max="7951" width="23.109375" style="30" customWidth="1"/>
    <col min="7952" max="7952" width="5" style="30" customWidth="1"/>
    <col min="7953" max="7954" width="8.88671875" style="30"/>
    <col min="7955" max="7955" width="13.44140625" style="30" bestFit="1" customWidth="1"/>
    <col min="7956" max="7956" width="10.5546875" style="30" bestFit="1" customWidth="1"/>
    <col min="7957" max="7957" width="8.88671875" style="30"/>
    <col min="7958" max="7958" width="17" style="30" bestFit="1" customWidth="1"/>
    <col min="7959" max="7959" width="8.88671875" style="30"/>
    <col min="7960" max="7960" width="14.5546875" style="30" customWidth="1"/>
    <col min="7961" max="7961" width="8.88671875" style="30"/>
    <col min="7962" max="7962" width="15.44140625" style="30" bestFit="1" customWidth="1"/>
    <col min="7963" max="8193" width="8.88671875" style="30"/>
    <col min="8194" max="8194" width="6.5546875" style="30" customWidth="1"/>
    <col min="8195" max="8196" width="8.88671875" style="30"/>
    <col min="8197" max="8197" width="9.44140625" style="30" customWidth="1"/>
    <col min="8198" max="8198" width="5.44140625" style="30" customWidth="1"/>
    <col min="8199" max="8199" width="6.5546875" style="30" customWidth="1"/>
    <col min="8200" max="8200" width="9.5546875" style="30" bestFit="1" customWidth="1"/>
    <col min="8201" max="8201" width="8.88671875" style="30"/>
    <col min="8202" max="8202" width="8" style="30" customWidth="1"/>
    <col min="8203" max="8203" width="5.44140625" style="30" customWidth="1"/>
    <col min="8204" max="8204" width="8.88671875" style="30"/>
    <col min="8205" max="8205" width="5.44140625" style="30" customWidth="1"/>
    <col min="8206" max="8206" width="15" style="30" customWidth="1"/>
    <col min="8207" max="8207" width="23.109375" style="30" customWidth="1"/>
    <col min="8208" max="8208" width="5" style="30" customWidth="1"/>
    <col min="8209" max="8210" width="8.88671875" style="30"/>
    <col min="8211" max="8211" width="13.44140625" style="30" bestFit="1" customWidth="1"/>
    <col min="8212" max="8212" width="10.5546875" style="30" bestFit="1" customWidth="1"/>
    <col min="8213" max="8213" width="8.88671875" style="30"/>
    <col min="8214" max="8214" width="17" style="30" bestFit="1" customWidth="1"/>
    <col min="8215" max="8215" width="8.88671875" style="30"/>
    <col min="8216" max="8216" width="14.5546875" style="30" customWidth="1"/>
    <col min="8217" max="8217" width="8.88671875" style="30"/>
    <col min="8218" max="8218" width="15.44140625" style="30" bestFit="1" customWidth="1"/>
    <col min="8219" max="8449" width="8.88671875" style="30"/>
    <col min="8450" max="8450" width="6.5546875" style="30" customWidth="1"/>
    <col min="8451" max="8452" width="8.88671875" style="30"/>
    <col min="8453" max="8453" width="9.44140625" style="30" customWidth="1"/>
    <col min="8454" max="8454" width="5.44140625" style="30" customWidth="1"/>
    <col min="8455" max="8455" width="6.5546875" style="30" customWidth="1"/>
    <col min="8456" max="8456" width="9.5546875" style="30" bestFit="1" customWidth="1"/>
    <col min="8457" max="8457" width="8.88671875" style="30"/>
    <col min="8458" max="8458" width="8" style="30" customWidth="1"/>
    <col min="8459" max="8459" width="5.44140625" style="30" customWidth="1"/>
    <col min="8460" max="8460" width="8.88671875" style="30"/>
    <col min="8461" max="8461" width="5.44140625" style="30" customWidth="1"/>
    <col min="8462" max="8462" width="15" style="30" customWidth="1"/>
    <col min="8463" max="8463" width="23.109375" style="30" customWidth="1"/>
    <col min="8464" max="8464" width="5" style="30" customWidth="1"/>
    <col min="8465" max="8466" width="8.88671875" style="30"/>
    <col min="8467" max="8467" width="13.44140625" style="30" bestFit="1" customWidth="1"/>
    <col min="8468" max="8468" width="10.5546875" style="30" bestFit="1" customWidth="1"/>
    <col min="8469" max="8469" width="8.88671875" style="30"/>
    <col min="8470" max="8470" width="17" style="30" bestFit="1" customWidth="1"/>
    <col min="8471" max="8471" width="8.88671875" style="30"/>
    <col min="8472" max="8472" width="14.5546875" style="30" customWidth="1"/>
    <col min="8473" max="8473" width="8.88671875" style="30"/>
    <col min="8474" max="8474" width="15.44140625" style="30" bestFit="1" customWidth="1"/>
    <col min="8475" max="8705" width="8.88671875" style="30"/>
    <col min="8706" max="8706" width="6.5546875" style="30" customWidth="1"/>
    <col min="8707" max="8708" width="8.88671875" style="30"/>
    <col min="8709" max="8709" width="9.44140625" style="30" customWidth="1"/>
    <col min="8710" max="8710" width="5.44140625" style="30" customWidth="1"/>
    <col min="8711" max="8711" width="6.5546875" style="30" customWidth="1"/>
    <col min="8712" max="8712" width="9.5546875" style="30" bestFit="1" customWidth="1"/>
    <col min="8713" max="8713" width="8.88671875" style="30"/>
    <col min="8714" max="8714" width="8" style="30" customWidth="1"/>
    <col min="8715" max="8715" width="5.44140625" style="30" customWidth="1"/>
    <col min="8716" max="8716" width="8.88671875" style="30"/>
    <col min="8717" max="8717" width="5.44140625" style="30" customWidth="1"/>
    <col min="8718" max="8718" width="15" style="30" customWidth="1"/>
    <col min="8719" max="8719" width="23.109375" style="30" customWidth="1"/>
    <col min="8720" max="8720" width="5" style="30" customWidth="1"/>
    <col min="8721" max="8722" width="8.88671875" style="30"/>
    <col min="8723" max="8723" width="13.44140625" style="30" bestFit="1" customWidth="1"/>
    <col min="8724" max="8724" width="10.5546875" style="30" bestFit="1" customWidth="1"/>
    <col min="8725" max="8725" width="8.88671875" style="30"/>
    <col min="8726" max="8726" width="17" style="30" bestFit="1" customWidth="1"/>
    <col min="8727" max="8727" width="8.88671875" style="30"/>
    <col min="8728" max="8728" width="14.5546875" style="30" customWidth="1"/>
    <col min="8729" max="8729" width="8.88671875" style="30"/>
    <col min="8730" max="8730" width="15.44140625" style="30" bestFit="1" customWidth="1"/>
    <col min="8731" max="8961" width="8.88671875" style="30"/>
    <col min="8962" max="8962" width="6.5546875" style="30" customWidth="1"/>
    <col min="8963" max="8964" width="8.88671875" style="30"/>
    <col min="8965" max="8965" width="9.44140625" style="30" customWidth="1"/>
    <col min="8966" max="8966" width="5.44140625" style="30" customWidth="1"/>
    <col min="8967" max="8967" width="6.5546875" style="30" customWidth="1"/>
    <col min="8968" max="8968" width="9.5546875" style="30" bestFit="1" customWidth="1"/>
    <col min="8969" max="8969" width="8.88671875" style="30"/>
    <col min="8970" max="8970" width="8" style="30" customWidth="1"/>
    <col min="8971" max="8971" width="5.44140625" style="30" customWidth="1"/>
    <col min="8972" max="8972" width="8.88671875" style="30"/>
    <col min="8973" max="8973" width="5.44140625" style="30" customWidth="1"/>
    <col min="8974" max="8974" width="15" style="30" customWidth="1"/>
    <col min="8975" max="8975" width="23.109375" style="30" customWidth="1"/>
    <col min="8976" max="8976" width="5" style="30" customWidth="1"/>
    <col min="8977" max="8978" width="8.88671875" style="30"/>
    <col min="8979" max="8979" width="13.44140625" style="30" bestFit="1" customWidth="1"/>
    <col min="8980" max="8980" width="10.5546875" style="30" bestFit="1" customWidth="1"/>
    <col min="8981" max="8981" width="8.88671875" style="30"/>
    <col min="8982" max="8982" width="17" style="30" bestFit="1" customWidth="1"/>
    <col min="8983" max="8983" width="8.88671875" style="30"/>
    <col min="8984" max="8984" width="14.5546875" style="30" customWidth="1"/>
    <col min="8985" max="8985" width="8.88671875" style="30"/>
    <col min="8986" max="8986" width="15.44140625" style="30" bestFit="1" customWidth="1"/>
    <col min="8987" max="9217" width="8.88671875" style="30"/>
    <col min="9218" max="9218" width="6.5546875" style="30" customWidth="1"/>
    <col min="9219" max="9220" width="8.88671875" style="30"/>
    <col min="9221" max="9221" width="9.44140625" style="30" customWidth="1"/>
    <col min="9222" max="9222" width="5.44140625" style="30" customWidth="1"/>
    <col min="9223" max="9223" width="6.5546875" style="30" customWidth="1"/>
    <col min="9224" max="9224" width="9.5546875" style="30" bestFit="1" customWidth="1"/>
    <col min="9225" max="9225" width="8.88671875" style="30"/>
    <col min="9226" max="9226" width="8" style="30" customWidth="1"/>
    <col min="9227" max="9227" width="5.44140625" style="30" customWidth="1"/>
    <col min="9228" max="9228" width="8.88671875" style="30"/>
    <col min="9229" max="9229" width="5.44140625" style="30" customWidth="1"/>
    <col min="9230" max="9230" width="15" style="30" customWidth="1"/>
    <col min="9231" max="9231" width="23.109375" style="30" customWidth="1"/>
    <col min="9232" max="9232" width="5" style="30" customWidth="1"/>
    <col min="9233" max="9234" width="8.88671875" style="30"/>
    <col min="9235" max="9235" width="13.44140625" style="30" bestFit="1" customWidth="1"/>
    <col min="9236" max="9236" width="10.5546875" style="30" bestFit="1" customWidth="1"/>
    <col min="9237" max="9237" width="8.88671875" style="30"/>
    <col min="9238" max="9238" width="17" style="30" bestFit="1" customWidth="1"/>
    <col min="9239" max="9239" width="8.88671875" style="30"/>
    <col min="9240" max="9240" width="14.5546875" style="30" customWidth="1"/>
    <col min="9241" max="9241" width="8.88671875" style="30"/>
    <col min="9242" max="9242" width="15.44140625" style="30" bestFit="1" customWidth="1"/>
    <col min="9243" max="9473" width="8.88671875" style="30"/>
    <col min="9474" max="9474" width="6.5546875" style="30" customWidth="1"/>
    <col min="9475" max="9476" width="8.88671875" style="30"/>
    <col min="9477" max="9477" width="9.44140625" style="30" customWidth="1"/>
    <col min="9478" max="9478" width="5.44140625" style="30" customWidth="1"/>
    <col min="9479" max="9479" width="6.5546875" style="30" customWidth="1"/>
    <col min="9480" max="9480" width="9.5546875" style="30" bestFit="1" customWidth="1"/>
    <col min="9481" max="9481" width="8.88671875" style="30"/>
    <col min="9482" max="9482" width="8" style="30" customWidth="1"/>
    <col min="9483" max="9483" width="5.44140625" style="30" customWidth="1"/>
    <col min="9484" max="9484" width="8.88671875" style="30"/>
    <col min="9485" max="9485" width="5.44140625" style="30" customWidth="1"/>
    <col min="9486" max="9486" width="15" style="30" customWidth="1"/>
    <col min="9487" max="9487" width="23.109375" style="30" customWidth="1"/>
    <col min="9488" max="9488" width="5" style="30" customWidth="1"/>
    <col min="9489" max="9490" width="8.88671875" style="30"/>
    <col min="9491" max="9491" width="13.44140625" style="30" bestFit="1" customWidth="1"/>
    <col min="9492" max="9492" width="10.5546875" style="30" bestFit="1" customWidth="1"/>
    <col min="9493" max="9493" width="8.88671875" style="30"/>
    <col min="9494" max="9494" width="17" style="30" bestFit="1" customWidth="1"/>
    <col min="9495" max="9495" width="8.88671875" style="30"/>
    <col min="9496" max="9496" width="14.5546875" style="30" customWidth="1"/>
    <col min="9497" max="9497" width="8.88671875" style="30"/>
    <col min="9498" max="9498" width="15.44140625" style="30" bestFit="1" customWidth="1"/>
    <col min="9499" max="9729" width="8.88671875" style="30"/>
    <col min="9730" max="9730" width="6.5546875" style="30" customWidth="1"/>
    <col min="9731" max="9732" width="8.88671875" style="30"/>
    <col min="9733" max="9733" width="9.44140625" style="30" customWidth="1"/>
    <col min="9734" max="9734" width="5.44140625" style="30" customWidth="1"/>
    <col min="9735" max="9735" width="6.5546875" style="30" customWidth="1"/>
    <col min="9736" max="9736" width="9.5546875" style="30" bestFit="1" customWidth="1"/>
    <col min="9737" max="9737" width="8.88671875" style="30"/>
    <col min="9738" max="9738" width="8" style="30" customWidth="1"/>
    <col min="9739" max="9739" width="5.44140625" style="30" customWidth="1"/>
    <col min="9740" max="9740" width="8.88671875" style="30"/>
    <col min="9741" max="9741" width="5.44140625" style="30" customWidth="1"/>
    <col min="9742" max="9742" width="15" style="30" customWidth="1"/>
    <col min="9743" max="9743" width="23.109375" style="30" customWidth="1"/>
    <col min="9744" max="9744" width="5" style="30" customWidth="1"/>
    <col min="9745" max="9746" width="8.88671875" style="30"/>
    <col min="9747" max="9747" width="13.44140625" style="30" bestFit="1" customWidth="1"/>
    <col min="9748" max="9748" width="10.5546875" style="30" bestFit="1" customWidth="1"/>
    <col min="9749" max="9749" width="8.88671875" style="30"/>
    <col min="9750" max="9750" width="17" style="30" bestFit="1" customWidth="1"/>
    <col min="9751" max="9751" width="8.88671875" style="30"/>
    <col min="9752" max="9752" width="14.5546875" style="30" customWidth="1"/>
    <col min="9753" max="9753" width="8.88671875" style="30"/>
    <col min="9754" max="9754" width="15.44140625" style="30" bestFit="1" customWidth="1"/>
    <col min="9755" max="9985" width="8.88671875" style="30"/>
    <col min="9986" max="9986" width="6.5546875" style="30" customWidth="1"/>
    <col min="9987" max="9988" width="8.88671875" style="30"/>
    <col min="9989" max="9989" width="9.44140625" style="30" customWidth="1"/>
    <col min="9990" max="9990" width="5.44140625" style="30" customWidth="1"/>
    <col min="9991" max="9991" width="6.5546875" style="30" customWidth="1"/>
    <col min="9992" max="9992" width="9.5546875" style="30" bestFit="1" customWidth="1"/>
    <col min="9993" max="9993" width="8.88671875" style="30"/>
    <col min="9994" max="9994" width="8" style="30" customWidth="1"/>
    <col min="9995" max="9995" width="5.44140625" style="30" customWidth="1"/>
    <col min="9996" max="9996" width="8.88671875" style="30"/>
    <col min="9997" max="9997" width="5.44140625" style="30" customWidth="1"/>
    <col min="9998" max="9998" width="15" style="30" customWidth="1"/>
    <col min="9999" max="9999" width="23.109375" style="30" customWidth="1"/>
    <col min="10000" max="10000" width="5" style="30" customWidth="1"/>
    <col min="10001" max="10002" width="8.88671875" style="30"/>
    <col min="10003" max="10003" width="13.44140625" style="30" bestFit="1" customWidth="1"/>
    <col min="10004" max="10004" width="10.5546875" style="30" bestFit="1" customWidth="1"/>
    <col min="10005" max="10005" width="8.88671875" style="30"/>
    <col min="10006" max="10006" width="17" style="30" bestFit="1" customWidth="1"/>
    <col min="10007" max="10007" width="8.88671875" style="30"/>
    <col min="10008" max="10008" width="14.5546875" style="30" customWidth="1"/>
    <col min="10009" max="10009" width="8.88671875" style="30"/>
    <col min="10010" max="10010" width="15.44140625" style="30" bestFit="1" customWidth="1"/>
    <col min="10011" max="10241" width="8.88671875" style="30"/>
    <col min="10242" max="10242" width="6.5546875" style="30" customWidth="1"/>
    <col min="10243" max="10244" width="8.88671875" style="30"/>
    <col min="10245" max="10245" width="9.44140625" style="30" customWidth="1"/>
    <col min="10246" max="10246" width="5.44140625" style="30" customWidth="1"/>
    <col min="10247" max="10247" width="6.5546875" style="30" customWidth="1"/>
    <col min="10248" max="10248" width="9.5546875" style="30" bestFit="1" customWidth="1"/>
    <col min="10249" max="10249" width="8.88671875" style="30"/>
    <col min="10250" max="10250" width="8" style="30" customWidth="1"/>
    <col min="10251" max="10251" width="5.44140625" style="30" customWidth="1"/>
    <col min="10252" max="10252" width="8.88671875" style="30"/>
    <col min="10253" max="10253" width="5.44140625" style="30" customWidth="1"/>
    <col min="10254" max="10254" width="15" style="30" customWidth="1"/>
    <col min="10255" max="10255" width="23.109375" style="30" customWidth="1"/>
    <col min="10256" max="10256" width="5" style="30" customWidth="1"/>
    <col min="10257" max="10258" width="8.88671875" style="30"/>
    <col min="10259" max="10259" width="13.44140625" style="30" bestFit="1" customWidth="1"/>
    <col min="10260" max="10260" width="10.5546875" style="30" bestFit="1" customWidth="1"/>
    <col min="10261" max="10261" width="8.88671875" style="30"/>
    <col min="10262" max="10262" width="17" style="30" bestFit="1" customWidth="1"/>
    <col min="10263" max="10263" width="8.88671875" style="30"/>
    <col min="10264" max="10264" width="14.5546875" style="30" customWidth="1"/>
    <col min="10265" max="10265" width="8.88671875" style="30"/>
    <col min="10266" max="10266" width="15.44140625" style="30" bestFit="1" customWidth="1"/>
    <col min="10267" max="10497" width="8.88671875" style="30"/>
    <col min="10498" max="10498" width="6.5546875" style="30" customWidth="1"/>
    <col min="10499" max="10500" width="8.88671875" style="30"/>
    <col min="10501" max="10501" width="9.44140625" style="30" customWidth="1"/>
    <col min="10502" max="10502" width="5.44140625" style="30" customWidth="1"/>
    <col min="10503" max="10503" width="6.5546875" style="30" customWidth="1"/>
    <col min="10504" max="10504" width="9.5546875" style="30" bestFit="1" customWidth="1"/>
    <col min="10505" max="10505" width="8.88671875" style="30"/>
    <col min="10506" max="10506" width="8" style="30" customWidth="1"/>
    <col min="10507" max="10507" width="5.44140625" style="30" customWidth="1"/>
    <col min="10508" max="10508" width="8.88671875" style="30"/>
    <col min="10509" max="10509" width="5.44140625" style="30" customWidth="1"/>
    <col min="10510" max="10510" width="15" style="30" customWidth="1"/>
    <col min="10511" max="10511" width="23.109375" style="30" customWidth="1"/>
    <col min="10512" max="10512" width="5" style="30" customWidth="1"/>
    <col min="10513" max="10514" width="8.88671875" style="30"/>
    <col min="10515" max="10515" width="13.44140625" style="30" bestFit="1" customWidth="1"/>
    <col min="10516" max="10516" width="10.5546875" style="30" bestFit="1" customWidth="1"/>
    <col min="10517" max="10517" width="8.88671875" style="30"/>
    <col min="10518" max="10518" width="17" style="30" bestFit="1" customWidth="1"/>
    <col min="10519" max="10519" width="8.88671875" style="30"/>
    <col min="10520" max="10520" width="14.5546875" style="30" customWidth="1"/>
    <col min="10521" max="10521" width="8.88671875" style="30"/>
    <col min="10522" max="10522" width="15.44140625" style="30" bestFit="1" customWidth="1"/>
    <col min="10523" max="10753" width="8.88671875" style="30"/>
    <col min="10754" max="10754" width="6.5546875" style="30" customWidth="1"/>
    <col min="10755" max="10756" width="8.88671875" style="30"/>
    <col min="10757" max="10757" width="9.44140625" style="30" customWidth="1"/>
    <col min="10758" max="10758" width="5.44140625" style="30" customWidth="1"/>
    <col min="10759" max="10759" width="6.5546875" style="30" customWidth="1"/>
    <col min="10760" max="10760" width="9.5546875" style="30" bestFit="1" customWidth="1"/>
    <col min="10761" max="10761" width="8.88671875" style="30"/>
    <col min="10762" max="10762" width="8" style="30" customWidth="1"/>
    <col min="10763" max="10763" width="5.44140625" style="30" customWidth="1"/>
    <col min="10764" max="10764" width="8.88671875" style="30"/>
    <col min="10765" max="10765" width="5.44140625" style="30" customWidth="1"/>
    <col min="10766" max="10766" width="15" style="30" customWidth="1"/>
    <col min="10767" max="10767" width="23.109375" style="30" customWidth="1"/>
    <col min="10768" max="10768" width="5" style="30" customWidth="1"/>
    <col min="10769" max="10770" width="8.88671875" style="30"/>
    <col min="10771" max="10771" width="13.44140625" style="30" bestFit="1" customWidth="1"/>
    <col min="10772" max="10772" width="10.5546875" style="30" bestFit="1" customWidth="1"/>
    <col min="10773" max="10773" width="8.88671875" style="30"/>
    <col min="10774" max="10774" width="17" style="30" bestFit="1" customWidth="1"/>
    <col min="10775" max="10775" width="8.88671875" style="30"/>
    <col min="10776" max="10776" width="14.5546875" style="30" customWidth="1"/>
    <col min="10777" max="10777" width="8.88671875" style="30"/>
    <col min="10778" max="10778" width="15.44140625" style="30" bestFit="1" customWidth="1"/>
    <col min="10779" max="11009" width="8.88671875" style="30"/>
    <col min="11010" max="11010" width="6.5546875" style="30" customWidth="1"/>
    <col min="11011" max="11012" width="8.88671875" style="30"/>
    <col min="11013" max="11013" width="9.44140625" style="30" customWidth="1"/>
    <col min="11014" max="11014" width="5.44140625" style="30" customWidth="1"/>
    <col min="11015" max="11015" width="6.5546875" style="30" customWidth="1"/>
    <col min="11016" max="11016" width="9.5546875" style="30" bestFit="1" customWidth="1"/>
    <col min="11017" max="11017" width="8.88671875" style="30"/>
    <col min="11018" max="11018" width="8" style="30" customWidth="1"/>
    <col min="11019" max="11019" width="5.44140625" style="30" customWidth="1"/>
    <col min="11020" max="11020" width="8.88671875" style="30"/>
    <col min="11021" max="11021" width="5.44140625" style="30" customWidth="1"/>
    <col min="11022" max="11022" width="15" style="30" customWidth="1"/>
    <col min="11023" max="11023" width="23.109375" style="30" customWidth="1"/>
    <col min="11024" max="11024" width="5" style="30" customWidth="1"/>
    <col min="11025" max="11026" width="8.88671875" style="30"/>
    <col min="11027" max="11027" width="13.44140625" style="30" bestFit="1" customWidth="1"/>
    <col min="11028" max="11028" width="10.5546875" style="30" bestFit="1" customWidth="1"/>
    <col min="11029" max="11029" width="8.88671875" style="30"/>
    <col min="11030" max="11030" width="17" style="30" bestFit="1" customWidth="1"/>
    <col min="11031" max="11031" width="8.88671875" style="30"/>
    <col min="11032" max="11032" width="14.5546875" style="30" customWidth="1"/>
    <col min="11033" max="11033" width="8.88671875" style="30"/>
    <col min="11034" max="11034" width="15.44140625" style="30" bestFit="1" customWidth="1"/>
    <col min="11035" max="11265" width="8.88671875" style="30"/>
    <col min="11266" max="11266" width="6.5546875" style="30" customWidth="1"/>
    <col min="11267" max="11268" width="8.88671875" style="30"/>
    <col min="11269" max="11269" width="9.44140625" style="30" customWidth="1"/>
    <col min="11270" max="11270" width="5.44140625" style="30" customWidth="1"/>
    <col min="11271" max="11271" width="6.5546875" style="30" customWidth="1"/>
    <col min="11272" max="11272" width="9.5546875" style="30" bestFit="1" customWidth="1"/>
    <col min="11273" max="11273" width="8.88671875" style="30"/>
    <col min="11274" max="11274" width="8" style="30" customWidth="1"/>
    <col min="11275" max="11275" width="5.44140625" style="30" customWidth="1"/>
    <col min="11276" max="11276" width="8.88671875" style="30"/>
    <col min="11277" max="11277" width="5.44140625" style="30" customWidth="1"/>
    <col min="11278" max="11278" width="15" style="30" customWidth="1"/>
    <col min="11279" max="11279" width="23.109375" style="30" customWidth="1"/>
    <col min="11280" max="11280" width="5" style="30" customWidth="1"/>
    <col min="11281" max="11282" width="8.88671875" style="30"/>
    <col min="11283" max="11283" width="13.44140625" style="30" bestFit="1" customWidth="1"/>
    <col min="11284" max="11284" width="10.5546875" style="30" bestFit="1" customWidth="1"/>
    <col min="11285" max="11285" width="8.88671875" style="30"/>
    <col min="11286" max="11286" width="17" style="30" bestFit="1" customWidth="1"/>
    <col min="11287" max="11287" width="8.88671875" style="30"/>
    <col min="11288" max="11288" width="14.5546875" style="30" customWidth="1"/>
    <col min="11289" max="11289" width="8.88671875" style="30"/>
    <col min="11290" max="11290" width="15.44140625" style="30" bestFit="1" customWidth="1"/>
    <col min="11291" max="11521" width="8.88671875" style="30"/>
    <col min="11522" max="11522" width="6.5546875" style="30" customWidth="1"/>
    <col min="11523" max="11524" width="8.88671875" style="30"/>
    <col min="11525" max="11525" width="9.44140625" style="30" customWidth="1"/>
    <col min="11526" max="11526" width="5.44140625" style="30" customWidth="1"/>
    <col min="11527" max="11527" width="6.5546875" style="30" customWidth="1"/>
    <col min="11528" max="11528" width="9.5546875" style="30" bestFit="1" customWidth="1"/>
    <col min="11529" max="11529" width="8.88671875" style="30"/>
    <col min="11530" max="11530" width="8" style="30" customWidth="1"/>
    <col min="11531" max="11531" width="5.44140625" style="30" customWidth="1"/>
    <col min="11532" max="11532" width="8.88671875" style="30"/>
    <col min="11533" max="11533" width="5.44140625" style="30" customWidth="1"/>
    <col min="11534" max="11534" width="15" style="30" customWidth="1"/>
    <col min="11535" max="11535" width="23.109375" style="30" customWidth="1"/>
    <col min="11536" max="11536" width="5" style="30" customWidth="1"/>
    <col min="11537" max="11538" width="8.88671875" style="30"/>
    <col min="11539" max="11539" width="13.44140625" style="30" bestFit="1" customWidth="1"/>
    <col min="11540" max="11540" width="10.5546875" style="30" bestFit="1" customWidth="1"/>
    <col min="11541" max="11541" width="8.88671875" style="30"/>
    <col min="11542" max="11542" width="17" style="30" bestFit="1" customWidth="1"/>
    <col min="11543" max="11543" width="8.88671875" style="30"/>
    <col min="11544" max="11544" width="14.5546875" style="30" customWidth="1"/>
    <col min="11545" max="11545" width="8.88671875" style="30"/>
    <col min="11546" max="11546" width="15.44140625" style="30" bestFit="1" customWidth="1"/>
    <col min="11547" max="11777" width="8.88671875" style="30"/>
    <col min="11778" max="11778" width="6.5546875" style="30" customWidth="1"/>
    <col min="11779" max="11780" width="8.88671875" style="30"/>
    <col min="11781" max="11781" width="9.44140625" style="30" customWidth="1"/>
    <col min="11782" max="11782" width="5.44140625" style="30" customWidth="1"/>
    <col min="11783" max="11783" width="6.5546875" style="30" customWidth="1"/>
    <col min="11784" max="11784" width="9.5546875" style="30" bestFit="1" customWidth="1"/>
    <col min="11785" max="11785" width="8.88671875" style="30"/>
    <col min="11786" max="11786" width="8" style="30" customWidth="1"/>
    <col min="11787" max="11787" width="5.44140625" style="30" customWidth="1"/>
    <col min="11788" max="11788" width="8.88671875" style="30"/>
    <col min="11789" max="11789" width="5.44140625" style="30" customWidth="1"/>
    <col min="11790" max="11790" width="15" style="30" customWidth="1"/>
    <col min="11791" max="11791" width="23.109375" style="30" customWidth="1"/>
    <col min="11792" max="11792" width="5" style="30" customWidth="1"/>
    <col min="11793" max="11794" width="8.88671875" style="30"/>
    <col min="11795" max="11795" width="13.44140625" style="30" bestFit="1" customWidth="1"/>
    <col min="11796" max="11796" width="10.5546875" style="30" bestFit="1" customWidth="1"/>
    <col min="11797" max="11797" width="8.88671875" style="30"/>
    <col min="11798" max="11798" width="17" style="30" bestFit="1" customWidth="1"/>
    <col min="11799" max="11799" width="8.88671875" style="30"/>
    <col min="11800" max="11800" width="14.5546875" style="30" customWidth="1"/>
    <col min="11801" max="11801" width="8.88671875" style="30"/>
    <col min="11802" max="11802" width="15.44140625" style="30" bestFit="1" customWidth="1"/>
    <col min="11803" max="12033" width="8.88671875" style="30"/>
    <col min="12034" max="12034" width="6.5546875" style="30" customWidth="1"/>
    <col min="12035" max="12036" width="8.88671875" style="30"/>
    <col min="12037" max="12037" width="9.44140625" style="30" customWidth="1"/>
    <col min="12038" max="12038" width="5.44140625" style="30" customWidth="1"/>
    <col min="12039" max="12039" width="6.5546875" style="30" customWidth="1"/>
    <col min="12040" max="12040" width="9.5546875" style="30" bestFit="1" customWidth="1"/>
    <col min="12041" max="12041" width="8.88671875" style="30"/>
    <col min="12042" max="12042" width="8" style="30" customWidth="1"/>
    <col min="12043" max="12043" width="5.44140625" style="30" customWidth="1"/>
    <col min="12044" max="12044" width="8.88671875" style="30"/>
    <col min="12045" max="12045" width="5.44140625" style="30" customWidth="1"/>
    <col min="12046" max="12046" width="15" style="30" customWidth="1"/>
    <col min="12047" max="12047" width="23.109375" style="30" customWidth="1"/>
    <col min="12048" max="12048" width="5" style="30" customWidth="1"/>
    <col min="12049" max="12050" width="8.88671875" style="30"/>
    <col min="12051" max="12051" width="13.44140625" style="30" bestFit="1" customWidth="1"/>
    <col min="12052" max="12052" width="10.5546875" style="30" bestFit="1" customWidth="1"/>
    <col min="12053" max="12053" width="8.88671875" style="30"/>
    <col min="12054" max="12054" width="17" style="30" bestFit="1" customWidth="1"/>
    <col min="12055" max="12055" width="8.88671875" style="30"/>
    <col min="12056" max="12056" width="14.5546875" style="30" customWidth="1"/>
    <col min="12057" max="12057" width="8.88671875" style="30"/>
    <col min="12058" max="12058" width="15.44140625" style="30" bestFit="1" customWidth="1"/>
    <col min="12059" max="12289" width="8.88671875" style="30"/>
    <col min="12290" max="12290" width="6.5546875" style="30" customWidth="1"/>
    <col min="12291" max="12292" width="8.88671875" style="30"/>
    <col min="12293" max="12293" width="9.44140625" style="30" customWidth="1"/>
    <col min="12294" max="12294" width="5.44140625" style="30" customWidth="1"/>
    <col min="12295" max="12295" width="6.5546875" style="30" customWidth="1"/>
    <col min="12296" max="12296" width="9.5546875" style="30" bestFit="1" customWidth="1"/>
    <col min="12297" max="12297" width="8.88671875" style="30"/>
    <col min="12298" max="12298" width="8" style="30" customWidth="1"/>
    <col min="12299" max="12299" width="5.44140625" style="30" customWidth="1"/>
    <col min="12300" max="12300" width="8.88671875" style="30"/>
    <col min="12301" max="12301" width="5.44140625" style="30" customWidth="1"/>
    <col min="12302" max="12302" width="15" style="30" customWidth="1"/>
    <col min="12303" max="12303" width="23.109375" style="30" customWidth="1"/>
    <col min="12304" max="12304" width="5" style="30" customWidth="1"/>
    <col min="12305" max="12306" width="8.88671875" style="30"/>
    <col min="12307" max="12307" width="13.44140625" style="30" bestFit="1" customWidth="1"/>
    <col min="12308" max="12308" width="10.5546875" style="30" bestFit="1" customWidth="1"/>
    <col min="12309" max="12309" width="8.88671875" style="30"/>
    <col min="12310" max="12310" width="17" style="30" bestFit="1" customWidth="1"/>
    <col min="12311" max="12311" width="8.88671875" style="30"/>
    <col min="12312" max="12312" width="14.5546875" style="30" customWidth="1"/>
    <col min="12313" max="12313" width="8.88671875" style="30"/>
    <col min="12314" max="12314" width="15.44140625" style="30" bestFit="1" customWidth="1"/>
    <col min="12315" max="12545" width="8.88671875" style="30"/>
    <col min="12546" max="12546" width="6.5546875" style="30" customWidth="1"/>
    <col min="12547" max="12548" width="8.88671875" style="30"/>
    <col min="12549" max="12549" width="9.44140625" style="30" customWidth="1"/>
    <col min="12550" max="12550" width="5.44140625" style="30" customWidth="1"/>
    <col min="12551" max="12551" width="6.5546875" style="30" customWidth="1"/>
    <col min="12552" max="12552" width="9.5546875" style="30" bestFit="1" customWidth="1"/>
    <col min="12553" max="12553" width="8.88671875" style="30"/>
    <col min="12554" max="12554" width="8" style="30" customWidth="1"/>
    <col min="12555" max="12555" width="5.44140625" style="30" customWidth="1"/>
    <col min="12556" max="12556" width="8.88671875" style="30"/>
    <col min="12557" max="12557" width="5.44140625" style="30" customWidth="1"/>
    <col min="12558" max="12558" width="15" style="30" customWidth="1"/>
    <col min="12559" max="12559" width="23.109375" style="30" customWidth="1"/>
    <col min="12560" max="12560" width="5" style="30" customWidth="1"/>
    <col min="12561" max="12562" width="8.88671875" style="30"/>
    <col min="12563" max="12563" width="13.44140625" style="30" bestFit="1" customWidth="1"/>
    <col min="12564" max="12564" width="10.5546875" style="30" bestFit="1" customWidth="1"/>
    <col min="12565" max="12565" width="8.88671875" style="30"/>
    <col min="12566" max="12566" width="17" style="30" bestFit="1" customWidth="1"/>
    <col min="12567" max="12567" width="8.88671875" style="30"/>
    <col min="12568" max="12568" width="14.5546875" style="30" customWidth="1"/>
    <col min="12569" max="12569" width="8.88671875" style="30"/>
    <col min="12570" max="12570" width="15.44140625" style="30" bestFit="1" customWidth="1"/>
    <col min="12571" max="12801" width="8.88671875" style="30"/>
    <col min="12802" max="12802" width="6.5546875" style="30" customWidth="1"/>
    <col min="12803" max="12804" width="8.88671875" style="30"/>
    <col min="12805" max="12805" width="9.44140625" style="30" customWidth="1"/>
    <col min="12806" max="12806" width="5.44140625" style="30" customWidth="1"/>
    <col min="12807" max="12807" width="6.5546875" style="30" customWidth="1"/>
    <col min="12808" max="12808" width="9.5546875" style="30" bestFit="1" customWidth="1"/>
    <col min="12809" max="12809" width="8.88671875" style="30"/>
    <col min="12810" max="12810" width="8" style="30" customWidth="1"/>
    <col min="12811" max="12811" width="5.44140625" style="30" customWidth="1"/>
    <col min="12812" max="12812" width="8.88671875" style="30"/>
    <col min="12813" max="12813" width="5.44140625" style="30" customWidth="1"/>
    <col min="12814" max="12814" width="15" style="30" customWidth="1"/>
    <col min="12815" max="12815" width="23.109375" style="30" customWidth="1"/>
    <col min="12816" max="12816" width="5" style="30" customWidth="1"/>
    <col min="12817" max="12818" width="8.88671875" style="30"/>
    <col min="12819" max="12819" width="13.44140625" style="30" bestFit="1" customWidth="1"/>
    <col min="12820" max="12820" width="10.5546875" style="30" bestFit="1" customWidth="1"/>
    <col min="12821" max="12821" width="8.88671875" style="30"/>
    <col min="12822" max="12822" width="17" style="30" bestFit="1" customWidth="1"/>
    <col min="12823" max="12823" width="8.88671875" style="30"/>
    <col min="12824" max="12824" width="14.5546875" style="30" customWidth="1"/>
    <col min="12825" max="12825" width="8.88671875" style="30"/>
    <col min="12826" max="12826" width="15.44140625" style="30" bestFit="1" customWidth="1"/>
    <col min="12827" max="13057" width="8.88671875" style="30"/>
    <col min="13058" max="13058" width="6.5546875" style="30" customWidth="1"/>
    <col min="13059" max="13060" width="8.88671875" style="30"/>
    <col min="13061" max="13061" width="9.44140625" style="30" customWidth="1"/>
    <col min="13062" max="13062" width="5.44140625" style="30" customWidth="1"/>
    <col min="13063" max="13063" width="6.5546875" style="30" customWidth="1"/>
    <col min="13064" max="13064" width="9.5546875" style="30" bestFit="1" customWidth="1"/>
    <col min="13065" max="13065" width="8.88671875" style="30"/>
    <col min="13066" max="13066" width="8" style="30" customWidth="1"/>
    <col min="13067" max="13067" width="5.44140625" style="30" customWidth="1"/>
    <col min="13068" max="13068" width="8.88671875" style="30"/>
    <col min="13069" max="13069" width="5.44140625" style="30" customWidth="1"/>
    <col min="13070" max="13070" width="15" style="30" customWidth="1"/>
    <col min="13071" max="13071" width="23.109375" style="30" customWidth="1"/>
    <col min="13072" max="13072" width="5" style="30" customWidth="1"/>
    <col min="13073" max="13074" width="8.88671875" style="30"/>
    <col min="13075" max="13075" width="13.44140625" style="30" bestFit="1" customWidth="1"/>
    <col min="13076" max="13076" width="10.5546875" style="30" bestFit="1" customWidth="1"/>
    <col min="13077" max="13077" width="8.88671875" style="30"/>
    <col min="13078" max="13078" width="17" style="30" bestFit="1" customWidth="1"/>
    <col min="13079" max="13079" width="8.88671875" style="30"/>
    <col min="13080" max="13080" width="14.5546875" style="30" customWidth="1"/>
    <col min="13081" max="13081" width="8.88671875" style="30"/>
    <col min="13082" max="13082" width="15.44140625" style="30" bestFit="1" customWidth="1"/>
    <col min="13083" max="13313" width="8.88671875" style="30"/>
    <col min="13314" max="13314" width="6.5546875" style="30" customWidth="1"/>
    <col min="13315" max="13316" width="8.88671875" style="30"/>
    <col min="13317" max="13317" width="9.44140625" style="30" customWidth="1"/>
    <col min="13318" max="13318" width="5.44140625" style="30" customWidth="1"/>
    <col min="13319" max="13319" width="6.5546875" style="30" customWidth="1"/>
    <col min="13320" max="13320" width="9.5546875" style="30" bestFit="1" customWidth="1"/>
    <col min="13321" max="13321" width="8.88671875" style="30"/>
    <col min="13322" max="13322" width="8" style="30" customWidth="1"/>
    <col min="13323" max="13323" width="5.44140625" style="30" customWidth="1"/>
    <col min="13324" max="13324" width="8.88671875" style="30"/>
    <col min="13325" max="13325" width="5.44140625" style="30" customWidth="1"/>
    <col min="13326" max="13326" width="15" style="30" customWidth="1"/>
    <col min="13327" max="13327" width="23.109375" style="30" customWidth="1"/>
    <col min="13328" max="13328" width="5" style="30" customWidth="1"/>
    <col min="13329" max="13330" width="8.88671875" style="30"/>
    <col min="13331" max="13331" width="13.44140625" style="30" bestFit="1" customWidth="1"/>
    <col min="13332" max="13332" width="10.5546875" style="30" bestFit="1" customWidth="1"/>
    <col min="13333" max="13333" width="8.88671875" style="30"/>
    <col min="13334" max="13334" width="17" style="30" bestFit="1" customWidth="1"/>
    <col min="13335" max="13335" width="8.88671875" style="30"/>
    <col min="13336" max="13336" width="14.5546875" style="30" customWidth="1"/>
    <col min="13337" max="13337" width="8.88671875" style="30"/>
    <col min="13338" max="13338" width="15.44140625" style="30" bestFit="1" customWidth="1"/>
    <col min="13339" max="13569" width="8.88671875" style="30"/>
    <col min="13570" max="13570" width="6.5546875" style="30" customWidth="1"/>
    <col min="13571" max="13572" width="8.88671875" style="30"/>
    <col min="13573" max="13573" width="9.44140625" style="30" customWidth="1"/>
    <col min="13574" max="13574" width="5.44140625" style="30" customWidth="1"/>
    <col min="13575" max="13575" width="6.5546875" style="30" customWidth="1"/>
    <col min="13576" max="13576" width="9.5546875" style="30" bestFit="1" customWidth="1"/>
    <col min="13577" max="13577" width="8.88671875" style="30"/>
    <col min="13578" max="13578" width="8" style="30" customWidth="1"/>
    <col min="13579" max="13579" width="5.44140625" style="30" customWidth="1"/>
    <col min="13580" max="13580" width="8.88671875" style="30"/>
    <col min="13581" max="13581" width="5.44140625" style="30" customWidth="1"/>
    <col min="13582" max="13582" width="15" style="30" customWidth="1"/>
    <col min="13583" max="13583" width="23.109375" style="30" customWidth="1"/>
    <col min="13584" max="13584" width="5" style="30" customWidth="1"/>
    <col min="13585" max="13586" width="8.88671875" style="30"/>
    <col min="13587" max="13587" width="13.44140625" style="30" bestFit="1" customWidth="1"/>
    <col min="13588" max="13588" width="10.5546875" style="30" bestFit="1" customWidth="1"/>
    <col min="13589" max="13589" width="8.88671875" style="30"/>
    <col min="13590" max="13590" width="17" style="30" bestFit="1" customWidth="1"/>
    <col min="13591" max="13591" width="8.88671875" style="30"/>
    <col min="13592" max="13592" width="14.5546875" style="30" customWidth="1"/>
    <col min="13593" max="13593" width="8.88671875" style="30"/>
    <col min="13594" max="13594" width="15.44140625" style="30" bestFit="1" customWidth="1"/>
    <col min="13595" max="13825" width="8.88671875" style="30"/>
    <col min="13826" max="13826" width="6.5546875" style="30" customWidth="1"/>
    <col min="13827" max="13828" width="8.88671875" style="30"/>
    <col min="13829" max="13829" width="9.44140625" style="30" customWidth="1"/>
    <col min="13830" max="13830" width="5.44140625" style="30" customWidth="1"/>
    <col min="13831" max="13831" width="6.5546875" style="30" customWidth="1"/>
    <col min="13832" max="13832" width="9.5546875" style="30" bestFit="1" customWidth="1"/>
    <col min="13833" max="13833" width="8.88671875" style="30"/>
    <col min="13834" max="13834" width="8" style="30" customWidth="1"/>
    <col min="13835" max="13835" width="5.44140625" style="30" customWidth="1"/>
    <col min="13836" max="13836" width="8.88671875" style="30"/>
    <col min="13837" max="13837" width="5.44140625" style="30" customWidth="1"/>
    <col min="13838" max="13838" width="15" style="30" customWidth="1"/>
    <col min="13839" max="13839" width="23.109375" style="30" customWidth="1"/>
    <col min="13840" max="13840" width="5" style="30" customWidth="1"/>
    <col min="13841" max="13842" width="8.88671875" style="30"/>
    <col min="13843" max="13843" width="13.44140625" style="30" bestFit="1" customWidth="1"/>
    <col min="13844" max="13844" width="10.5546875" style="30" bestFit="1" customWidth="1"/>
    <col min="13845" max="13845" width="8.88671875" style="30"/>
    <col min="13846" max="13846" width="17" style="30" bestFit="1" customWidth="1"/>
    <col min="13847" max="13847" width="8.88671875" style="30"/>
    <col min="13848" max="13848" width="14.5546875" style="30" customWidth="1"/>
    <col min="13849" max="13849" width="8.88671875" style="30"/>
    <col min="13850" max="13850" width="15.44140625" style="30" bestFit="1" customWidth="1"/>
    <col min="13851" max="14081" width="8.88671875" style="30"/>
    <col min="14082" max="14082" width="6.5546875" style="30" customWidth="1"/>
    <col min="14083" max="14084" width="8.88671875" style="30"/>
    <col min="14085" max="14085" width="9.44140625" style="30" customWidth="1"/>
    <col min="14086" max="14086" width="5.44140625" style="30" customWidth="1"/>
    <col min="14087" max="14087" width="6.5546875" style="30" customWidth="1"/>
    <col min="14088" max="14088" width="9.5546875" style="30" bestFit="1" customWidth="1"/>
    <col min="14089" max="14089" width="8.88671875" style="30"/>
    <col min="14090" max="14090" width="8" style="30" customWidth="1"/>
    <col min="14091" max="14091" width="5.44140625" style="30" customWidth="1"/>
    <col min="14092" max="14092" width="8.88671875" style="30"/>
    <col min="14093" max="14093" width="5.44140625" style="30" customWidth="1"/>
    <col min="14094" max="14094" width="15" style="30" customWidth="1"/>
    <col min="14095" max="14095" width="23.109375" style="30" customWidth="1"/>
    <col min="14096" max="14096" width="5" style="30" customWidth="1"/>
    <col min="14097" max="14098" width="8.88671875" style="30"/>
    <col min="14099" max="14099" width="13.44140625" style="30" bestFit="1" customWidth="1"/>
    <col min="14100" max="14100" width="10.5546875" style="30" bestFit="1" customWidth="1"/>
    <col min="14101" max="14101" width="8.88671875" style="30"/>
    <col min="14102" max="14102" width="17" style="30" bestFit="1" customWidth="1"/>
    <col min="14103" max="14103" width="8.88671875" style="30"/>
    <col min="14104" max="14104" width="14.5546875" style="30" customWidth="1"/>
    <col min="14105" max="14105" width="8.88671875" style="30"/>
    <col min="14106" max="14106" width="15.44140625" style="30" bestFit="1" customWidth="1"/>
    <col min="14107" max="14337" width="8.88671875" style="30"/>
    <col min="14338" max="14338" width="6.5546875" style="30" customWidth="1"/>
    <col min="14339" max="14340" width="8.88671875" style="30"/>
    <col min="14341" max="14341" width="9.44140625" style="30" customWidth="1"/>
    <col min="14342" max="14342" width="5.44140625" style="30" customWidth="1"/>
    <col min="14343" max="14343" width="6.5546875" style="30" customWidth="1"/>
    <col min="14344" max="14344" width="9.5546875" style="30" bestFit="1" customWidth="1"/>
    <col min="14345" max="14345" width="8.88671875" style="30"/>
    <col min="14346" max="14346" width="8" style="30" customWidth="1"/>
    <col min="14347" max="14347" width="5.44140625" style="30" customWidth="1"/>
    <col min="14348" max="14348" width="8.88671875" style="30"/>
    <col min="14349" max="14349" width="5.44140625" style="30" customWidth="1"/>
    <col min="14350" max="14350" width="15" style="30" customWidth="1"/>
    <col min="14351" max="14351" width="23.109375" style="30" customWidth="1"/>
    <col min="14352" max="14352" width="5" style="30" customWidth="1"/>
    <col min="14353" max="14354" width="8.88671875" style="30"/>
    <col min="14355" max="14355" width="13.44140625" style="30" bestFit="1" customWidth="1"/>
    <col min="14356" max="14356" width="10.5546875" style="30" bestFit="1" customWidth="1"/>
    <col min="14357" max="14357" width="8.88671875" style="30"/>
    <col min="14358" max="14358" width="17" style="30" bestFit="1" customWidth="1"/>
    <col min="14359" max="14359" width="8.88671875" style="30"/>
    <col min="14360" max="14360" width="14.5546875" style="30" customWidth="1"/>
    <col min="14361" max="14361" width="8.88671875" style="30"/>
    <col min="14362" max="14362" width="15.44140625" style="30" bestFit="1" customWidth="1"/>
    <col min="14363" max="14593" width="8.88671875" style="30"/>
    <col min="14594" max="14594" width="6.5546875" style="30" customWidth="1"/>
    <col min="14595" max="14596" width="8.88671875" style="30"/>
    <col min="14597" max="14597" width="9.44140625" style="30" customWidth="1"/>
    <col min="14598" max="14598" width="5.44140625" style="30" customWidth="1"/>
    <col min="14599" max="14599" width="6.5546875" style="30" customWidth="1"/>
    <col min="14600" max="14600" width="9.5546875" style="30" bestFit="1" customWidth="1"/>
    <col min="14601" max="14601" width="8.88671875" style="30"/>
    <col min="14602" max="14602" width="8" style="30" customWidth="1"/>
    <col min="14603" max="14603" width="5.44140625" style="30" customWidth="1"/>
    <col min="14604" max="14604" width="8.88671875" style="30"/>
    <col min="14605" max="14605" width="5.44140625" style="30" customWidth="1"/>
    <col min="14606" max="14606" width="15" style="30" customWidth="1"/>
    <col min="14607" max="14607" width="23.109375" style="30" customWidth="1"/>
    <col min="14608" max="14608" width="5" style="30" customWidth="1"/>
    <col min="14609" max="14610" width="8.88671875" style="30"/>
    <col min="14611" max="14611" width="13.44140625" style="30" bestFit="1" customWidth="1"/>
    <col min="14612" max="14612" width="10.5546875" style="30" bestFit="1" customWidth="1"/>
    <col min="14613" max="14613" width="8.88671875" style="30"/>
    <col min="14614" max="14614" width="17" style="30" bestFit="1" customWidth="1"/>
    <col min="14615" max="14615" width="8.88671875" style="30"/>
    <col min="14616" max="14616" width="14.5546875" style="30" customWidth="1"/>
    <col min="14617" max="14617" width="8.88671875" style="30"/>
    <col min="14618" max="14618" width="15.44140625" style="30" bestFit="1" customWidth="1"/>
    <col min="14619" max="14849" width="8.88671875" style="30"/>
    <col min="14850" max="14850" width="6.5546875" style="30" customWidth="1"/>
    <col min="14851" max="14852" width="8.88671875" style="30"/>
    <col min="14853" max="14853" width="9.44140625" style="30" customWidth="1"/>
    <col min="14854" max="14854" width="5.44140625" style="30" customWidth="1"/>
    <col min="14855" max="14855" width="6.5546875" style="30" customWidth="1"/>
    <col min="14856" max="14856" width="9.5546875" style="30" bestFit="1" customWidth="1"/>
    <col min="14857" max="14857" width="8.88671875" style="30"/>
    <col min="14858" max="14858" width="8" style="30" customWidth="1"/>
    <col min="14859" max="14859" width="5.44140625" style="30" customWidth="1"/>
    <col min="14860" max="14860" width="8.88671875" style="30"/>
    <col min="14861" max="14861" width="5.44140625" style="30" customWidth="1"/>
    <col min="14862" max="14862" width="15" style="30" customWidth="1"/>
    <col min="14863" max="14863" width="23.109375" style="30" customWidth="1"/>
    <col min="14864" max="14864" width="5" style="30" customWidth="1"/>
    <col min="14865" max="14866" width="8.88671875" style="30"/>
    <col min="14867" max="14867" width="13.44140625" style="30" bestFit="1" customWidth="1"/>
    <col min="14868" max="14868" width="10.5546875" style="30" bestFit="1" customWidth="1"/>
    <col min="14869" max="14869" width="8.88671875" style="30"/>
    <col min="14870" max="14870" width="17" style="30" bestFit="1" customWidth="1"/>
    <col min="14871" max="14871" width="8.88671875" style="30"/>
    <col min="14872" max="14872" width="14.5546875" style="30" customWidth="1"/>
    <col min="14873" max="14873" width="8.88671875" style="30"/>
    <col min="14874" max="14874" width="15.44140625" style="30" bestFit="1" customWidth="1"/>
    <col min="14875" max="15105" width="8.88671875" style="30"/>
    <col min="15106" max="15106" width="6.5546875" style="30" customWidth="1"/>
    <col min="15107" max="15108" width="8.88671875" style="30"/>
    <col min="15109" max="15109" width="9.44140625" style="30" customWidth="1"/>
    <col min="15110" max="15110" width="5.44140625" style="30" customWidth="1"/>
    <col min="15111" max="15111" width="6.5546875" style="30" customWidth="1"/>
    <col min="15112" max="15112" width="9.5546875" style="30" bestFit="1" customWidth="1"/>
    <col min="15113" max="15113" width="8.88671875" style="30"/>
    <col min="15114" max="15114" width="8" style="30" customWidth="1"/>
    <col min="15115" max="15115" width="5.44140625" style="30" customWidth="1"/>
    <col min="15116" max="15116" width="8.88671875" style="30"/>
    <col min="15117" max="15117" width="5.44140625" style="30" customWidth="1"/>
    <col min="15118" max="15118" width="15" style="30" customWidth="1"/>
    <col min="15119" max="15119" width="23.109375" style="30" customWidth="1"/>
    <col min="15120" max="15120" width="5" style="30" customWidth="1"/>
    <col min="15121" max="15122" width="8.88671875" style="30"/>
    <col min="15123" max="15123" width="13.44140625" style="30" bestFit="1" customWidth="1"/>
    <col min="15124" max="15124" width="10.5546875" style="30" bestFit="1" customWidth="1"/>
    <col min="15125" max="15125" width="8.88671875" style="30"/>
    <col min="15126" max="15126" width="17" style="30" bestFit="1" customWidth="1"/>
    <col min="15127" max="15127" width="8.88671875" style="30"/>
    <col min="15128" max="15128" width="14.5546875" style="30" customWidth="1"/>
    <col min="15129" max="15129" width="8.88671875" style="30"/>
    <col min="15130" max="15130" width="15.44140625" style="30" bestFit="1" customWidth="1"/>
    <col min="15131" max="15361" width="8.88671875" style="30"/>
    <col min="15362" max="15362" width="6.5546875" style="30" customWidth="1"/>
    <col min="15363" max="15364" width="8.88671875" style="30"/>
    <col min="15365" max="15365" width="9.44140625" style="30" customWidth="1"/>
    <col min="15366" max="15366" width="5.44140625" style="30" customWidth="1"/>
    <col min="15367" max="15367" width="6.5546875" style="30" customWidth="1"/>
    <col min="15368" max="15368" width="9.5546875" style="30" bestFit="1" customWidth="1"/>
    <col min="15369" max="15369" width="8.88671875" style="30"/>
    <col min="15370" max="15370" width="8" style="30" customWidth="1"/>
    <col min="15371" max="15371" width="5.44140625" style="30" customWidth="1"/>
    <col min="15372" max="15372" width="8.88671875" style="30"/>
    <col min="15373" max="15373" width="5.44140625" style="30" customWidth="1"/>
    <col min="15374" max="15374" width="15" style="30" customWidth="1"/>
    <col min="15375" max="15375" width="23.109375" style="30" customWidth="1"/>
    <col min="15376" max="15376" width="5" style="30" customWidth="1"/>
    <col min="15377" max="15378" width="8.88671875" style="30"/>
    <col min="15379" max="15379" width="13.44140625" style="30" bestFit="1" customWidth="1"/>
    <col min="15380" max="15380" width="10.5546875" style="30" bestFit="1" customWidth="1"/>
    <col min="15381" max="15381" width="8.88671875" style="30"/>
    <col min="15382" max="15382" width="17" style="30" bestFit="1" customWidth="1"/>
    <col min="15383" max="15383" width="8.88671875" style="30"/>
    <col min="15384" max="15384" width="14.5546875" style="30" customWidth="1"/>
    <col min="15385" max="15385" width="8.88671875" style="30"/>
    <col min="15386" max="15386" width="15.44140625" style="30" bestFit="1" customWidth="1"/>
    <col min="15387" max="15617" width="8.88671875" style="30"/>
    <col min="15618" max="15618" width="6.5546875" style="30" customWidth="1"/>
    <col min="15619" max="15620" width="8.88671875" style="30"/>
    <col min="15621" max="15621" width="9.44140625" style="30" customWidth="1"/>
    <col min="15622" max="15622" width="5.44140625" style="30" customWidth="1"/>
    <col min="15623" max="15623" width="6.5546875" style="30" customWidth="1"/>
    <col min="15624" max="15624" width="9.5546875" style="30" bestFit="1" customWidth="1"/>
    <col min="15625" max="15625" width="8.88671875" style="30"/>
    <col min="15626" max="15626" width="8" style="30" customWidth="1"/>
    <col min="15627" max="15627" width="5.44140625" style="30" customWidth="1"/>
    <col min="15628" max="15628" width="8.88671875" style="30"/>
    <col min="15629" max="15629" width="5.44140625" style="30" customWidth="1"/>
    <col min="15630" max="15630" width="15" style="30" customWidth="1"/>
    <col min="15631" max="15631" width="23.109375" style="30" customWidth="1"/>
    <col min="15632" max="15632" width="5" style="30" customWidth="1"/>
    <col min="15633" max="15634" width="8.88671875" style="30"/>
    <col min="15635" max="15635" width="13.44140625" style="30" bestFit="1" customWidth="1"/>
    <col min="15636" max="15636" width="10.5546875" style="30" bestFit="1" customWidth="1"/>
    <col min="15637" max="15637" width="8.88671875" style="30"/>
    <col min="15638" max="15638" width="17" style="30" bestFit="1" customWidth="1"/>
    <col min="15639" max="15639" width="8.88671875" style="30"/>
    <col min="15640" max="15640" width="14.5546875" style="30" customWidth="1"/>
    <col min="15641" max="15641" width="8.88671875" style="30"/>
    <col min="15642" max="15642" width="15.44140625" style="30" bestFit="1" customWidth="1"/>
    <col min="15643" max="15873" width="8.88671875" style="30"/>
    <col min="15874" max="15874" width="6.5546875" style="30" customWidth="1"/>
    <col min="15875" max="15876" width="8.88671875" style="30"/>
    <col min="15877" max="15877" width="9.44140625" style="30" customWidth="1"/>
    <col min="15878" max="15878" width="5.44140625" style="30" customWidth="1"/>
    <col min="15879" max="15879" width="6.5546875" style="30" customWidth="1"/>
    <col min="15880" max="15880" width="9.5546875" style="30" bestFit="1" customWidth="1"/>
    <col min="15881" max="15881" width="8.88671875" style="30"/>
    <col min="15882" max="15882" width="8" style="30" customWidth="1"/>
    <col min="15883" max="15883" width="5.44140625" style="30" customWidth="1"/>
    <col min="15884" max="15884" width="8.88671875" style="30"/>
    <col min="15885" max="15885" width="5.44140625" style="30" customWidth="1"/>
    <col min="15886" max="15886" width="15" style="30" customWidth="1"/>
    <col min="15887" max="15887" width="23.109375" style="30" customWidth="1"/>
    <col min="15888" max="15888" width="5" style="30" customWidth="1"/>
    <col min="15889" max="15890" width="8.88671875" style="30"/>
    <col min="15891" max="15891" width="13.44140625" style="30" bestFit="1" customWidth="1"/>
    <col min="15892" max="15892" width="10.5546875" style="30" bestFit="1" customWidth="1"/>
    <col min="15893" max="15893" width="8.88671875" style="30"/>
    <col min="15894" max="15894" width="17" style="30" bestFit="1" customWidth="1"/>
    <col min="15895" max="15895" width="8.88671875" style="30"/>
    <col min="15896" max="15896" width="14.5546875" style="30" customWidth="1"/>
    <col min="15897" max="15897" width="8.88671875" style="30"/>
    <col min="15898" max="15898" width="15.44140625" style="30" bestFit="1" customWidth="1"/>
    <col min="15899" max="16129" width="8.88671875" style="30"/>
    <col min="16130" max="16130" width="6.5546875" style="30" customWidth="1"/>
    <col min="16131" max="16132" width="8.88671875" style="30"/>
    <col min="16133" max="16133" width="9.44140625" style="30" customWidth="1"/>
    <col min="16134" max="16134" width="5.44140625" style="30" customWidth="1"/>
    <col min="16135" max="16135" width="6.5546875" style="30" customWidth="1"/>
    <col min="16136" max="16136" width="9.5546875" style="30" bestFit="1" customWidth="1"/>
    <col min="16137" max="16137" width="8.88671875" style="30"/>
    <col min="16138" max="16138" width="8" style="30" customWidth="1"/>
    <col min="16139" max="16139" width="5.44140625" style="30" customWidth="1"/>
    <col min="16140" max="16140" width="8.88671875" style="30"/>
    <col min="16141" max="16141" width="5.44140625" style="30" customWidth="1"/>
    <col min="16142" max="16142" width="15" style="30" customWidth="1"/>
    <col min="16143" max="16143" width="23.109375" style="30" customWidth="1"/>
    <col min="16144" max="16144" width="5" style="30" customWidth="1"/>
    <col min="16145" max="16146" width="8.88671875" style="30"/>
    <col min="16147" max="16147" width="13.44140625" style="30" bestFit="1" customWidth="1"/>
    <col min="16148" max="16148" width="10.5546875" style="30" bestFit="1" customWidth="1"/>
    <col min="16149" max="16149" width="8.88671875" style="30"/>
    <col min="16150" max="16150" width="17" style="30" bestFit="1" customWidth="1"/>
    <col min="16151" max="16151" width="8.88671875" style="30"/>
    <col min="16152" max="16152" width="14.5546875" style="30" customWidth="1"/>
    <col min="16153" max="16153" width="8.88671875" style="30"/>
    <col min="16154" max="16154" width="15.44140625" style="30" bestFit="1" customWidth="1"/>
    <col min="16155" max="16384" width="8.88671875" style="30"/>
  </cols>
  <sheetData>
    <row r="2" spans="2:16" ht="18">
      <c r="B2" s="295" t="s">
        <v>57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</row>
    <row r="3" spans="2:16" ht="18">
      <c r="B3" s="295" t="s">
        <v>58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</row>
    <row r="6" spans="2:16" ht="18">
      <c r="B6" s="288" t="s">
        <v>59</v>
      </c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</row>
    <row r="8" spans="2:16">
      <c r="C8" s="30" t="s">
        <v>60</v>
      </c>
      <c r="G8" s="292" t="s">
        <v>171</v>
      </c>
      <c r="H8" s="294"/>
      <c r="I8" s="293"/>
      <c r="J8" s="31"/>
    </row>
    <row r="9" spans="2:16" ht="6.6" customHeight="1"/>
    <row r="10" spans="2:16">
      <c r="C10" s="30" t="s">
        <v>61</v>
      </c>
      <c r="G10" s="32" t="str">
        <f>+CCF!A2</f>
        <v>AL SERVICIOS MULTIPLES EMPRESARIALES SA DE CV</v>
      </c>
      <c r="H10" s="33"/>
      <c r="I10" s="33"/>
      <c r="J10" s="33"/>
      <c r="K10" s="33"/>
      <c r="L10" s="33"/>
      <c r="M10" s="33"/>
      <c r="N10" s="34"/>
    </row>
    <row r="12" spans="2:16" s="35" customFormat="1" ht="18">
      <c r="B12" s="288" t="s">
        <v>62</v>
      </c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</row>
    <row r="14" spans="2:16">
      <c r="C14" s="30" t="s">
        <v>63</v>
      </c>
      <c r="G14" s="289" t="s">
        <v>111</v>
      </c>
      <c r="H14" s="290"/>
      <c r="I14" s="291"/>
      <c r="J14" s="36"/>
      <c r="L14" s="30" t="s">
        <v>64</v>
      </c>
      <c r="O14" s="37"/>
    </row>
    <row r="15" spans="2:16" ht="8.4" customHeight="1"/>
    <row r="16" spans="2:16">
      <c r="C16" s="30" t="s">
        <v>65</v>
      </c>
      <c r="G16" s="289" t="s">
        <v>66</v>
      </c>
      <c r="H16" s="290"/>
      <c r="I16" s="291"/>
      <c r="J16" s="36"/>
      <c r="L16" s="30" t="s">
        <v>67</v>
      </c>
      <c r="O16" s="37">
        <v>2024</v>
      </c>
    </row>
    <row r="17" spans="2:16" ht="9.6" customHeight="1"/>
    <row r="18" spans="2:16">
      <c r="C18" s="30" t="s">
        <v>68</v>
      </c>
      <c r="K18" s="37" t="s">
        <v>69</v>
      </c>
    </row>
    <row r="20" spans="2:16" s="35" customFormat="1" ht="18" hidden="1">
      <c r="B20" s="288" t="s">
        <v>70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</row>
    <row r="21" spans="2:16" hidden="1"/>
    <row r="22" spans="2:16" hidden="1">
      <c r="C22" s="30" t="s">
        <v>71</v>
      </c>
      <c r="E22" s="38"/>
      <c r="F22" s="33"/>
      <c r="G22" s="33"/>
      <c r="H22" s="33"/>
      <c r="I22" s="33"/>
      <c r="J22" s="33"/>
      <c r="K22" s="33"/>
      <c r="L22" s="34"/>
      <c r="N22" s="30" t="s">
        <v>72</v>
      </c>
      <c r="O22" s="39"/>
    </row>
    <row r="23" spans="2:16" ht="7.5" hidden="1" customHeight="1"/>
    <row r="24" spans="2:16" hidden="1">
      <c r="C24" s="30" t="s">
        <v>73</v>
      </c>
      <c r="E24" s="38"/>
      <c r="F24" s="34"/>
      <c r="H24" s="30" t="s">
        <v>74</v>
      </c>
      <c r="I24" s="38"/>
      <c r="J24" s="33"/>
      <c r="K24" s="33"/>
      <c r="L24" s="33"/>
      <c r="M24" s="33"/>
      <c r="N24" s="33"/>
      <c r="O24" s="34"/>
    </row>
    <row r="25" spans="2:16" ht="9" hidden="1" customHeight="1"/>
    <row r="26" spans="2:16" hidden="1">
      <c r="C26" s="30" t="s">
        <v>75</v>
      </c>
      <c r="E26" s="292"/>
      <c r="F26" s="293"/>
      <c r="H26" s="30" t="s">
        <v>76</v>
      </c>
      <c r="I26" s="289" t="s">
        <v>77</v>
      </c>
      <c r="J26" s="290"/>
      <c r="K26" s="290"/>
      <c r="L26" s="290"/>
      <c r="M26" s="291"/>
      <c r="N26" s="31" t="s">
        <v>78</v>
      </c>
      <c r="O26" s="40" t="s">
        <v>77</v>
      </c>
    </row>
    <row r="27" spans="2:16" hidden="1"/>
    <row r="28" spans="2:16" hidden="1">
      <c r="C28" s="30" t="s">
        <v>79</v>
      </c>
      <c r="D28" s="292"/>
      <c r="E28" s="294"/>
      <c r="F28" s="293"/>
      <c r="H28" s="30" t="s">
        <v>80</v>
      </c>
      <c r="I28" s="292"/>
      <c r="J28" s="294"/>
      <c r="K28" s="294"/>
      <c r="L28" s="294"/>
      <c r="M28" s="293"/>
    </row>
    <row r="29" spans="2:16" hidden="1"/>
    <row r="30" spans="2:16" ht="14.4" hidden="1">
      <c r="B30" s="30" t="s">
        <v>81</v>
      </c>
    </row>
    <row r="31" spans="2:16" hidden="1"/>
    <row r="32" spans="2:16" s="35" customFormat="1" ht="18">
      <c r="B32" s="288" t="s">
        <v>82</v>
      </c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</row>
    <row r="34" spans="3:26" ht="17.100000000000001" hidden="1" customHeight="1">
      <c r="C34" s="41" t="s">
        <v>83</v>
      </c>
      <c r="D34" s="42"/>
      <c r="E34" s="42"/>
      <c r="F34" s="42"/>
      <c r="G34" s="296">
        <v>0</v>
      </c>
      <c r="H34" s="297"/>
      <c r="I34" s="298"/>
      <c r="J34" s="43"/>
      <c r="K34" s="30" t="s">
        <v>84</v>
      </c>
      <c r="O34" s="44">
        <v>0</v>
      </c>
      <c r="V34" s="45"/>
    </row>
    <row r="35" spans="3:26" ht="14.4" hidden="1">
      <c r="C35" s="41"/>
      <c r="D35" s="42"/>
      <c r="E35" s="42"/>
      <c r="F35" s="42"/>
      <c r="G35" s="42"/>
      <c r="O35" s="42"/>
    </row>
    <row r="36" spans="3:26" ht="17.100000000000001" hidden="1" customHeight="1">
      <c r="C36" s="30" t="s">
        <v>85</v>
      </c>
      <c r="D36" s="42"/>
      <c r="E36" s="42"/>
      <c r="F36" s="42"/>
      <c r="G36" s="296">
        <f>+[21]CCF!B8</f>
        <v>1194204.73</v>
      </c>
      <c r="H36" s="297"/>
      <c r="I36" s="298"/>
      <c r="J36" s="43"/>
      <c r="K36" s="30" t="s">
        <v>86</v>
      </c>
      <c r="O36" s="44">
        <f>+[21]CCF!D78</f>
        <v>340083.72</v>
      </c>
      <c r="V36" s="45"/>
    </row>
    <row r="37" spans="3:26" ht="14.4" hidden="1">
      <c r="C37" s="41"/>
      <c r="D37" s="42"/>
      <c r="E37" s="42"/>
      <c r="F37" s="42"/>
      <c r="G37" s="43"/>
      <c r="O37" s="43"/>
    </row>
    <row r="38" spans="3:26" ht="17.100000000000001" hidden="1" customHeight="1">
      <c r="C38" s="30" t="s">
        <v>87</v>
      </c>
      <c r="D38" s="42"/>
      <c r="E38" s="42"/>
      <c r="F38" s="42"/>
      <c r="G38" s="296">
        <f>+G36-G34</f>
        <v>1194204.73</v>
      </c>
      <c r="H38" s="297"/>
      <c r="I38" s="298"/>
      <c r="J38" s="46" t="e">
        <f>+G38/G34*100%</f>
        <v>#DIV/0!</v>
      </c>
      <c r="K38" s="30" t="s">
        <v>88</v>
      </c>
      <c r="O38" s="44">
        <f>+O36-O34</f>
        <v>340083.72</v>
      </c>
      <c r="P38" s="46" t="e">
        <f>+O38/O34*100%</f>
        <v>#DIV/0!</v>
      </c>
      <c r="X38" s="47"/>
      <c r="Z38" s="47"/>
    </row>
    <row r="39" spans="3:26" ht="17.100000000000001" hidden="1" customHeight="1">
      <c r="C39" s="41"/>
      <c r="D39" s="42"/>
      <c r="E39" s="42"/>
      <c r="F39" s="42"/>
      <c r="G39" s="42"/>
      <c r="H39" s="42"/>
      <c r="K39" s="41"/>
      <c r="L39" s="42"/>
      <c r="M39" s="42"/>
      <c r="N39" s="42"/>
      <c r="O39" s="43"/>
    </row>
    <row r="40" spans="3:26" ht="6" hidden="1" customHeight="1">
      <c r="C40" s="41"/>
      <c r="D40" s="42"/>
      <c r="E40" s="42"/>
      <c r="F40" s="42"/>
      <c r="G40" s="42"/>
      <c r="H40" s="42"/>
      <c r="K40" s="41"/>
      <c r="L40" s="42"/>
      <c r="M40" s="42"/>
      <c r="N40" s="42"/>
      <c r="O40" s="43"/>
    </row>
    <row r="41" spans="3:26" ht="17.100000000000001" hidden="1" customHeight="1">
      <c r="C41" s="30" t="s">
        <v>89</v>
      </c>
      <c r="D41" s="42"/>
      <c r="E41" s="42"/>
      <c r="F41" s="42"/>
      <c r="G41" s="296">
        <f>+G38-O38</f>
        <v>854121.01</v>
      </c>
      <c r="H41" s="297"/>
      <c r="I41" s="298"/>
      <c r="K41" s="41" t="s">
        <v>90</v>
      </c>
      <c r="L41" s="42"/>
      <c r="M41" s="42"/>
      <c r="N41" s="42"/>
      <c r="O41" s="44">
        <f>+G41*0.3</f>
        <v>256236.30299999999</v>
      </c>
      <c r="V41" s="48"/>
      <c r="X41" s="47"/>
      <c r="Z41" s="47"/>
    </row>
    <row r="42" spans="3:26" ht="14.4" hidden="1">
      <c r="C42" s="41"/>
      <c r="D42" s="42"/>
      <c r="E42" s="42"/>
      <c r="F42" s="42"/>
      <c r="G42" s="42"/>
      <c r="H42" s="42"/>
      <c r="K42" s="41"/>
      <c r="L42" s="42"/>
      <c r="M42" s="42"/>
      <c r="N42" s="42"/>
      <c r="O42" s="43"/>
      <c r="S42" s="49"/>
    </row>
    <row r="43" spans="3:26" ht="17.100000000000001" hidden="1" customHeight="1">
      <c r="C43" s="30" t="s">
        <v>91</v>
      </c>
      <c r="D43" s="42"/>
      <c r="E43" s="42"/>
      <c r="F43" s="42"/>
      <c r="G43" s="296">
        <v>0</v>
      </c>
      <c r="H43" s="297"/>
      <c r="I43" s="298"/>
      <c r="K43" s="41" t="s">
        <v>92</v>
      </c>
      <c r="L43" s="42"/>
      <c r="M43" s="42"/>
      <c r="N43" s="42"/>
      <c r="O43" s="44">
        <f>+G43+O41</f>
        <v>256236.30299999999</v>
      </c>
      <c r="V43" s="47"/>
      <c r="X43" s="47"/>
    </row>
    <row r="44" spans="3:26" ht="14.4" hidden="1">
      <c r="C44" s="41"/>
      <c r="D44" s="42"/>
      <c r="E44" s="42"/>
      <c r="F44" s="42"/>
      <c r="G44" s="42"/>
      <c r="H44" s="42"/>
      <c r="K44" s="41"/>
      <c r="L44" s="42"/>
      <c r="M44" s="42"/>
      <c r="N44" s="42"/>
      <c r="O44" s="43"/>
    </row>
    <row r="45" spans="3:26" ht="17.100000000000001" hidden="1" customHeight="1">
      <c r="C45" s="41" t="s">
        <v>93</v>
      </c>
      <c r="D45" s="42"/>
      <c r="E45" s="42"/>
      <c r="F45" s="42"/>
      <c r="G45" s="296" t="e">
        <f>+O49-G43</f>
        <v>#REF!</v>
      </c>
      <c r="H45" s="297"/>
      <c r="I45" s="298"/>
      <c r="K45" s="41"/>
      <c r="L45" s="42"/>
      <c r="M45" s="42"/>
      <c r="N45" s="42"/>
      <c r="O45" s="43"/>
    </row>
    <row r="46" spans="3:26" ht="17.100000000000001" hidden="1" customHeight="1">
      <c r="C46" s="50"/>
      <c r="D46" s="51"/>
      <c r="E46" s="51"/>
      <c r="F46" s="51"/>
      <c r="G46" s="51"/>
      <c r="H46" s="51"/>
      <c r="I46" s="52"/>
      <c r="J46" s="52"/>
      <c r="K46" s="50"/>
      <c r="L46" s="51"/>
      <c r="M46" s="51"/>
      <c r="N46" s="51"/>
      <c r="O46" s="53"/>
    </row>
    <row r="47" spans="3:26" ht="17.100000000000001" hidden="1" customHeight="1">
      <c r="C47" s="41"/>
      <c r="D47" s="42"/>
      <c r="E47" s="42"/>
      <c r="F47" s="42"/>
      <c r="G47" s="42"/>
      <c r="H47" s="42"/>
      <c r="K47" s="41"/>
      <c r="L47" s="42"/>
      <c r="M47" s="42"/>
      <c r="N47" s="42"/>
      <c r="O47" s="43"/>
    </row>
    <row r="48" spans="3:26" ht="14.4">
      <c r="C48" s="41"/>
      <c r="D48" s="42"/>
      <c r="E48" s="42"/>
      <c r="F48" s="42"/>
      <c r="G48" s="42"/>
      <c r="H48" s="42"/>
      <c r="K48" s="41"/>
      <c r="L48" s="42"/>
      <c r="M48" s="42"/>
      <c r="N48" s="42"/>
      <c r="O48" s="43"/>
    </row>
    <row r="49" spans="3:19" ht="20.100000000000001" customHeight="1">
      <c r="C49" s="41" t="s">
        <v>94</v>
      </c>
      <c r="D49" s="54"/>
      <c r="E49" s="54"/>
      <c r="F49" s="54"/>
      <c r="G49" s="296">
        <v>11850829</v>
      </c>
      <c r="H49" s="297"/>
      <c r="I49" s="298"/>
      <c r="K49" s="41" t="s">
        <v>95</v>
      </c>
      <c r="L49" s="42"/>
      <c r="M49" s="42"/>
      <c r="N49" s="42"/>
      <c r="O49" s="44" t="e">
        <f>+CCF!D87*1</f>
        <v>#REF!</v>
      </c>
    </row>
    <row r="50" spans="3:19" ht="11.4" customHeight="1">
      <c r="C50" s="54"/>
      <c r="D50" s="54"/>
      <c r="E50" s="54"/>
      <c r="F50" s="55"/>
      <c r="K50" s="41"/>
      <c r="L50" s="42"/>
      <c r="M50" s="42"/>
      <c r="N50" s="42"/>
      <c r="O50" s="42"/>
    </row>
    <row r="51" spans="3:19" ht="20.100000000000001" customHeight="1">
      <c r="C51" s="41" t="s">
        <v>96</v>
      </c>
      <c r="D51" s="42"/>
      <c r="E51" s="42"/>
      <c r="F51" s="42"/>
      <c r="G51" s="296" t="e">
        <f>+CCF!D36</f>
        <v>#REF!</v>
      </c>
      <c r="H51" s="297"/>
      <c r="I51" s="298"/>
      <c r="K51" s="41" t="s">
        <v>97</v>
      </c>
      <c r="L51" s="42"/>
      <c r="M51" s="42"/>
      <c r="N51" s="42"/>
      <c r="O51" s="44" t="e">
        <f>+CCF!D91*0</f>
        <v>#REF!</v>
      </c>
      <c r="R51" s="211" t="e">
        <f>+G51-G49</f>
        <v>#REF!</v>
      </c>
    </row>
    <row r="52" spans="3:19" ht="14.4">
      <c r="C52" s="41"/>
      <c r="D52" s="42"/>
      <c r="E52" s="42"/>
      <c r="F52" s="42"/>
      <c r="G52" s="42"/>
      <c r="H52" s="42"/>
      <c r="K52" s="41"/>
      <c r="L52" s="42"/>
      <c r="M52" s="42"/>
      <c r="N52" s="42"/>
      <c r="O52" s="43"/>
    </row>
    <row r="53" spans="3:19" ht="18" customHeight="1">
      <c r="C53" s="41" t="s">
        <v>98</v>
      </c>
      <c r="D53" s="42"/>
      <c r="E53" s="42"/>
      <c r="F53" s="42"/>
      <c r="G53" s="42"/>
      <c r="H53" s="42"/>
      <c r="K53" s="41" t="s">
        <v>99</v>
      </c>
      <c r="L53" s="42"/>
      <c r="M53" s="42"/>
      <c r="N53" s="42"/>
      <c r="O53" s="56" t="e">
        <f>O49/G60</f>
        <v>#REF!</v>
      </c>
    </row>
    <row r="54" spans="3:19" ht="15.6" customHeight="1">
      <c r="C54" s="41"/>
      <c r="E54" s="57" t="s">
        <v>172</v>
      </c>
      <c r="F54" s="42"/>
      <c r="G54" s="296" t="e">
        <f>+CCF!D80*1</f>
        <v>#REF!</v>
      </c>
      <c r="H54" s="297"/>
      <c r="I54" s="298"/>
      <c r="J54" s="43"/>
      <c r="K54" s="41"/>
      <c r="L54" s="42"/>
      <c r="M54" s="42"/>
      <c r="N54" s="42"/>
      <c r="O54" s="43"/>
    </row>
    <row r="55" spans="3:19" ht="6.9" customHeight="1">
      <c r="C55" s="41"/>
      <c r="E55" s="42"/>
      <c r="F55" s="42"/>
      <c r="G55" s="43"/>
      <c r="H55" s="43"/>
      <c r="I55" s="43"/>
      <c r="J55" s="43"/>
      <c r="K55" s="41"/>
      <c r="L55" s="42"/>
      <c r="M55" s="42"/>
      <c r="N55" s="42"/>
      <c r="O55" s="43"/>
    </row>
    <row r="56" spans="3:19" ht="15.6" customHeight="1">
      <c r="C56" s="41"/>
      <c r="E56" s="57" t="s">
        <v>119</v>
      </c>
      <c r="F56" s="42"/>
      <c r="G56" s="296">
        <f>+CCF!D4</f>
        <v>-2792291.3146089995</v>
      </c>
      <c r="H56" s="297"/>
      <c r="I56" s="298"/>
      <c r="J56" s="43"/>
      <c r="K56" s="41" t="s">
        <v>100</v>
      </c>
      <c r="O56" s="56">
        <f>IFERROR(O49/G54,0)</f>
        <v>0</v>
      </c>
    </row>
    <row r="57" spans="3:19" ht="14.4">
      <c r="C57" s="41"/>
      <c r="D57" s="42"/>
      <c r="E57" s="42"/>
      <c r="F57" s="42"/>
      <c r="G57" s="42"/>
      <c r="H57" s="42"/>
    </row>
    <row r="58" spans="3:19" ht="14.4">
      <c r="C58" s="41"/>
      <c r="D58" s="42"/>
      <c r="E58" s="57" t="s">
        <v>362</v>
      </c>
      <c r="F58" s="42"/>
      <c r="G58" s="296" t="e">
        <f>+CCF!D84*1</f>
        <v>#REF!</v>
      </c>
      <c r="H58" s="297"/>
      <c r="I58" s="298"/>
      <c r="K58" s="41" t="s">
        <v>102</v>
      </c>
      <c r="O58" s="56">
        <f>IFERROR(O49/G56,0)</f>
        <v>0</v>
      </c>
    </row>
    <row r="59" spans="3:19" ht="14.4">
      <c r="C59" s="41"/>
      <c r="D59" s="42"/>
      <c r="E59" s="42"/>
      <c r="F59" s="42"/>
      <c r="G59" s="42"/>
      <c r="H59" s="42"/>
    </row>
    <row r="60" spans="3:19" ht="14.4">
      <c r="C60" s="41" t="s">
        <v>101</v>
      </c>
      <c r="D60" s="42"/>
      <c r="E60" s="42"/>
      <c r="F60" s="42"/>
      <c r="G60" s="296" t="e">
        <f>+G51</f>
        <v>#REF!</v>
      </c>
      <c r="H60" s="297"/>
      <c r="I60" s="298"/>
      <c r="J60" s="43"/>
      <c r="K60" s="41" t="s">
        <v>103</v>
      </c>
      <c r="L60" s="42"/>
      <c r="M60" s="42"/>
      <c r="N60" s="42"/>
      <c r="O60" s="44" t="e">
        <f>-CCF!D91*1</f>
        <v>#REF!</v>
      </c>
    </row>
    <row r="61" spans="3:19" ht="14.4">
      <c r="C61" s="41"/>
      <c r="D61" s="42"/>
      <c r="E61" s="42"/>
      <c r="F61" s="42"/>
      <c r="G61" s="42"/>
      <c r="H61" s="42"/>
      <c r="I61" s="41"/>
      <c r="J61" s="41"/>
    </row>
    <row r="62" spans="3:19" ht="14.4">
      <c r="C62" s="41" t="s">
        <v>447</v>
      </c>
      <c r="D62" s="42"/>
      <c r="E62" s="42"/>
      <c r="F62" s="42"/>
      <c r="H62" s="58">
        <v>3.04E-2</v>
      </c>
      <c r="I62" s="59">
        <f>+H62</f>
        <v>3.04E-2</v>
      </c>
      <c r="J62" s="59"/>
      <c r="K62" s="41" t="s">
        <v>449</v>
      </c>
      <c r="L62" s="42"/>
      <c r="M62" s="42"/>
      <c r="N62" s="42"/>
      <c r="O62" s="44">
        <v>2275</v>
      </c>
    </row>
    <row r="63" spans="3:19" ht="14.4">
      <c r="C63" s="41" t="s">
        <v>448</v>
      </c>
      <c r="D63" s="42"/>
      <c r="E63" s="42"/>
      <c r="F63" s="42"/>
      <c r="H63" s="235">
        <f>IF((CCF!E84&lt;0),H62,CCF!E84)</f>
        <v>2.5700000000000001E-2</v>
      </c>
      <c r="I63" s="60">
        <f>+H63</f>
        <v>2.5700000000000001E-2</v>
      </c>
      <c r="J63" s="59"/>
    </row>
    <row r="64" spans="3:19" ht="14.4">
      <c r="C64" s="41" t="s">
        <v>104</v>
      </c>
      <c r="D64" s="42"/>
      <c r="E64" s="42"/>
      <c r="F64" s="42"/>
      <c r="H64" s="58">
        <f>+H63-H62</f>
        <v>-4.6999999999999993E-3</v>
      </c>
      <c r="I64" s="59">
        <f>+I63-I62</f>
        <v>-4.6999999999999993E-3</v>
      </c>
      <c r="J64" s="59"/>
      <c r="K64" s="41" t="s">
        <v>450</v>
      </c>
      <c r="L64" s="42"/>
      <c r="M64" s="42"/>
      <c r="N64" s="42"/>
      <c r="O64" s="44">
        <v>1200449</v>
      </c>
      <c r="S64" s="49"/>
    </row>
    <row r="65" spans="2:19">
      <c r="S65" s="48"/>
    </row>
    <row r="66" spans="2:19" hidden="1"/>
    <row r="67" spans="2:19" ht="14.4" hidden="1" thickBot="1">
      <c r="C67" s="61"/>
      <c r="D67" s="62"/>
      <c r="E67" s="300"/>
      <c r="F67" s="301"/>
      <c r="G67" s="301"/>
      <c r="H67" s="301"/>
      <c r="I67" s="63"/>
      <c r="J67" s="64"/>
      <c r="K67" s="64"/>
      <c r="L67" s="64"/>
      <c r="N67" s="63"/>
      <c r="O67" s="62"/>
    </row>
    <row r="68" spans="2:19" ht="14.4" hidden="1">
      <c r="C68" s="299" t="s">
        <v>105</v>
      </c>
      <c r="D68" s="299"/>
      <c r="E68" s="299" t="s">
        <v>106</v>
      </c>
      <c r="F68" s="299"/>
      <c r="G68" s="299"/>
      <c r="H68" s="299"/>
      <c r="I68" s="299" t="s">
        <v>107</v>
      </c>
      <c r="J68" s="299"/>
      <c r="K68" s="299"/>
      <c r="L68" s="299"/>
      <c r="M68" s="299"/>
      <c r="N68" s="299" t="s">
        <v>108</v>
      </c>
      <c r="O68" s="299"/>
    </row>
    <row r="69" spans="2:19" hidden="1">
      <c r="B69" s="65"/>
      <c r="C69" s="65"/>
      <c r="D69" s="65"/>
      <c r="E69" s="65"/>
      <c r="F69" s="65"/>
      <c r="G69" s="65"/>
      <c r="H69" s="65"/>
      <c r="I69" s="65"/>
      <c r="J69" s="65"/>
    </row>
    <row r="70" spans="2:19" ht="15" hidden="1" thickBot="1">
      <c r="C70" s="30" t="s">
        <v>109</v>
      </c>
      <c r="G70" s="300"/>
      <c r="H70" s="301"/>
      <c r="I70" s="301"/>
      <c r="J70" s="304" t="s">
        <v>110</v>
      </c>
      <c r="K70" s="305"/>
      <c r="L70" s="305"/>
      <c r="M70" s="306"/>
      <c r="N70" s="63"/>
      <c r="O70" s="62"/>
    </row>
    <row r="71" spans="2:19" hidden="1"/>
    <row r="73" spans="2:19">
      <c r="G73" s="303" t="s">
        <v>114</v>
      </c>
      <c r="H73" s="303"/>
      <c r="J73" s="303" t="s">
        <v>116</v>
      </c>
      <c r="K73" s="303"/>
    </row>
    <row r="74" spans="2:19">
      <c r="C74" s="30" t="s">
        <v>112</v>
      </c>
      <c r="G74" s="302">
        <f>+ER!M28</f>
        <v>0</v>
      </c>
      <c r="H74" s="302"/>
      <c r="J74" s="302">
        <v>75993</v>
      </c>
      <c r="K74" s="302"/>
    </row>
    <row r="75" spans="2:19">
      <c r="G75" s="66"/>
      <c r="H75" s="66"/>
    </row>
    <row r="76" spans="2:19">
      <c r="C76" s="30" t="s">
        <v>113</v>
      </c>
      <c r="G76" s="307">
        <f>+ER!H28</f>
        <v>1783936.94</v>
      </c>
      <c r="H76" s="307"/>
      <c r="J76" s="307">
        <v>75993</v>
      </c>
      <c r="K76" s="307"/>
    </row>
    <row r="78" spans="2:19">
      <c r="C78" s="30" t="s">
        <v>115</v>
      </c>
      <c r="G78" s="302">
        <f>+G74-G76</f>
        <v>-1783936.94</v>
      </c>
      <c r="H78" s="302"/>
      <c r="J78" s="302">
        <f>+J74-J76</f>
        <v>0</v>
      </c>
      <c r="K78" s="302"/>
    </row>
  </sheetData>
  <mergeCells count="40">
    <mergeCell ref="G76:H76"/>
    <mergeCell ref="G78:H78"/>
    <mergeCell ref="J74:K74"/>
    <mergeCell ref="J76:K76"/>
    <mergeCell ref="J78:K78"/>
    <mergeCell ref="N68:O68"/>
    <mergeCell ref="G74:H74"/>
    <mergeCell ref="G73:H73"/>
    <mergeCell ref="J73:K73"/>
    <mergeCell ref="G70:I70"/>
    <mergeCell ref="J70:M70"/>
    <mergeCell ref="G54:I54"/>
    <mergeCell ref="G56:I56"/>
    <mergeCell ref="C68:D68"/>
    <mergeCell ref="E68:H68"/>
    <mergeCell ref="I68:M68"/>
    <mergeCell ref="G60:I60"/>
    <mergeCell ref="E67:H67"/>
    <mergeCell ref="G58:I58"/>
    <mergeCell ref="G34:I34"/>
    <mergeCell ref="G36:I36"/>
    <mergeCell ref="G38:I38"/>
    <mergeCell ref="G41:I41"/>
    <mergeCell ref="G51:I51"/>
    <mergeCell ref="G45:I45"/>
    <mergeCell ref="G49:I49"/>
    <mergeCell ref="G43:I43"/>
    <mergeCell ref="G14:I14"/>
    <mergeCell ref="B2:O2"/>
    <mergeCell ref="B3:O3"/>
    <mergeCell ref="B6:P6"/>
    <mergeCell ref="G8:I8"/>
    <mergeCell ref="B12:P12"/>
    <mergeCell ref="B32:P32"/>
    <mergeCell ref="G16:I16"/>
    <mergeCell ref="B20:P20"/>
    <mergeCell ref="E26:F26"/>
    <mergeCell ref="I26:M26"/>
    <mergeCell ref="D28:F28"/>
    <mergeCell ref="I28:M28"/>
  </mergeCells>
  <pageMargins left="0.7" right="0.7" top="0.75" bottom="0.75" header="0.3" footer="0.3"/>
  <pageSetup scale="6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B190-941A-45A2-815A-5083843EE27B}">
  <dimension ref="B1:F20"/>
  <sheetViews>
    <sheetView workbookViewId="0">
      <selection activeCell="C4" sqref="C4:G4"/>
    </sheetView>
  </sheetViews>
  <sheetFormatPr baseColWidth="10" defaultRowHeight="13.2"/>
  <cols>
    <col min="3" max="3" width="13" bestFit="1" customWidth="1"/>
    <col min="4" max="4" width="14.6640625" bestFit="1" customWidth="1"/>
    <col min="5" max="5" width="14.5546875" bestFit="1" customWidth="1"/>
  </cols>
  <sheetData>
    <row r="1" spans="2:6">
      <c r="D1" s="1"/>
      <c r="E1" s="1"/>
      <c r="F1" s="153"/>
    </row>
    <row r="4" spans="2:6">
      <c r="C4" t="s">
        <v>451</v>
      </c>
      <c r="D4" s="108" t="s">
        <v>452</v>
      </c>
    </row>
    <row r="5" spans="2:6">
      <c r="B5" t="s">
        <v>453</v>
      </c>
      <c r="C5" s="1"/>
    </row>
    <row r="6" spans="2:6">
      <c r="B6" t="s">
        <v>454</v>
      </c>
      <c r="C6" s="1"/>
    </row>
    <row r="7" spans="2:6">
      <c r="B7" t="s">
        <v>455</v>
      </c>
      <c r="C7" s="1"/>
    </row>
    <row r="8" spans="2:6">
      <c r="B8" t="s">
        <v>456</v>
      </c>
    </row>
    <row r="9" spans="2:6">
      <c r="B9" t="s">
        <v>457</v>
      </c>
    </row>
    <row r="10" spans="2:6">
      <c r="B10" t="s">
        <v>458</v>
      </c>
    </row>
    <row r="11" spans="2:6">
      <c r="B11" t="s">
        <v>459</v>
      </c>
    </row>
    <row r="12" spans="2:6">
      <c r="B12" t="s">
        <v>460</v>
      </c>
    </row>
    <row r="13" spans="2:6">
      <c r="B13" t="s">
        <v>461</v>
      </c>
    </row>
    <row r="14" spans="2:6">
      <c r="B14" t="s">
        <v>462</v>
      </c>
      <c r="D14" s="236"/>
      <c r="E14" s="236"/>
    </row>
    <row r="15" spans="2:6">
      <c r="B15" t="s">
        <v>463</v>
      </c>
      <c r="D15" s="236"/>
      <c r="E15" s="236"/>
    </row>
    <row r="16" spans="2:6">
      <c r="B16" t="s">
        <v>464</v>
      </c>
      <c r="C16" s="237"/>
      <c r="D16" s="238"/>
      <c r="E16" s="236"/>
    </row>
    <row r="17" spans="2:4">
      <c r="C17" s="239">
        <f>SUM(C5:C16)</f>
        <v>0</v>
      </c>
      <c r="D17" s="239">
        <f>SUM(D5:D16)</f>
        <v>0</v>
      </c>
    </row>
    <row r="19" spans="2:4">
      <c r="B19" s="240" t="s">
        <v>465</v>
      </c>
      <c r="C19" s="237"/>
      <c r="D19" s="237"/>
    </row>
    <row r="20" spans="2:4">
      <c r="C20" s="239">
        <f>+C17-C19</f>
        <v>0</v>
      </c>
      <c r="D20" s="239">
        <f>+D17-D19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CUCA</vt:lpstr>
      <vt:lpstr>CUFIN</vt:lpstr>
      <vt:lpstr>CCF</vt:lpstr>
      <vt:lpstr>BG</vt:lpstr>
      <vt:lpstr>ER</vt:lpstr>
      <vt:lpstr>BAL</vt:lpstr>
      <vt:lpstr>Res</vt:lpstr>
      <vt:lpstr>Ret ISR Hon</vt:lpstr>
      <vt:lpstr>BAL!Área_de_impresión</vt:lpstr>
      <vt:lpstr>Res!Área_de_impresión</vt:lpstr>
      <vt:lpstr>BAL!Títulos_a_imprimir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L. Chavez Najera</dc:creator>
  <cp:lastModifiedBy>ALMA LETICIA CHAVEZ NAJERA</cp:lastModifiedBy>
  <cp:lastPrinted>2026-07-06T18:58:34Z</cp:lastPrinted>
  <dcterms:created xsi:type="dcterms:W3CDTF">2022-03-26T00:34:57Z</dcterms:created>
  <dcterms:modified xsi:type="dcterms:W3CDTF">2026-07-06T19:29:33Z</dcterms:modified>
</cp:coreProperties>
</file>