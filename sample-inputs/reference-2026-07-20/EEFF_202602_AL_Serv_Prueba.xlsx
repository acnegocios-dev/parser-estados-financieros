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59E41A-FA3F-4674-9D1C-9155CE2AD604}" xr6:coauthVersionLast="47" xr6:coauthVersionMax="47" xr10:uidLastSave="{00000000-0000-0000-0000-000000000000}"/>
  <bookViews>
    <workbookView xWindow="0" yWindow="0" windowWidth="22260" windowHeight="12645" xr2:uid="{00000000-000D-0000-FFFF-FFFF00000000}" activeTab="3"/>
  </bookViews>
  <sheets>
    <sheet name="CUCA" sheetId="1" r:id="rId1" state="hidden"/>
    <sheet name="CUFIN" sheetId="2" r:id="rId2" state="hidden"/>
    <sheet name="CCF" sheetId="3" r:id="rId3" state="hidden"/>
    <sheet name="BG" sheetId="4" r:id="rId4"/>
    <sheet name="ER" sheetId="5" r:id="rId5"/>
    <sheet name="BAL" sheetId="6" r:id="rId6"/>
    <sheet name="Res" sheetId="7" r:id="rId7" state="hidden"/>
    <sheet name="Ret ISR Hon" sheetId="8" r:id="rId8" state="hidden"/>
  </sheets>
  <definedNames>
    <definedName name="DET_JUL">#REF!</definedName>
    <definedName name="FEBRERO">[1]FEB!$A$6:$H$71</definedName>
    <definedName name="DET_JUN">#REF!</definedName>
    <definedName name="PEDERNALES">#REF!</definedName>
    <definedName name="ANEXO7">#REF!</definedName>
    <definedName name="TextRefCopy9">#REF!</definedName>
    <definedName name="TextRefCopy6">[2]no!$G$63</definedName>
    <definedName name="sd" hidden="true">#REF!</definedName>
    <definedName name="TextRefCopy45">'[9]Ajuste Anual'!#REF!</definedName>
    <definedName name="TextRefCopy26">#REF!</definedName>
    <definedName name="BALANZA_JULIO">'[6]07'!$A$1:$IV$65536</definedName>
    <definedName name="REL">#REF!</definedName>
    <definedName name="BALANZA_FEBRERO">'[6]02'!$A$1:$IV$65536</definedName>
    <definedName name="SJJ">#REF!</definedName>
    <definedName name="SMGZ">[16]VARIABLES!$B$8</definedName>
    <definedName name="_xlnm.Print_Area" localSheetId="1">BAL!$C$1:$G$185</definedName>
    <definedName name="AMBI98" hidden="true">{#N/A,#N/A,FALSE,"Aging Summary";#N/A,#N/A,FALSE,"Ratio Analysis";#N/A,#N/A,FALSE,"Test 120 Day Accts";#N/A,#N/A,FALSE,"Tickmarks"}</definedName>
    <definedName name="TextRefCopy35">#REF!</definedName>
    <definedName name="PARCIAL5">#REF!</definedName>
    <definedName name="TextRefCopy8">#REF!</definedName>
    <definedName name="CEDULA_2.2">#REF!</definedName>
    <definedName name="TextRefCopy32">#REF!</definedName>
    <definedName name="TextRefCopy36">[19]Resultados!$B$7</definedName>
    <definedName name="F_YOLIQ">#REF!</definedName>
    <definedName name="ANEXO1">#REF!</definedName>
    <definedName name="TextRefCopy38">[19]Resultados!$B$18</definedName>
    <definedName name="Ref_1">[13]inventarios!#REF!</definedName>
    <definedName name="TextRefCopy47">'[9]Ajuste Anual'!#REF!</definedName>
    <definedName name="PROMEDIO">#REF!</definedName>
    <definedName name="ALIMENTOS_1">#REF!</definedName>
    <definedName name="TextRefCopy34">[19]Conciliacion!$D$9</definedName>
    <definedName name="CUENTAS">#REF!</definedName>
    <definedName name="K_RESUM1">#REF!</definedName>
    <definedName name="TextRefCopy21">#REF!</definedName>
    <definedName name="__123Graph_B" hidden="true">#REF!</definedName>
    <definedName name="AMBIT09">#REF!</definedName>
    <definedName name="M_CONC">#REF!</definedName>
    <definedName name="NIDIA">'[9]Ajuste Anual'!#REF!</definedName>
    <definedName name="DET_AGO">#REF!</definedName>
    <definedName name="AGOSTO">[1]AGO!$A$6:$H$84</definedName>
    <definedName name="Rango1">#REF!</definedName>
    <definedName name="__123Graph_D" hidden="true">#REF!</definedName>
    <definedName name="NADA2">[11]Inventarios!#REF!</definedName>
    <definedName name="CIASA">#REF!</definedName>
    <definedName name="TABLA1">[6]TABLA1!$A$6:$M$71</definedName>
    <definedName name="N_RESUM3">#REF!</definedName>
    <definedName name="AS2VersionLS" hidden="true">300</definedName>
    <definedName name="TABLON">'[17]INPC (2)'!$A$5:$M$68</definedName>
    <definedName name="TextRefCopy37">[19]Resultados!$B$10</definedName>
    <definedName name="CAPITAL">#REF!</definedName>
    <definedName name="TextRefCopy54">#REF!</definedName>
    <definedName name="TextRefCopy30">#REF!</definedName>
    <definedName name="SAGABRIEL">#REF!</definedName>
    <definedName name="BALANZA_MAYO">'[6]05'!$A$1:$IV$65536</definedName>
    <definedName name="CAT">#REF!</definedName>
    <definedName name="RESUMEN">[14]Procesos!$A$4:$B$29</definedName>
    <definedName name="BG_Mod" hidden="true">6</definedName>
    <definedName name="TABLA2">[6]TABLA1!$A$5:$M$72</definedName>
    <definedName name="TextRefCopy49">#REF!</definedName>
    <definedName name="__123Graph_X" hidden="true">#REF!</definedName>
    <definedName name="INTRODUCCION">#REF!</definedName>
    <definedName name="TextRefCopy46">'[9]Ajuste Anual'!#REF!</definedName>
    <definedName name="wrn.Aging._.and._.Trend._.Analysis." hidden="true">{#N/A,#N/A,FALSE,"Aging Summary";#N/A,#N/A,FALSE,"Ratio Analysis";#N/A,#N/A,FALSE,"Test 120 Day Accts";#N/A,#N/A,FALSE,"Tickmarks"}</definedName>
    <definedName name="NombreCía" hidden="true">#REF!</definedName>
    <definedName name="Y">[20]Conciliacion!$D$9</definedName>
    <definedName name="AS2ReportLS" hidden="true">1</definedName>
    <definedName name="_xlnm._FilterDatabase" localSheetId="1" hidden="true">BAL!$A$5:$N$190</definedName>
    <definedName name="TextRefCopy29">#REF!</definedName>
    <definedName name="H_QUESO">#REF!</definedName>
    <definedName name="AS2SyncStepLS" hidden="true">0</definedName>
    <definedName name="POLIZA">#REF!</definedName>
    <definedName name="A_impresión_IM">#REF!</definedName>
    <definedName name="PARCIAL1">#REF!</definedName>
    <definedName name="ANEXO8">#REF!</definedName>
    <definedName name="NADA1">'[9]Ajuste Anual'!#REF!</definedName>
    <definedName name="B_DESCR">#REF!</definedName>
    <definedName name="ALIMENTOS">#REF!</definedName>
    <definedName name="TextRefCopy12">#REF!</definedName>
    <definedName name="DET_SEP">#REF!</definedName>
    <definedName name="TextRefCopy14">#REF!</definedName>
    <definedName name="DET_FEB">#REF!</definedName>
    <definedName name="ANEXO2">#REF!</definedName>
    <definedName name="G_CREMA">#REF!</definedName>
    <definedName name="ANEXO9">#REF!</definedName>
    <definedName name="DETERM_BASE">#REF!</definedName>
    <definedName name="DET_ABR">#REF!</definedName>
    <definedName name="SUMA1">#REF!</definedName>
    <definedName name="DET_MAY">#REF!</definedName>
    <definedName name="KAPP">#REF!</definedName>
    <definedName name="año">'[4]1441'!$B$4</definedName>
    <definedName name="TextRefCopy53">#REF!</definedName>
    <definedName name="_xlnm.Print_Titles" localSheetId="1">BAL!$1:$6</definedName>
    <definedName name="D_ULSAB">#REF!</definedName>
    <definedName name="SUMA4">#REF!</definedName>
    <definedName name="TextRefCopy48">'[9]Ajuste Anual'!#REF!</definedName>
    <definedName name="ABRIL">[1]AB!$A$6:$H$58</definedName>
    <definedName name="BALANZA_MARZO">'[6]03'!$A$1:$IV$65536</definedName>
    <definedName name="PDEAYALA">#REF!</definedName>
    <definedName name="PARCIAL4">#REF!</definedName>
    <definedName name="TextRefCopy27">#REF!</definedName>
    <definedName name="_xlnm.Print_Area" localSheetId="2">Res!$B$1:$P$87</definedName>
    <definedName name="SUMA2">#REF!</definedName>
    <definedName name="BALANZA_OCTUBRE">'[6]10'!$A$1:$IV$65536</definedName>
    <definedName name="CONTABLE">#REF!</definedName>
    <definedName name="tasa">[18]DEPRECIACION!$E$2</definedName>
    <definedName name="BALANZA_JUNIO">'[6]06'!$A$1:$IV$65536</definedName>
    <definedName name="PERSONAL">#REF!</definedName>
    <definedName name="PROMEDIO_ACTIVOS">'[7]ACTIVOS FIJOS IMPAC'!$AB$13,'[7]ACTIVOS FIJOS IMPAC'!$AB$17,'[7]ACTIVOS FIJOS IMPAC'!$AB$20,'[7]ACTIVOS FIJOS IMPAC'!$AB$23,'[7]ACTIVOS FIJOS IMPAC'!$AB$26,'[7]ACTIVOS FIJOS IMPAC'!$AB$31</definedName>
    <definedName name="BG_Ins" hidden="true">4</definedName>
    <definedName name="ENERO">[1]ENE!$A$6:$H$66</definedName>
    <definedName name="__123Graph_F" hidden="true">#REF!</definedName>
    <definedName name="__123Graph_E" hidden="true">#REF!</definedName>
    <definedName name="ANEXO3">#REF!</definedName>
    <definedName name="ANEXO5">#REF!</definedName>
    <definedName name="TextRefCopy10">#REF!</definedName>
    <definedName name="TextRefCopy28">#REF!</definedName>
    <definedName name="ALIANZA">#REF!</definedName>
    <definedName name="SUMA3">#REF!</definedName>
    <definedName name="CEDULA_2.4">#REF!</definedName>
    <definedName name="fecha">[8]Ductos!#REF!</definedName>
    <definedName name="PARCIAL2">#REF!</definedName>
    <definedName name="TextRefCopy7">[2]no!$G$65</definedName>
    <definedName name="SMGDF3">[16]VARIABLES!$B$16</definedName>
    <definedName name="DEST_PDN">#REF!</definedName>
    <definedName name="CEDULA_2.1">#REF!</definedName>
    <definedName name="TextRefCopy11">#REF!</definedName>
    <definedName name="TextRefCopy13">#REF!</definedName>
    <definedName name="X" hidden="true">#REF!</definedName>
    <definedName name="COMPRAS">[7]COSTO!$H$15,[7]COSTO!$H$16,[7]COSTO!$H$26,[7]COSTO!$H$27,[7]COSTO!$H$34,[7]COSTO!$H$35</definedName>
    <definedName name="JUNIO">[1]JUN!$A$6:$H$63</definedName>
    <definedName name="TextRefCopy56">'[9]Ajuste Anual'!#REF!</definedName>
    <definedName name="AS2NamedRange" hidden="true">2</definedName>
    <definedName name="BELLAVISTA">#REF!</definedName>
    <definedName name="BALANZA">'[5]Bal Dic M3 (Vaciado)'!$A$1:$G$313</definedName>
    <definedName name="TextRefCopy19">#REF!</definedName>
    <definedName name="TABLA">#REF!</definedName>
    <definedName name="rngCF3">'[15]Sch 2.2 - Other Carryovers'!$G$1179</definedName>
    <definedName name="procesos">[12]Procesos!$A$4:$B$44</definedName>
    <definedName name="CEDULA_2.7">#REF!</definedName>
    <definedName name="CEDULA_2">#REF!</definedName>
    <definedName name="SEPTIEMBRE">[1]SEP!$A$6:$H$90</definedName>
    <definedName name="PRUEBA">#REF!</definedName>
    <definedName name="L_RESUM2">#REF!</definedName>
    <definedName name="TextRefCopy23">#REF!</definedName>
    <definedName name="TextRefCopy4">#REF!</definedName>
    <definedName name="_Parse_In" hidden="true">#REF!</definedName>
    <definedName name="Z">[20]Conciliacion!$D$10</definedName>
    <definedName name="TextRefCopy25">#REF!</definedName>
    <definedName name="TextRefCopy15">#REF!</definedName>
    <definedName name="TEMO">#REF!</definedName>
    <definedName name="mes">'[4]1441'!$B$3</definedName>
    <definedName name="Subsidio">#REF!</definedName>
    <definedName name="q">#REF!</definedName>
    <definedName name="DET_ENE">#REF!</definedName>
    <definedName name="LAURA">'[10]Ajuste Anual'!#REF!</definedName>
    <definedName name="AMBIT009">[2]CONCIL!$D$15</definedName>
    <definedName name="rngCF3Type">'[15]Sch 2.2 - Other Carryovers'!$G$1180</definedName>
    <definedName name="PARCIAL6">#REF!</definedName>
    <definedName name="J_FRESQ">#REF!</definedName>
    <definedName name="Tarifa">#REF!</definedName>
    <definedName name="TextRefCopy51">#REF!</definedName>
    <definedName name="TextRefCopy5">[11]Inventarios!#REF!</definedName>
    <definedName name="ARA_Threshold">#REF!</definedName>
    <definedName name="TextRefCopy39">#REF!</definedName>
    <definedName name="RANGO">#REF!</definedName>
    <definedName name="ALIMENTOS_2">#REF!</definedName>
    <definedName name="AS2DocOpenMode" hidden="true">"AS2DocumentEdit"</definedName>
    <definedName name="TextRefCopy52">'[9]Ajuste Anual'!#REF!</definedName>
    <definedName name="TextRefCopy50">#REF!</definedName>
    <definedName name="TextRefCopy17">#REF!</definedName>
    <definedName name="CEDULA_3">#REF!</definedName>
    <definedName name="OCTUBRE">[1]OCT!$A$6:$H$95</definedName>
    <definedName name="TextRefCopy1">#REF!</definedName>
    <definedName name="CAASS">#REF!</definedName>
    <definedName name="MIRA">'[9]Ajuste Anual'!#REF!</definedName>
    <definedName name="BALANZA_NOVIEMBRE">'[6]11'!$A$1:$IV$65536</definedName>
    <definedName name="TextRefCopy22">#REF!</definedName>
    <definedName name="CEDULA_2.6">#REF!</definedName>
    <definedName name="INTERESES">#REF!</definedName>
    <definedName name="JULIO">[1]JUL!$A$6:$H$78</definedName>
    <definedName name="BALANZA_ABRIL">'[6]04'!$A$1:$IV$65536</definedName>
    <definedName name="TextRefCopy33">#REF!</definedName>
    <definedName name="TextRefCopy24">#REF!</definedName>
    <definedName name="NOVIEMBRE">[1]NOV!$A$6:$H$98</definedName>
    <definedName name="PAGOS">#REF!</definedName>
    <definedName name="DET_NOV">#REF!</definedName>
    <definedName name="TextRefCopyRangeCount" hidden="true">53</definedName>
    <definedName name="MARZO">[1]MAR!$A$6:$H$59</definedName>
    <definedName name="TOMM1">#REF!</definedName>
    <definedName name="PRINT1">#REF!</definedName>
    <definedName name="DET_DIC">#REF!</definedName>
    <definedName name="SUMA6">#REF!</definedName>
    <definedName name="_xlnm.Database">#REF!</definedName>
    <definedName name="I_JUGO">#REF!</definedName>
    <definedName name="PERDIDAS">#REF!</definedName>
    <definedName name="DICIEMBRE">'[1]Dic 09'!$A$6:$H$462</definedName>
    <definedName name="DET_OCT">#REF!</definedName>
    <definedName name="__123Graph_A" hidden="true">#REF!</definedName>
    <definedName name="TextRefCopy55">#REF!</definedName>
    <definedName name="BALANZA_AGOSTO">'[6]08'!$A$1:$IV$65536</definedName>
    <definedName name="BALANZA_DICIEMBRE">'[6]12'!$A$1:$IV$65536</definedName>
    <definedName name="PRCIAL3">#REF!</definedName>
    <definedName name="O_SEMI">#REF!</definedName>
    <definedName name="AS2TickmarkLS" hidden="true">#REF!</definedName>
    <definedName name="A_ESPEC">#REF!</definedName>
    <definedName name="INPC">[7]INPC!$C$69:$D$749</definedName>
    <definedName name="TextRefCopy16">#REF!</definedName>
    <definedName name="DET_MAR">#REF!</definedName>
    <definedName name="ANEXO">[3]ANEXO5!$A$2:$V$21</definedName>
    <definedName name="IETU">'[9]Ajuste Anual'!#REF!</definedName>
    <definedName name="BG_Del" hidden="true">15</definedName>
    <definedName name="MAYO">[1]MAYO!$A$6:$H$67</definedName>
    <definedName name="TextRefCopy20">#REF!</definedName>
    <definedName name="PRINT2">#REF!</definedName>
    <definedName name="VACIADO_D3">[5]DIM3_R2!$R$4:$X$264</definedName>
    <definedName name="E_YOBAT">#REF!</definedName>
    <definedName name="CEDULA_2.5">#REF!</definedName>
    <definedName name="ANEXO6">#REF!</definedName>
    <definedName name="AMBIT08">#REF!</definedName>
    <definedName name="SUMA5">#REF!</definedName>
    <definedName name="SANTOSEIMP">#REF!</definedName>
    <definedName name="TextRefCopy3">#REF!</definedName>
    <definedName name="AMBI99">#REF!</definedName>
    <definedName name="TextRefCopy31">#REF!</definedName>
    <definedName name="PARCIAL">#REF!</definedName>
    <definedName name="CONSOLIDADDO">#REF!</definedName>
    <definedName name="GPO">#N/A</definedName>
    <definedName name="TextRefCopy40">[19]Conciliacion!$D$10</definedName>
    <definedName name="CEDULA_2.3">#REF!</definedName>
    <definedName name="BALANZA_SEPTIEMBRE">'[6]9'!$A$1:$IV$65536</definedName>
    <definedName name="wrn.Aging._.and._.Trend._.Analysis." localSheetId="4" hidden="true">{#N/A,#N/A,FALSE,"Aging Summary";#N/A,#N/A,FALSE,"Ratio Analysis";#N/A,#N/A,FALSE,"Test 120 Day Accts";#N/A,#N/A,FALSE,"Tickmarks"}</definedName>
    <definedName name="TextRefCopy2">#REF!</definedName>
    <definedName name="C_ULNAT">#REF!</definedName>
    <definedName name="TextRefCopy18">#REF!</definedName>
    <definedName name="__123Graph_C" hidden="true">#REF!</definedName>
    <definedName name="rngHide22_3">'[15]Sch 2.2 - Other Carryovers'!$A$1182</definedName>
    <definedName name="BALANZA_ENERO">'[6]01'!$A$1:$IV$65536</definedName>
    <definedName name="CEDULA_1">#REF!</definedName>
    <definedName name="ANEXO4">#REF!</definedName>
    <definedName name="\A">#REF!</definedName>
    <definedName name="rngCRN">'[15]Template Data'!$A$59</definedName>
    <definedName name="TABLAS">#REF!</definedName>
    <definedName name="ANEXO10">#REF!</definedName>
    <definedName name="AMBI98" localSheetId="4" hidden="true">{#N/A,#N/A,FALSE,"Aging Summary";#N/A,#N/A,FALSE,"Ratio Analysis";#N/A,#N/A,FALSE,"Test 120 Day Accts";#N/A,#N/A,FALSE,"Tickmarks"}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5"/>
  <c r="J33" i="5"/>
  <c r="H40" i="5"/>
  <c r="J40" i="5"/>
  <c r="H37" i="5"/>
  <c r="J37" i="5"/>
  <c r="H68" i="5"/>
  <c r="J68" i="5"/>
  <c r="H63" i="5"/>
  <c r="J63" i="5"/>
  <c r="H38" i="5"/>
  <c r="J38" i="5"/>
  <c r="H44" i="5"/>
  <c r="J44" i="5"/>
  <c r="H29" i="5"/>
  <c r="J29" i="5"/>
  <c r="H39" i="5"/>
  <c r="J39" i="5"/>
  <c r="J57" i="5"/>
  <c r="H35" i="5"/>
  <c r="J35" i="5"/>
  <c r="J70" i="5"/>
  <c r="H70" i="5"/>
  <c r="J67" i="5"/>
  <c r="J20" i="5"/>
  <c r="H20" i="5"/>
  <c r="H25" i="5"/>
  <c r="J25" i="5"/>
  <c r="J53" i="5"/>
  <c r="H53" i="5"/>
  <c r="H23" i="5"/>
  <c r="J23" i="5"/>
  <c r="H18" i="5"/>
  <c r="H41" i="5"/>
  <c r="J41" i="5"/>
  <c r="J49" i="5"/>
  <c r="H43" i="5"/>
  <c r="J43" i="5"/>
  <c r="H65" i="5"/>
  <c r="J65" i="5"/>
  <c r="H34" i="5"/>
  <c r="J34" i="5"/>
  <c r="H28" i="5"/>
  <c r="J28" i="5"/>
  <c r="H61" i="5"/>
  <c r="J61" i="5"/>
  <c r="H32" i="5"/>
  <c r="J32" i="5"/>
  <c r="H56" i="5"/>
  <c r="J56" i="5"/>
  <c r="H62" i="5"/>
  <c r="J62" i="5"/>
  <c r="J36" i="5"/>
  <c r="H36" i="5"/>
  <c r="H31" i="5"/>
  <c r="J31" i="5"/>
  <c r="H50" i="5"/>
  <c r="J50" i="5"/>
  <c r="H47" i="5"/>
  <c r="J47" i="5"/>
  <c r="H45" i="5"/>
  <c r="J45" i="5"/>
  <c r="H30" i="5"/>
  <c r="J30" i="5"/>
  <c r="H58" i="5"/>
  <c r="J58" i="5"/>
  <c r="H42" i="5"/>
  <c r="J42" i="5"/>
  <c r="J48" i="5"/>
  <c r="H46" i="5"/>
  <c r="J46" i="5"/>
  <c r="H51" i="5"/>
  <c r="J51" i="5"/>
  <c r="P38" i="7"/>
  <c r="J38" i="7"/>
  <c r="O38" i="7"/>
  <c r="G38" i="7"/>
  <c r="G10" i="7"/>
  <c r="G74" i="7"/>
  <c r="I62" i="7"/>
  <c r="G54" i="7"/>
  <c r="G41" i="7"/>
  <c r="O41" i="7"/>
  <c r="H63" i="7"/>
  <c r="I63" i="7"/>
  <c r="O49" i="7"/>
  <c r="G60" i="7"/>
  <c r="O60" i="7"/>
  <c r="O43" i="7"/>
  <c r="O53" i="7"/>
  <c r="J78" i="7"/>
  <c r="G78" i="7"/>
  <c r="O58" i="7"/>
  <c r="G58" i="7"/>
  <c r="R51" i="7"/>
  <c r="G51" i="7"/>
  <c r="O51" i="7"/>
  <c r="O56" i="7"/>
  <c r="G56" i="7"/>
  <c r="G76" i="7"/>
  <c r="H64" i="7"/>
  <c r="I64" i="7"/>
  <c r="G45" i="7"/>
  <c r="G36" i="7"/>
  <c r="O36" i="7"/>
  <c r="K19" i="1"/>
  <c r="E19" i="1"/>
  <c r="J19" i="1"/>
  <c r="L19" i="1"/>
  <c r="E14" i="1"/>
  <c r="L14" i="1"/>
  <c r="J14" i="1"/>
  <c r="K14" i="1"/>
  <c r="J31" i="1"/>
  <c r="L31" i="1"/>
  <c r="B2" i="1"/>
  <c r="L25" i="1"/>
  <c r="K25" i="1"/>
  <c r="E25" i="1"/>
  <c r="J25" i="1"/>
  <c r="L28" i="1"/>
  <c r="F28" i="1"/>
  <c r="K28" i="1"/>
  <c r="J28" i="1"/>
  <c r="E28" i="1"/>
  <c r="G28" i="1"/>
  <c r="L16" i="1"/>
  <c r="K16" i="1"/>
  <c r="E16" i="1"/>
  <c r="J16" i="1"/>
  <c r="K18" i="1"/>
  <c r="E18" i="1"/>
  <c r="J18" i="1"/>
  <c r="L18" i="1"/>
  <c r="L26" i="1"/>
  <c r="J26" i="1"/>
  <c r="G26" i="1"/>
  <c r="E26" i="1"/>
  <c r="K26" i="1"/>
  <c r="L13" i="1"/>
  <c r="E13" i="1"/>
  <c r="F13" i="1"/>
  <c r="J13" i="1"/>
  <c r="K27" i="1"/>
  <c r="F27" i="1"/>
  <c r="G27" i="1"/>
  <c r="E27" i="1"/>
  <c r="L27" i="1"/>
  <c r="J27" i="1"/>
  <c r="K23" i="1"/>
  <c r="E23" i="1"/>
  <c r="J23" i="1"/>
  <c r="G23" i="1"/>
  <c r="F23" i="1"/>
  <c r="L23" i="1"/>
  <c r="G20" i="1"/>
  <c r="L20" i="1"/>
  <c r="K20" i="1"/>
  <c r="E20" i="1"/>
  <c r="J20" i="1"/>
  <c r="L32" i="1"/>
  <c r="L17" i="1"/>
  <c r="K17" i="1"/>
  <c r="E17" i="1"/>
  <c r="J17" i="1"/>
  <c r="G22" i="1"/>
  <c r="F22" i="1"/>
  <c r="L22" i="1"/>
  <c r="K22" i="1"/>
  <c r="E22" i="1"/>
  <c r="J22" i="1"/>
  <c r="L21" i="1"/>
  <c r="J21" i="1"/>
  <c r="E21" i="1"/>
  <c r="K21" i="1"/>
  <c r="L15" i="1"/>
  <c r="K15" i="1"/>
  <c r="E15" i="1"/>
  <c r="J15" i="1"/>
  <c r="F24" i="1"/>
  <c r="G24" i="1"/>
  <c r="L24" i="1"/>
  <c r="K24" i="1"/>
  <c r="E24" i="1"/>
  <c r="J24" i="1"/>
  <c r="I19" i="2"/>
  <c r="E19" i="2"/>
  <c r="B19" i="2"/>
  <c r="G19" i="2"/>
  <c r="F19" i="2"/>
  <c r="H19" i="2"/>
  <c r="D19" i="2"/>
  <c r="L19" i="2"/>
  <c r="K19" i="2"/>
  <c r="J19" i="2"/>
  <c r="C19" i="2"/>
  <c r="D39" i="2"/>
  <c r="C39" i="2"/>
  <c r="G39" i="2"/>
  <c r="J39" i="2"/>
  <c r="B39" i="2"/>
  <c r="H39" i="2"/>
  <c r="E39" i="2"/>
  <c r="I39" i="2"/>
  <c r="L39" i="2"/>
  <c r="K39" i="2"/>
  <c r="F39" i="2"/>
  <c r="A2" i="2"/>
  <c r="L12" i="2"/>
  <c r="G36" i="2"/>
  <c r="J36" i="2"/>
  <c r="H36" i="2"/>
  <c r="I36" i="2"/>
  <c r="F36" i="2"/>
  <c r="L36" i="2"/>
  <c r="C36" i="2"/>
  <c r="D36" i="2"/>
  <c r="E36" i="2"/>
  <c r="K36" i="2"/>
  <c r="G28" i="2"/>
  <c r="B28" i="2"/>
  <c r="E28" i="2"/>
  <c r="K28" i="2"/>
  <c r="C28" i="2"/>
  <c r="L28" i="2"/>
  <c r="F28" i="2"/>
  <c r="D28" i="2"/>
  <c r="H28" i="2"/>
  <c r="J28" i="2"/>
  <c r="I28" i="2"/>
  <c r="L8" i="2"/>
  <c r="L23" i="2"/>
  <c r="C23" i="2"/>
  <c r="D23" i="2"/>
  <c r="F23" i="2"/>
  <c r="H23" i="2"/>
  <c r="I23" i="2"/>
  <c r="G23" i="2"/>
  <c r="E23" i="2"/>
  <c r="C38" i="2"/>
  <c r="I38" i="2"/>
  <c r="L38" i="2"/>
  <c r="D38" i="2"/>
  <c r="E38" i="2"/>
  <c r="G38" i="2"/>
  <c r="K38" i="2"/>
  <c r="B38" i="2"/>
  <c r="F38" i="2"/>
  <c r="H38" i="2"/>
  <c r="J38" i="2"/>
  <c r="L22" i="2"/>
  <c r="H22" i="2"/>
  <c r="E22" i="2"/>
  <c r="F22" i="2"/>
  <c r="G22" i="2"/>
  <c r="I22" i="2"/>
  <c r="C22" i="2"/>
  <c r="D22" i="2"/>
  <c r="L10" i="2"/>
  <c r="B10" i="2"/>
  <c r="H10" i="2"/>
  <c r="E10" i="2"/>
  <c r="F10" i="2"/>
  <c r="I10" i="2"/>
  <c r="D10" i="2"/>
  <c r="J10" i="2"/>
  <c r="C10" i="2"/>
  <c r="G10" i="2"/>
  <c r="L47" i="4"/>
  <c r="K31" i="4"/>
  <c r="E31" i="4"/>
  <c r="E22" i="4"/>
  <c r="F26" i="4"/>
  <c r="L26" i="4"/>
  <c r="E32" i="4"/>
  <c r="K32" i="4"/>
  <c r="E18" i="4"/>
  <c r="K18" i="4"/>
  <c r="E16" i="4"/>
  <c r="K16" i="4"/>
  <c r="K17" i="4"/>
  <c r="E17" i="4"/>
  <c r="F48" i="4"/>
  <c r="K21" i="4"/>
  <c r="E21" i="4"/>
  <c r="E23" i="4"/>
  <c r="E24" i="4"/>
  <c r="K24" i="4"/>
  <c r="E34" i="4"/>
  <c r="K34" i="4"/>
  <c r="K20" i="4"/>
  <c r="E20" i="4"/>
  <c r="E19" i="4"/>
  <c r="K19" i="4"/>
  <c r="L36" i="4"/>
  <c r="F36" i="4"/>
  <c r="F42" i="4"/>
  <c r="E30" i="4"/>
  <c r="E33" i="4"/>
  <c r="K33" i="4"/>
  <c r="L45" i="4"/>
  <c r="F45" i="4"/>
  <c r="D17" i="8"/>
  <c r="C17" i="8"/>
  <c r="C20" i="8"/>
  <c r="D20" i="8"/>
  <c r="H46" i="6"/>
  <c r="H181" i="6"/>
  <c r="H120" i="6"/>
  <c r="H65" i="6"/>
  <c r="H71" i="6"/>
  <c r="H116" i="6"/>
  <c r="H107" i="6"/>
  <c r="H12" i="6"/>
  <c r="H32" i="6"/>
  <c r="H42" i="6"/>
  <c r="M150" i="6"/>
  <c r="D150" i="6"/>
  <c r="J150" i="6"/>
  <c r="G150" i="6"/>
  <c r="H150" i="6"/>
  <c r="H77" i="6"/>
  <c r="H73" i="6"/>
  <c r="H154" i="6"/>
  <c r="H165" i="6"/>
  <c r="H13" i="6"/>
  <c r="H20" i="6"/>
  <c r="H48" i="6"/>
  <c r="H15" i="6"/>
  <c r="H53" i="6"/>
  <c r="H14" i="6"/>
  <c r="H147" i="6"/>
  <c r="H163" i="6"/>
  <c r="L5" i="6"/>
  <c r="K5" i="6"/>
  <c r="M4" i="6"/>
  <c r="H90" i="6"/>
  <c r="H76" i="6"/>
  <c r="H134" i="6"/>
  <c r="H79" i="6"/>
  <c r="H58" i="6"/>
  <c r="H51" i="6"/>
  <c r="H125" i="6"/>
  <c r="H98" i="6"/>
  <c r="H126" i="6"/>
  <c r="H43" i="6"/>
  <c r="H170" i="6"/>
  <c r="H179" i="6"/>
  <c r="H145" i="6"/>
  <c r="H117" i="6"/>
  <c r="H28" i="6"/>
  <c r="H9" i="6"/>
  <c r="H22" i="6"/>
  <c r="H23" i="6"/>
  <c r="H104" i="6"/>
  <c r="H50" i="6"/>
  <c r="H40" i="6"/>
  <c r="H157" i="6"/>
  <c r="H124" i="6"/>
  <c r="H86" i="6"/>
  <c r="H27" i="6"/>
  <c r="H19" i="6"/>
  <c r="H101" i="6"/>
  <c r="H111" i="6"/>
  <c r="H55" i="6"/>
  <c r="H161" i="6"/>
  <c r="H94" i="6"/>
  <c r="H97" i="6"/>
  <c r="H29" i="6"/>
  <c r="H59" i="6"/>
  <c r="H41" i="6"/>
  <c r="H70" i="6"/>
  <c r="H131" i="6"/>
  <c r="H129" i="6"/>
  <c r="H103" i="6"/>
  <c r="H182" i="6"/>
  <c r="H95" i="6"/>
  <c r="H80" i="6"/>
  <c r="H64" i="6"/>
  <c r="H91" i="6"/>
  <c r="H122" i="6"/>
  <c r="H69" i="6"/>
  <c r="H128" i="6"/>
  <c r="H10" i="6"/>
  <c r="H177" i="6"/>
  <c r="H78" i="6"/>
  <c r="H75" i="6"/>
  <c r="H82" i="6"/>
  <c r="H26" i="6"/>
  <c r="H38" i="6"/>
  <c r="H183" i="6"/>
  <c r="H34" i="6"/>
  <c r="H67" i="6"/>
  <c r="H44" i="6"/>
  <c r="H39" i="6"/>
  <c r="H31" i="6"/>
  <c r="H167" i="6"/>
  <c r="H172" i="6"/>
  <c r="M110" i="6"/>
  <c r="J110" i="6"/>
  <c r="H110" i="6"/>
  <c r="H108" i="6"/>
  <c r="H84" i="6"/>
  <c r="H141" i="6"/>
  <c r="G185" i="6"/>
  <c r="E185" i="6"/>
  <c r="F185" i="6"/>
  <c r="H74" i="6"/>
  <c r="H83" i="6"/>
  <c r="H149" i="6"/>
  <c r="H168" i="6"/>
  <c r="H152" i="6"/>
  <c r="H159" i="6"/>
  <c r="J114" i="6"/>
  <c r="M114" i="6"/>
  <c r="H114" i="6"/>
  <c r="H135" i="6"/>
  <c r="H47" i="6"/>
  <c r="H61" i="6"/>
  <c r="H115" i="6"/>
  <c r="H106" i="6"/>
  <c r="H105" i="6"/>
  <c r="H133" i="6"/>
  <c r="H87" i="6"/>
  <c r="H180" i="6"/>
  <c r="H139" i="6"/>
  <c r="H85" i="6"/>
  <c r="H92" i="6"/>
  <c r="H121" i="6"/>
  <c r="H36" i="6"/>
  <c r="H140" i="6"/>
  <c r="H171" i="6"/>
  <c r="H88" i="6"/>
  <c r="H68" i="6"/>
  <c r="H56" i="6"/>
  <c r="M148" i="6"/>
  <c r="H148" i="6"/>
  <c r="J148" i="6"/>
  <c r="D148" i="6"/>
  <c r="G148" i="6"/>
  <c r="H17" i="6"/>
  <c r="H63" i="6"/>
  <c r="H102" i="6"/>
  <c r="H100" i="6"/>
  <c r="H138" i="6"/>
  <c r="H33" i="6"/>
  <c r="H21" i="6"/>
  <c r="H16" i="6"/>
  <c r="H57" i="6"/>
  <c r="H144" i="6"/>
  <c r="H7" i="6"/>
  <c r="H112" i="6"/>
  <c r="H81" i="6"/>
  <c r="H158" i="6"/>
  <c r="H173" i="6"/>
  <c r="H142" i="6"/>
  <c r="H130" i="6"/>
  <c r="H169" i="6"/>
  <c r="H160" i="6"/>
  <c r="H49" i="6"/>
  <c r="H30" i="6"/>
  <c r="H113" i="6"/>
  <c r="H60" i="6"/>
  <c r="H35" i="6"/>
  <c r="H24" i="6"/>
  <c r="H153" i="6"/>
  <c r="H118" i="6"/>
  <c r="H123" i="6"/>
  <c r="H93" i="6"/>
  <c r="H166" i="6"/>
  <c r="H66" i="6"/>
  <c r="H45" i="6"/>
  <c r="H143" i="6"/>
  <c r="H155" i="6"/>
  <c r="H136" i="6"/>
  <c r="H72" i="6"/>
  <c r="H109" i="6"/>
  <c r="H25" i="6"/>
  <c r="H174" i="6"/>
  <c r="H96" i="6"/>
  <c r="H18" i="6"/>
  <c r="H54" i="6"/>
  <c r="H37" i="6"/>
  <c r="H162" i="6"/>
  <c r="H151" i="6"/>
  <c r="H119" i="6"/>
  <c r="H127" i="6"/>
  <c r="H132" i="6"/>
  <c r="H156" i="6"/>
  <c r="H89" i="6"/>
  <c r="H164" i="6"/>
  <c r="H137" i="6"/>
  <c r="H62" i="6"/>
  <c r="H52" i="6"/>
  <c r="H176" i="6"/>
  <c r="H146" i="6"/>
  <c r="H175" i="6"/>
  <c r="H8" i="6"/>
  <c r="H99" i="6"/>
  <c r="H11" i="6"/>
  <c r="H178" i="6"/>
  <c r="B40" i="3"/>
  <c r="G97" i="3"/>
  <c r="B57" i="3"/>
  <c r="B31" i="3"/>
  <c r="G41" i="3"/>
  <c r="B41" i="3"/>
  <c r="D78" i="3"/>
  <c r="F78" i="3"/>
  <c r="G78" i="3"/>
  <c r="C34" i="3"/>
  <c r="G95" i="3"/>
  <c r="G93" i="3"/>
  <c r="G74" i="3"/>
  <c r="B52" i="3"/>
  <c r="E52" i="3"/>
  <c r="G86" i="3"/>
  <c r="D90" i="3"/>
  <c r="G90" i="3"/>
  <c r="D84" i="3"/>
  <c r="G84" i="3"/>
  <c r="B14" i="3"/>
  <c r="B8" i="3"/>
  <c r="E80" i="3"/>
  <c r="G80" i="3"/>
  <c r="D80" i="3"/>
  <c r="G83" i="3"/>
  <c r="D83" i="3"/>
  <c r="G81" i="3"/>
  <c r="D36" i="3"/>
  <c r="J36" i="3"/>
  <c r="G36" i="3"/>
  <c r="G37" i="3"/>
  <c r="F68" i="3"/>
  <c r="C25" i="3"/>
  <c r="G25" i="3"/>
  <c r="G94" i="3"/>
  <c r="B55" i="3"/>
  <c r="G98" i="3"/>
  <c r="F98" i="3"/>
  <c r="B23" i="3"/>
  <c r="C48" i="3"/>
  <c r="E48" i="3"/>
  <c r="C63" i="3"/>
  <c r="A53" i="3"/>
  <c r="B53" i="3"/>
  <c r="G92" i="3"/>
  <c r="C58" i="3"/>
  <c r="B67" i="3"/>
  <c r="B30" i="3"/>
  <c r="G30" i="3"/>
  <c r="C17" i="3"/>
  <c r="H17" i="3"/>
  <c r="B71" i="3"/>
  <c r="G79" i="3"/>
  <c r="D91" i="3"/>
  <c r="G91" i="3"/>
  <c r="G87" i="3"/>
  <c r="D87" i="3"/>
  <c r="B69" i="3"/>
  <c r="H73" i="3"/>
  <c r="G88" i="3"/>
  <c r="B12" i="3"/>
  <c r="D4" i="3"/>
  <c r="E4" i="3"/>
  <c r="D82" i="3"/>
  <c r="E82" i="3"/>
  <c r="A2" i="3"/>
  <c r="G33" i="3"/>
  <c r="B21" i="3"/>
  <c r="B42" i="3"/>
  <c r="G76" i="3"/>
  <c r="H76" i="3"/>
  <c r="C76" i="3"/>
  <c r="G85" i="3"/>
</calcChain>
</file>

<file path=xl/sharedStrings.xml><?xml version="1.0" encoding="utf-8"?>
<sst xmlns="http://schemas.openxmlformats.org/spreadsheetml/2006/main" count="812" uniqueCount="498">
  <si>
    <t>CUENTA DE CAPITAL DE APORTACIÓN (CUCA)</t>
  </si>
  <si>
    <t>TIPO DE MOVIMIENTO</t>
  </si>
  <si>
    <t>FEHA</t>
  </si>
  <si>
    <t>MONTO</t>
  </si>
  <si>
    <t>CAPITAL SOCIAL (HISTORICO)</t>
  </si>
  <si>
    <t>INPC FECHA DEL MOVIMIENTO</t>
  </si>
  <si>
    <t>INPC DE ACTUALIZACIÓN</t>
  </si>
  <si>
    <t>FACTOR DE ACTUALIZACIÓN</t>
  </si>
  <si>
    <t>CAP. SOCIAL ACT. MAS/MENOS AUMENTO O DISMINUCIÓN DE CAPITAL</t>
  </si>
  <si>
    <t>CAPITAL SOCIAL ACTUALIZADO</t>
  </si>
  <si>
    <t>APORTACIÓN INICIAL</t>
  </si>
  <si>
    <t>ACTUALIZACION A 2010</t>
  </si>
  <si>
    <t>ACTUALIZACION A 2011</t>
  </si>
  <si>
    <t>ACTUALIZACION A 2012</t>
  </si>
  <si>
    <t>ACTUALIZACION A 2013</t>
  </si>
  <si>
    <t>ACTUALIZACION A 2014</t>
  </si>
  <si>
    <t>ACTUALIZACION A 2015</t>
  </si>
  <si>
    <t>ACTUALIZACION A 2016</t>
  </si>
  <si>
    <t>ACTUALIZACION A 2018</t>
  </si>
  <si>
    <t>ACTUALIZACION A 2019</t>
  </si>
  <si>
    <t>ACTUALIZACION A 2020</t>
  </si>
  <si>
    <t>ACTUALIZACION A 2021</t>
  </si>
  <si>
    <t>ACTUALIZACION A 2022</t>
  </si>
  <si>
    <t>ACTUALIZACION A 2023</t>
  </si>
  <si>
    <t>ACTUALIZACION A 2024</t>
  </si>
  <si>
    <t>DETERMINACION DE SALDO DE CUFIN 2014 EN ADELANT</t>
  </si>
  <si>
    <t>RESULTADO FISCAL</t>
  </si>
  <si>
    <t>ISR PAGADO ANUAL</t>
  </si>
  <si>
    <t>NO DEDUCIBLES</t>
  </si>
  <si>
    <t>DECRETO DE DIVIDENDOS</t>
  </si>
  <si>
    <t>PTU  pagada Art10 f-1 </t>
  </si>
  <si>
    <t>CUFIN</t>
  </si>
  <si>
    <t>DIC.2013</t>
  </si>
  <si>
    <t>DIC.2021</t>
  </si>
  <si>
    <t>DIC.2022</t>
  </si>
  <si>
    <t>DIC.2014</t>
  </si>
  <si>
    <t>DIC.2015</t>
  </si>
  <si>
    <t>DIC.2016</t>
  </si>
  <si>
    <t>DIC.2017</t>
  </si>
  <si>
    <t>DIC.2018</t>
  </si>
  <si>
    <t>DIC.2019</t>
  </si>
  <si>
    <t>DIC.2020</t>
  </si>
  <si>
    <t>DIC.2023</t>
  </si>
  <si>
    <t>DIC.2024</t>
  </si>
  <si>
    <t>FACTOR ACTUALIZACION</t>
  </si>
  <si>
    <t>Cufin Actualizada al cierre del año ANTERIOR</t>
  </si>
  <si>
    <t>Cufin actual. del año anterior</t>
  </si>
  <si>
    <t>Cufin acumulada </t>
  </si>
  <si>
    <t>Resultado</t>
  </si>
  <si>
    <t>del Ejercicio</t>
  </si>
  <si>
    <t>DETERMINACION DE DECLARACION ANUAL 2024 ISR</t>
  </si>
  <si>
    <t> " Ingresos según Estado de Resultados " </t>
  </si>
  <si>
    <t>INGRESOS </t>
  </si>
  <si>
    <t>ING X RETRABAJOS</t>
  </si>
  <si>
    <t>INGRESOS POR ACTUALIZACION</t>
  </si>
  <si>
    <t>DEV SOBRE VENTA</t>
  </si>
  <si>
    <t>PRODUCTOS FINANCIEROS</t>
  </si>
  <si>
    <t>REND BANCARIOS</t>
  </si>
  <si>
    <t>OTROS PROD </t>
  </si>
  <si>
    <t>OTROS ING NO ACUMULABLES</t>
  </si>
  <si>
    <t>Total ingresos según Estado de Resultados</t>
  </si>
  <si>
    <t>INGRESOS CONTABLES NO FISCALES:</t>
  </si>
  <si>
    <t>ACTUALIZACION DEV DE IMPUESTOS</t>
  </si>
  <si>
    <t>VENTA DE ACTIVOS</t>
  </si>
  <si>
    <t>Anticipos de clientes ( Ejercicio año anterior )</t>
  </si>
  <si>
    <t>Otros Ingresos NO Acumulables</t>
  </si>
  <si>
    <t>INGRESOS FISCALES NO CONTABLES:</t>
  </si>
  <si>
    <t>INVENTARIO ACUMULABLE</t>
  </si>
  <si>
    <t>AJUSTE ANUAL X INF ACUMULABLE</t>
  </si>
  <si>
    <t>ANTICIPO DE CLIENTES 2022 ( Ejercicio actual )</t>
  </si>
  <si>
    <t>UTILIDAD EN VENTA DE ACTIVO FIJO</t>
  </si>
  <si>
    <t>Disponible</t>
  </si>
  <si>
    <t>Total  Ingresos Acumulables </t>
  </si>
  <si>
    <t> " Deducciones  según Estado de Resultados " </t>
  </si>
  <si>
    <t>COSTO DE VENTAS</t>
  </si>
  <si>
    <t>GASTOS GENERALES</t>
  </si>
  <si>
    <t>GASTOS FINANCIEROS</t>
  </si>
  <si>
    <t>DEV SOBRE VENTA </t>
  </si>
  <si>
    <t>OTROS GASTOS</t>
  </si>
  <si>
    <t>OTROS GASTOS (ISR+PTU)</t>
  </si>
  <si>
    <t>Total de gastos según estado de resultados:</t>
  </si>
  <si>
    <t>Deducciones Contables NO Fiscales :</t>
  </si>
  <si>
    <t>DEPRECIACION CONTABLE</t>
  </si>
  <si>
    <t>Dontivos no Deducibles</t>
  </si>
  <si>
    <t>Otros N.D.</t>
  </si>
  <si>
    <t>ISR/PTU DEL EJERCICIO </t>
  </si>
  <si>
    <t>Sueldos y Salarios exentos NO Deducibles</t>
  </si>
  <si>
    <t>Cuentas por pagar a  Personas Fisicas  a dic 2024</t>
  </si>
  <si>
    <t>Cuentas por pagar a  Regimen simplificado / Soc CIV / Asoc Civ</t>
  </si>
  <si>
    <t>Cheques en transito a dic 2024 ( Personas Fisicas / Reg Simpl. )</t>
  </si>
  <si>
    <t>Costo por venta de activo fijo</t>
  </si>
  <si>
    <t>Deducciones Fiscales NO Contables:</t>
  </si>
  <si>
    <t>COSTO DE VENTAS FISCAL </t>
  </si>
  <si>
    <t>COSTO DE VENTAS FISCAL  ( NO DED )</t>
  </si>
  <si>
    <t>AJUSTE ANUAL X INF  DEDUCIBLE</t>
  </si>
  <si>
    <t>DEPRECIACION FISCAL NORMAL</t>
  </si>
  <si>
    <t>DEPRECIACION FISCAL DED INMEDIATA</t>
  </si>
  <si>
    <t>DED PEND DEL 2022 X APLICAR ( personas fisicas ej ant )</t>
  </si>
  <si>
    <t>DED PEND DEL 2022 X APLICAR ( reg simplicado / soc civiles )</t>
  </si>
  <si>
    <t>DED PEND DEL 2022 X APLICAR ( cheques en transito  ej ant )</t>
  </si>
  <si>
    <t>Costo fiscal por venta de Activo Fijo</t>
  </si>
  <si>
    <t>Total deduccioens autorizadas </t>
  </si>
  <si>
    <t>Deducciones Aut</t>
  </si>
  <si>
    <t>Costo</t>
  </si>
  <si>
    <t>Base</t>
  </si>
  <si>
    <t>Nomina Ded</t>
  </si>
  <si>
    <t>PTU pagada en el año </t>
  </si>
  <si>
    <t>IMSS/INF/RCV/ISN</t>
  </si>
  <si>
    <t>Perdida Fiscal </t>
  </si>
  <si>
    <t>Amortizacion de Perdidas de Ejercicios Anteriores</t>
  </si>
  <si>
    <t>Ded de Inversiones</t>
  </si>
  <si>
    <t>Resultado Fiscal</t>
  </si>
  <si>
    <t>Tasa</t>
  </si>
  <si>
    <t>Anticipos, Viaticos, Honorarios y Arrend PF</t>
  </si>
  <si>
    <t>ISR  del  Ejercicio </t>
  </si>
  <si>
    <t>Combustibles</t>
  </si>
  <si>
    <t>Contribuciones</t>
  </si>
  <si>
    <t>Pagos provisionales de ISR PM </t>
  </si>
  <si>
    <t>Desc y Dev</t>
  </si>
  <si>
    <t>Fletes</t>
  </si>
  <si>
    <t>Neto a Cargo ( + ) a  Favor ( - )</t>
  </si>
  <si>
    <t>Intereses</t>
  </si>
  <si>
    <t>Perdida Camb</t>
  </si>
  <si>
    <t>Seg y Fianzas</t>
  </si>
  <si>
    <t>Propaganda y publicidad</t>
  </si>
  <si>
    <t>Art y enseres de Limpieza</t>
  </si>
  <si>
    <t>Papeleria y art de oficina</t>
  </si>
  <si>
    <t>Gastos de Mtto</t>
  </si>
  <si>
    <t>AL SERVICIOS MULTIPLES EMPRESARIALES SA DE CV</t>
  </si>
  <si>
    <t>Balance General </t>
  </si>
  <si>
    <t>Al 31 de Julio de 2026</t>
  </si>
  <si>
    <t>(Importes expresados en pesos)</t>
  </si>
  <si>
    <t>  A C T I V O</t>
  </si>
  <si>
    <t>  P A S I V O</t>
  </si>
  <si>
    <t>C I R C U L A N T E</t>
  </si>
  <si>
    <t>Caja Chica</t>
  </si>
  <si>
    <t>Proveedores</t>
  </si>
  <si>
    <t>Bancos</t>
  </si>
  <si>
    <t>Acreedores Diversos</t>
  </si>
  <si>
    <t>Inversiones y Valores</t>
  </si>
  <si>
    <t>Anticipos de Clientes</t>
  </si>
  <si>
    <t>Cuentas por Cobrar</t>
  </si>
  <si>
    <t>Impuestos por Pagar</t>
  </si>
  <si>
    <t>Contribuciones </t>
  </si>
  <si>
    <t>Otros Pasivos PTU</t>
  </si>
  <si>
    <t>Inventarios</t>
  </si>
  <si>
    <t>Deudores Diversos</t>
  </si>
  <si>
    <t>Anticipo a Proveedores</t>
  </si>
  <si>
    <t>PASIVO A LARGO PLAZO</t>
  </si>
  <si>
    <t>Pagos anticipados </t>
  </si>
  <si>
    <t>TOTAL CIRCULANTE</t>
  </si>
  <si>
    <t>TOTAL PASIVO</t>
  </si>
  <si>
    <t>NO CIRCULANTE</t>
  </si>
  <si>
    <t>Herramientas</t>
  </si>
  <si>
    <t>C A P I T A L</t>
  </si>
  <si>
    <t>Mobiliario y Equipo</t>
  </si>
  <si>
    <t>C O N T A B L E</t>
  </si>
  <si>
    <t>Equipo de Cómputo</t>
  </si>
  <si>
    <t>Capital Social</t>
  </si>
  <si>
    <t>Equipo de transporte</t>
  </si>
  <si>
    <t>Aportaciones para aumentos de Capital</t>
  </si>
  <si>
    <t>Maquinaria y Equipo</t>
  </si>
  <si>
    <t>Resultados de Ejercicios Ant.</t>
  </si>
  <si>
    <t>Depreciacion acumulada de activos</t>
  </si>
  <si>
    <t>Resultado del Ejercicio</t>
  </si>
  <si>
    <t>TOTAL NO CIRCULANTE</t>
  </si>
  <si>
    <t>TOTAL CAPITAL CONTABLE</t>
  </si>
  <si>
    <t>OTROS ACTIVOS</t>
  </si>
  <si>
    <t>Depósitos en Garantía</t>
  </si>
  <si>
    <t>Pagos Anticipados</t>
  </si>
  <si>
    <t>TOTAL OTROS ACTIVOS</t>
  </si>
  <si>
    <t>TOTAL DEL ACTIVO</t>
  </si>
  <si>
    <t>TOTAL PASIVO+CAPITAL CONTABLE</t>
  </si>
  <si>
    <r>
      <rPr>
        <rFont val="Times New Roman"/>
        <sz val="10.00"/>
        <color rgb="FF000000"/>
        <family val="2"/>
      </rPr>
      <t xml:space="preserve">              C. P. SERGIO ALEJANDRO CHAVARRÍA SOLÍS</t>
    </r>
  </si>
  <si>
    <r>
      <rPr>
        <rFont val="Times New Roman"/>
        <sz val="10.00"/>
        <color rgb="FF000000"/>
        <family val="2"/>
      </rPr>
      <t>LIC. GABRIELA TORRES RAMIREZ</t>
    </r>
  </si>
  <si>
    <r>
      <rPr>
        <rFont val="Times New Roman"/>
        <sz val="10.00"/>
        <color rgb="FF000000"/>
        <family val="2"/>
      </rPr>
      <t xml:space="preserve">               CEDULA PROFESIONAL 7997330</t>
    </r>
  </si>
  <si>
    <r>
      <rPr>
        <rFont val="Times New Roman"/>
        <sz val="10.00"/>
        <color rgb="FF000000"/>
        <family val="2"/>
      </rPr>
      <t>REPRESENTANTE LEGAL</t>
    </r>
  </si>
  <si>
    <r>
      <rPr>
        <rFont val="Times New Roman"/>
        <sz val="10.00"/>
        <color rgb="FF000000"/>
        <family val="2"/>
      </rPr>
      <t xml:space="preserve">                CONTADOR EXTERNO</t>
    </r>
  </si>
  <si>
    <r>
      <rPr>
        <rFont val="Times New Roman"/>
        <sz val="10.00"/>
        <color rgb="FF000000"/>
        <family val="2"/>
      </rPr>
      <t>CONTADOR EXTERNO</t>
    </r>
  </si>
  <si>
    <t>Estado de Resultados</t>
  </si>
  <si>
    <t>Del 1ro de Enero al 31 de Julio 2026</t>
  </si>
  <si>
    <t>Del Período </t>
  </si>
  <si>
    <t>%</t>
  </si>
  <si>
    <t>Acumulado</t>
  </si>
  <si>
    <t>I N G R E S O S </t>
  </si>
  <si>
    <t>Ingresos por servicios</t>
  </si>
  <si>
    <t>#REF!</t>
  </si>
  <si>
    <t>Descuentos o bonificaciones</t>
  </si>
  <si>
    <t>INGRESOS NETOS</t>
  </si>
  <si>
    <t>C O S T O S</t>
  </si>
  <si>
    <t>Costo de Ventas</t>
  </si>
  <si>
    <t>UTILIDAD BRUTA</t>
  </si>
  <si>
    <t>Gastos de Operación</t>
  </si>
  <si>
    <t>Sueldos y Salarios</t>
  </si>
  <si>
    <t>Impuestos y Derechos</t>
  </si>
  <si>
    <t>Honorarios </t>
  </si>
  <si>
    <t>Arrendamiento</t>
  </si>
  <si>
    <t>Seguros y Fianzas</t>
  </si>
  <si>
    <t>Servicios</t>
  </si>
  <si>
    <t>Capacitación al Personal</t>
  </si>
  <si>
    <t>Fletes y/o Mensajería</t>
  </si>
  <si>
    <t>Seguridad e higiene</t>
  </si>
  <si>
    <t>Mantenimiento</t>
  </si>
  <si>
    <t>Propaganda y Publicidad</t>
  </si>
  <si>
    <t>Cuotas y Suscripciones</t>
  </si>
  <si>
    <t>Gastos de Viaje</t>
  </si>
  <si>
    <t>Herrajes y Herramientas</t>
  </si>
  <si>
    <t>Papelería y Art. de Oficina</t>
  </si>
  <si>
    <t>Depreciaciones</t>
  </si>
  <si>
    <t>Recargos</t>
  </si>
  <si>
    <t>Varios</t>
  </si>
  <si>
    <t>Uniformes</t>
  </si>
  <si>
    <t>No deducibles</t>
  </si>
  <si>
    <t>GASTOS DE OPERACIÓN</t>
  </si>
  <si>
    <t>UTILIDAD O (PÉRDIDA) DE OPERACIÓN</t>
  </si>
  <si>
    <t>OTROS INGRESOS Y GASTOS</t>
  </si>
  <si>
    <t>Otros Productos</t>
  </si>
  <si>
    <t>Otros Gastos</t>
  </si>
  <si>
    <t>TOTAL OTROS INGRESOS</t>
  </si>
  <si>
    <t>RES. INT. DE FINANCIAMIENTO</t>
  </si>
  <si>
    <t>Productos Financieros</t>
  </si>
  <si>
    <t>Gastos Financieros</t>
  </si>
  <si>
    <t>TOTAL R. I. F.</t>
  </si>
  <si>
    <t>RESULTADO ANTES DE IMPUESTOS</t>
  </si>
  <si>
    <t>ISR DEL EJERCICIO</t>
  </si>
  <si>
    <t>PTU DEL EJERCICIO</t>
  </si>
  <si>
    <t>RESULTADO DEL EJERCICIO</t>
  </si>
  <si>
    <t> AL SERVICIOS MULTIPLES EMPRESARIALES SA DE CV</t>
  </si>
  <si>
    <t>Balanza de Comprobación</t>
  </si>
  <si>
    <t>JULIO.2026</t>
  </si>
  <si>
    <t>RFC: SME170717GA0</t>
  </si>
  <si>
    <t>CUENTA</t>
  </si>
  <si>
    <t>SALDO INICIAL</t>
  </si>
  <si>
    <t>DEBE</t>
  </si>
  <si>
    <t>HABER</t>
  </si>
  <si>
    <t>SALDO FINAL</t>
  </si>
  <si>
    <t>*</t>
  </si>
  <si>
    <t>1110 CAJA Y EFECTIVO</t>
  </si>
  <si>
    <t>1110-0001 CAJA Y EFECTIVO</t>
  </si>
  <si>
    <t>1120 BANCOS</t>
  </si>
  <si>
    <t>1120-0001 BBVA BANCOMER</t>
  </si>
  <si>
    <t>1120-0002 SANTANDER</t>
  </si>
  <si>
    <t>1120-0003 BBVA BANCOMER DOLARES</t>
  </si>
  <si>
    <t>1120-0003-0001 BBVA DOLARES</t>
  </si>
  <si>
    <t>1120-0003-0002 BBVA COMPLEMENTARIA</t>
  </si>
  <si>
    <t>1120-0006 ACTINVER CONTRATO 174493893</t>
  </si>
  <si>
    <t>1120-0009 BANORTE</t>
  </si>
  <si>
    <t>1125 INVERSIONES Y VALORES</t>
  </si>
  <si>
    <t>1125-0002 ACTINVER BOLSA CONTRATO 7129911</t>
  </si>
  <si>
    <t>1125-0003 ACTINVER BOLSA CONTRATO 7129911 DLLS</t>
  </si>
  <si>
    <t>1125-0003-0001 DOLARES</t>
  </si>
  <si>
    <t>1125-0003-0002 COMPLEMENTARIA</t>
  </si>
  <si>
    <t>1125-0003-0003 VALUACION</t>
  </si>
  <si>
    <t>1130 CLIENTES</t>
  </si>
  <si>
    <t>1130-0001 CLIENTES NACIONALES</t>
  </si>
  <si>
    <t>1130-TSPS TS PRODUCTS AND SERVICES CO</t>
  </si>
  <si>
    <t>1130-TSPS-COM TSPS COMPLEMENTARIA</t>
  </si>
  <si>
    <t>1130-TSPS-DLLS TSPS DOLARES</t>
  </si>
  <si>
    <t>1150 FUNCIONARIOS Y EMPLEADOS</t>
  </si>
  <si>
    <t>1150-0001 DEUDORES DIVERSOS</t>
  </si>
  <si>
    <t>1150-VERA ADRIANA VELARDE</t>
  </si>
  <si>
    <t>1160 IVA ACREDITABLE</t>
  </si>
  <si>
    <t>1167 IVA ACREDITABLE NO PAGADO</t>
  </si>
  <si>
    <t>1170 INVENTARIO</t>
  </si>
  <si>
    <t>1170-0001 INVENTARIO</t>
  </si>
  <si>
    <t>1190 IMPUESTOS</t>
  </si>
  <si>
    <t>1190-0001 ISR PAGOS PROVISIONALES</t>
  </si>
  <si>
    <t>1190-0002 ISR RET BANCO</t>
  </si>
  <si>
    <t>1195 CONTRIBUCIONES A FAVOR</t>
  </si>
  <si>
    <t>1195-0001 IVA A FAVOR</t>
  </si>
  <si>
    <t>1195-0002 ISR A FAVOR</t>
  </si>
  <si>
    <t>1195-0003 SUBSIDIO AL EMPLEO</t>
  </si>
  <si>
    <t>1195-0004 PAGO DE LO INDEBIDO</t>
  </si>
  <si>
    <t>1196 PAGOS ANTICIPADOS</t>
  </si>
  <si>
    <t>1196-0001 OTROS PAGOS ANTICIPADOS</t>
  </si>
  <si>
    <t>1197 ANTICIPO A PROVEEDORES</t>
  </si>
  <si>
    <t>1197-0001 ANTICIPO A PROVEEDORES</t>
  </si>
  <si>
    <t>1197-0002 ANTICIPO SERV GASOLINEROS (OXXO GAS)</t>
  </si>
  <si>
    <t>1210 MOBILIARIO Y EQUIPO</t>
  </si>
  <si>
    <t>1210-0001 MOBILIARIO Y EQUIPO</t>
  </si>
  <si>
    <t>1215 DEP ACUM DE MOBILIARIO Y EQUIPO</t>
  </si>
  <si>
    <t>1220 EQUIPO DE COMPUTO</t>
  </si>
  <si>
    <t>1220-0001 EQUIPO DE COMPUTO</t>
  </si>
  <si>
    <t>1225 DEP ACUM DE EQUIPO DE COMPUTO</t>
  </si>
  <si>
    <t>1230 EQUIPO DE TRANSPORTE</t>
  </si>
  <si>
    <t>1230-0001 EQUIPO DE TRANSPORTE</t>
  </si>
  <si>
    <t>1230-0002 REMOLQUE NVO NEGRO 2EJES MOD 2023</t>
  </si>
  <si>
    <t>1235 DEP ACUM DE EQUIPO DE TRANSPORTE</t>
  </si>
  <si>
    <t>1240 MAQUINARIA Y EQUIPO</t>
  </si>
  <si>
    <t>1240-0001 MAQUINARIA Y EQUIPO</t>
  </si>
  <si>
    <t>1245 DEP ACUM DE MAQUINARIA Y EQUIPO</t>
  </si>
  <si>
    <t>2110 PROVEEDORES</t>
  </si>
  <si>
    <t>2120 ACREEDORES DIVERSOS</t>
  </si>
  <si>
    <t>2120- VERN Nancy Angelica Velarde Rodriguez</t>
  </si>
  <si>
    <t>2120-0001 ACREEDORES DIVERSOS</t>
  </si>
  <si>
    <t>2120-0002 PRESTAMOS</t>
  </si>
  <si>
    <t>2120-0002-BB03 PRESTAMO BBVA BANCOMER CONT 00741735769827956518</t>
  </si>
  <si>
    <t>2120-0002-BBCR PRESTAMO BBVA CREDITO REVOLVENTE</t>
  </si>
  <si>
    <t>2120-0002-BBV2 PRESTAMO BBVA 202204 CRED 6008</t>
  </si>
  <si>
    <t>2120-0002-TMA0 PRESTAMO BBVA TU MEJOR AGENCIA NISSAN ONIX CONT 44274144</t>
  </si>
  <si>
    <t>2120-0RET RETENCIONES PENDIENTES</t>
  </si>
  <si>
    <t>2120-0RET-0001 RETENCION IVA PENDIENTE</t>
  </si>
  <si>
    <t>2120-9998 OTRAS DEDUCCIONES</t>
  </si>
  <si>
    <t>2120-9999 SUELDOS POR PAGAR</t>
  </si>
  <si>
    <t>2120-BANORTE PRESTAMO BANORTE</t>
  </si>
  <si>
    <t>2120-CAML CAMPOS MEDINA MARIA LILIA</t>
  </si>
  <si>
    <t>2120-CLAR TARJETAS CREDITO CLARA</t>
  </si>
  <si>
    <t>2120-TMA0 TU MEJOR AGENCIA AUTOMOTRIZ</t>
  </si>
  <si>
    <t>2120-VERA ADRIANA VELARDE</t>
  </si>
  <si>
    <t>2130 ANTICIPO DE CLIENTES</t>
  </si>
  <si>
    <t>2130-0001 ANTICIPO DE CLIENTES EXTRANJEROS</t>
  </si>
  <si>
    <t>2140 IMPUESTOS POR PAGAR</t>
  </si>
  <si>
    <t>2140-0001 IMPUESTOS RET DE ISR X SALARIOS</t>
  </si>
  <si>
    <t>2140-0002 IMPUESTOS RET DE ISR X SERVICIOS PROF</t>
  </si>
  <si>
    <t>2140-0003 IMPUESTOS RET DE ISR X ARREND</t>
  </si>
  <si>
    <t>2140-0004 IMPUESTOS RET DE IVA</t>
  </si>
  <si>
    <t>2140-0005 RETENCION IMSS OBRERO</t>
  </si>
  <si>
    <t>2140-0006 CREDITO INFONAVIT </t>
  </si>
  <si>
    <t>2140-0010 ISN POR PAGAR</t>
  </si>
  <si>
    <t>2157 IVA NO COBRADO</t>
  </si>
  <si>
    <t>2160 PTU POR PAGAR</t>
  </si>
  <si>
    <t>3100 CAPITAL SOCIAL</t>
  </si>
  <si>
    <t>3100-0001 CAPITAL FIJO</t>
  </si>
  <si>
    <t>3100-0002 CAPITAL VARIABLE</t>
  </si>
  <si>
    <t>3110 APORTACIONES</t>
  </si>
  <si>
    <t>3160 RESULTADO DE EJERCICIOS ANTERIORES</t>
  </si>
  <si>
    <t>3160-2017 RESULTADO DEL EJERCICIO 2017</t>
  </si>
  <si>
    <t>3160-2018 RESULTADO DEL EJERCICIO 2018</t>
  </si>
  <si>
    <t>3160-2019 RESULTADO DEL EJERCICIO 2019</t>
  </si>
  <si>
    <t>3160-2020 RESULTADO DEL EJERCICIO 2020</t>
  </si>
  <si>
    <t>3160-2021 RESULTADO DEL EJERCICIO 2021</t>
  </si>
  <si>
    <t>3160-2022 RESULTADO DEL EJERCICIO 2022</t>
  </si>
  <si>
    <t>3160-2023 RESULTADO DEL EJERCICIO 2023</t>
  </si>
  <si>
    <t>3160-2024 RESULTADO DEL EJERCICIO 2024</t>
  </si>
  <si>
    <t>3160-2025 RESULTADO DEL EJERCICIO 2025</t>
  </si>
  <si>
    <t>4110 INGRESOS</t>
  </si>
  <si>
    <t>4110-0001 INGRESOS POR SERVICIOS T-0%</t>
  </si>
  <si>
    <t>4110-0002 INGRESOS POR SERVICIOS CON IVA</t>
  </si>
  <si>
    <t>4110-0003 INGRESOS POR ACTUALIZACIONES</t>
  </si>
  <si>
    <t>4110-9999 OTROS INGRESOS</t>
  </si>
  <si>
    <t>5110 COSTO DE VENTAS</t>
  </si>
  <si>
    <t>5110-0001 MATERIALES PARA MAQUINARIA</t>
  </si>
  <si>
    <t>5110-0003 MATERIAL PARA CONSTRUCCION</t>
  </si>
  <si>
    <t>5110-0005 MATERIAL PARA EMPAQUES </t>
  </si>
  <si>
    <t>5110-0011 MATERIAL ACERO PERFILES</t>
  </si>
  <si>
    <t>5110-0012 MATERIAL ACERO ESPECIAL Y MAQUINADOS</t>
  </si>
  <si>
    <t>5110-0013 MATERIAL RODAMIENTOS Y SIMILARES</t>
  </si>
  <si>
    <t>5110-0014 MATERIAL ESPECIALES MAQUINADO TORTILLAS</t>
  </si>
  <si>
    <t>5110-0015 MATERIAL ELECTRICO</t>
  </si>
  <si>
    <t>5115 COSTO EN VENTA DE ACTIVO FIJO</t>
  </si>
  <si>
    <t>6110 SUELDOS Y SALARIOS</t>
  </si>
  <si>
    <t>6110-0001 SUELDO Y SEPTIMO DIA</t>
  </si>
  <si>
    <t>6110-0002 BONO DE PUNTUALIDAD</t>
  </si>
  <si>
    <t>6110-0003 BONO DE ASISTENCIA</t>
  </si>
  <si>
    <t>6110-0004 BONO DE DESPENSA</t>
  </si>
  <si>
    <t>6110-0005 PERCEPCION EXENTA</t>
  </si>
  <si>
    <t>6110-0006 AGUINALDO</t>
  </si>
  <si>
    <t>6110-0007 VACACIONES</t>
  </si>
  <si>
    <t>6110-0008 PRIMA VACACIONAL</t>
  </si>
  <si>
    <t>6110-0010 HORAS EXTRAS DOBLES</t>
  </si>
  <si>
    <t>6110-0011 HORAS EXTRAS TRIPLES</t>
  </si>
  <si>
    <t>6110-0013 INDEMNIZACION</t>
  </si>
  <si>
    <t>6110-0016 OTRAS PERCEPCIONES</t>
  </si>
  <si>
    <t>6110-0017 GRATIFICACION POR SEPARACION</t>
  </si>
  <si>
    <t>6110-0019 PRIMA DOMINICAL</t>
  </si>
  <si>
    <t>6120 IMPUESTOS</t>
  </si>
  <si>
    <t>6120-0001 IMSS</t>
  </si>
  <si>
    <t>6120-0002 SAR</t>
  </si>
  <si>
    <t>6120-0003 INFONAVIT</t>
  </si>
  <si>
    <t>6120-0004 ISN</t>
  </si>
  <si>
    <t>6120-0005 OTROS</t>
  </si>
  <si>
    <t>6125 HONORARIOS</t>
  </si>
  <si>
    <t>6125-0001 HONORARIOS PF</t>
  </si>
  <si>
    <t>6125-0002 HONORARIOS PM</t>
  </si>
  <si>
    <t>6130 ARRENDAMIENTO</t>
  </si>
  <si>
    <t>6130-0001 ARRENDAMIENTO PF</t>
  </si>
  <si>
    <t>6130-0002 ARRENDAMIENTO PM</t>
  </si>
  <si>
    <t>6135 SEGUROS Y FIANZAS</t>
  </si>
  <si>
    <t>6140 SERVICIOS</t>
  </si>
  <si>
    <t>6140-0001 ENERGIA ELECTRICA</t>
  </si>
  <si>
    <t>6140-0002 AGUA</t>
  </si>
  <si>
    <t>6140-0004 TELEFONO E INTERNET</t>
  </si>
  <si>
    <t>6144 CAPACITACION AL PERSONAL</t>
  </si>
  <si>
    <t>6145 FLETES</t>
  </si>
  <si>
    <t>6146 MENSAJERIA</t>
  </si>
  <si>
    <t>6147 SEGURIDAD E HIGIENE</t>
  </si>
  <si>
    <t>6148 BOTIQUIN Y ESTUDIOS MEDICOS</t>
  </si>
  <si>
    <t>6150 MANTENIMIENTOS</t>
  </si>
  <si>
    <t>6150-0001 OFICINA</t>
  </si>
  <si>
    <t>6150-0005 MANTENIMIENTO DE MAQUINARIA </t>
  </si>
  <si>
    <t>6155 PUBLICIDAD Y PROPAGANDA</t>
  </si>
  <si>
    <t>6160 COMBUSTIBLES</t>
  </si>
  <si>
    <t>6165 PAPELERIA Y ART DE OFICINA</t>
  </si>
  <si>
    <t>6170 CUOTAS Y SUSCRIPCIONES</t>
  </si>
  <si>
    <t>6175 GASTOS DE VIAJE</t>
  </si>
  <si>
    <t>6176 GASTOS EN EL EXTRANJERO</t>
  </si>
  <si>
    <t>6177 HERRAJES Y HERRAMIENTAS</t>
  </si>
  <si>
    <t>6185 DEPRECIACIONES</t>
  </si>
  <si>
    <t>6190 RECARGOS</t>
  </si>
  <si>
    <t>6195 GASTOS DIVERSOS</t>
  </si>
  <si>
    <t>6196 UNIFORMES</t>
  </si>
  <si>
    <t>6290 NO DEDUCIBLES</t>
  </si>
  <si>
    <t>6290-0001 NO DEDUCIBLES SIN COMPROBANTES</t>
  </si>
  <si>
    <t>6290-0002 NO DEDUCIBLES SIN REQUISITOS FISC</t>
  </si>
  <si>
    <t>6410 GASTOS FINANCIEROS</t>
  </si>
  <si>
    <t>6410-0001 COMISIONES BANCARIAS</t>
  </si>
  <si>
    <t>6410-0002 PERDIDA CAMBIARIA</t>
  </si>
  <si>
    <t>6410-0003 INTERESES</t>
  </si>
  <si>
    <t>6510   IMPUESTOS A LA UTILIDAD</t>
  </si>
  <si>
    <t>6510-0001   ISR DEL EJERCICIO</t>
  </si>
  <si>
    <t>6510-0002   PTU DEL EJERCICIO</t>
  </si>
  <si>
    <t>7510 PRODUCTOS FINANCIEROS</t>
  </si>
  <si>
    <t>7510-0001 RENDIMIENTOS BANCARIOS</t>
  </si>
  <si>
    <t>7510-0002 UTILIDAD CAMBIARIA</t>
  </si>
  <si>
    <t>SUMAS IGUALES</t>
  </si>
  <si>
    <t>DECLARACION DEL EJERCICIO</t>
  </si>
  <si>
    <t>PERSONAS MORALES DEL REGIMEN GENERAL F18</t>
  </si>
  <si>
    <t>DATOS DE IDENTIFICACION</t>
  </si>
  <si>
    <t>RFC</t>
  </si>
  <si>
    <t>SME170717GA0</t>
  </si>
  <si>
    <t>DENOMINACION O RAZON SOCIAL</t>
  </si>
  <si>
    <t>DATOS GENERALES</t>
  </si>
  <si>
    <t>TIPO DE DECLARACIÓN</t>
  </si>
  <si>
    <t>Normal</t>
  </si>
  <si>
    <t>TIPO DE COMPLEMENTARIA</t>
  </si>
  <si>
    <t>PERIODO </t>
  </si>
  <si>
    <t>Del Ejercicio</t>
  </si>
  <si>
    <t>EJERCICIO:</t>
  </si>
  <si>
    <t>INDIQUE SI OPTA POR DICTAMINAR SUS ESTADOS FINANCIEROS </t>
  </si>
  <si>
    <t>NO</t>
  </si>
  <si>
    <t>DATOS DEL DOMICILIO FISCAL ( VIGENTE )</t>
  </si>
  <si>
    <t>DOMICILIO</t>
  </si>
  <si>
    <t>NUM EXTERIOR</t>
  </si>
  <si>
    <t>NUMERO INTERIOR</t>
  </si>
  <si>
    <t>COLONIA</t>
  </si>
  <si>
    <t>CODIGO POSTAL</t>
  </si>
  <si>
    <t>ESTADO</t>
  </si>
  <si>
    <t>   Chihuahua</t>
  </si>
  <si>
    <t>  CIUDAD</t>
  </si>
  <si>
    <t>CIEC</t>
  </si>
  <si>
    <t>FIEL</t>
  </si>
  <si>
    <r>
      <rPr>
        <rFont val="Calibri"/>
        <sz val="11.00"/>
        <b/>
        <color rgb="FFFF0000"/>
        <family val="2"/>
      </rPr>
      <t xml:space="preserve">       Nota: </t>
    </r>
    <r>
      <rPr>
        <rFont val="Arial"/>
        <sz val="10.00"/>
        <family val="2"/>
      </rPr>
      <t>Verificar que el domicilio fiscal y la FIEL esten vigentes</t>
    </r>
  </si>
  <si>
    <t>RESUMEN INFORMATIVO</t>
  </si>
  <si>
    <t>Ventas Ejercicio Anterior</t>
  </si>
  <si>
    <t>Deducciones autorizadas Ejerc Anterior</t>
  </si>
  <si>
    <t>Ventas Ejercicio Actual</t>
  </si>
  <si>
    <t>Deducciones autorizadas Ejerc Actual</t>
  </si>
  <si>
    <t>Variacion de Ingresos</t>
  </si>
  <si>
    <t>Variacion de Deducciones autorizadas</t>
  </si>
  <si>
    <t>Variacion neta acumulada</t>
  </si>
  <si>
    <t>Impacto en ISR del Ejercicio</t>
  </si>
  <si>
    <t>ISR del Ejercicio anterior</t>
  </si>
  <si>
    <t>Probable impto a determinar Ejec Actual</t>
  </si>
  <si>
    <t>Impacto Real en ISR del Ejercicio</t>
  </si>
  <si>
    <t>Ingresos acumulables año anterior  </t>
  </si>
  <si>
    <t>ISR del Ejercicio</t>
  </si>
  <si>
    <t>Ingresos acumulables año actual</t>
  </si>
  <si>
    <t>ISR a Pagar  Neto del año</t>
  </si>
  <si>
    <t>Resultado del ejercicio :</t>
  </si>
  <si>
    <t>% de ISR respecto a Ingresos Acum</t>
  </si>
  <si>
    <t>Utilidad Fiscal:</t>
  </si>
  <si>
    <t>Perdida Contable:</t>
  </si>
  <si>
    <t>% de ISR respecto a Utilidad Fiscal</t>
  </si>
  <si>
    <t>Perdida Fiscal:</t>
  </si>
  <si>
    <t>% de ISR respecto a Utilidad Contable</t>
  </si>
  <si>
    <t>Ingresos Acumulables del año </t>
  </si>
  <si>
    <t>ISR a Favor del año </t>
  </si>
  <si>
    <t>Factor de utilidad utilizado en 2024</t>
  </si>
  <si>
    <t>PTU a Pagar en Mayo del 2025</t>
  </si>
  <si>
    <t>Factor para el año 2025</t>
  </si>
  <si>
    <t>Diferencia en factor</t>
  </si>
  <si>
    <t>Perdida por amortizar para 2025</t>
  </si>
  <si>
    <t>Fecha </t>
  </si>
  <si>
    <t>Realizó</t>
  </si>
  <si>
    <t>Revisó</t>
  </si>
  <si>
    <t>Autorizó</t>
  </si>
  <si>
    <t>FECHA y HORA DE PRESENTACIÓN </t>
  </si>
  <si>
    <t>NUMERO DE OPERACIÓN</t>
  </si>
  <si>
    <t>Sueldos</t>
  </si>
  <si>
    <t>Impuesto </t>
  </si>
  <si>
    <t>Informacion Timbrada Plataforma</t>
  </si>
  <si>
    <t>Informacion Nomina Contabilidad</t>
  </si>
  <si>
    <t>Diferencia</t>
  </si>
  <si>
    <t>Impto Pagado</t>
  </si>
  <si>
    <t>Gasto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</si>
  <si>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</si>
  <si>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</si>
  <si>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</si>
  <si>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</si>
  <si>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</si>
  <si>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</si>
  <si>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</si>
  <si>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</si>
  <si>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</si>
  <si>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</si>
  <si>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</si>
  <si>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</si>
  <si>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Abonos Cuenta Contab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</si>
</sst>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  <font>
      <name val="Arial"/>
      <sz val="10.00"/>
      <color rgb="FFFFFFFF"/>
      <family val="2"/>
    </font>
    <font>
      <name val="Arial"/>
      <sz val="10.00"/>
      <family val="2"/>
    </font>
    <font>
      <name val="Inherit"/>
      <sz val="14.00"/>
      <color rgb="FF000000"/>
      <family val="2"/>
    </font>
    <font>
      <name val="Arial"/>
      <sz val="14.00"/>
      <family val="2"/>
    </font>
    <font>
      <name val="Arial"/>
      <sz val="11.00"/>
      <family val="2"/>
    </font>
    <font>
      <name val="Arial"/>
      <sz val="7.00"/>
      <b/>
      <family val="2"/>
    </font>
    <font>
      <name val="Arial"/>
      <sz val="11.00"/>
      <color rgb="FF000000"/>
      <family val="2"/>
    </font>
    <font>
      <name val="Calibri"/>
      <sz val="11.00"/>
      <b/>
      <color rgb="FF000000"/>
      <family val="2"/>
    </font>
    <font>
      <name val="Arial"/>
      <sz val="7.00"/>
      <family val="2"/>
    </font>
    <font>
      <name val="Arial"/>
      <sz val="9.00"/>
      <family val="2"/>
    </font>
    <font>
      <name val="Arial"/>
      <sz val="8.00"/>
      <b/>
      <color rgb="FF595959"/>
      <family val="2"/>
    </font>
    <font>
      <name val="Times New Roman"/>
      <sz val="9.00"/>
      <color rgb="FF000000"/>
      <family val="2"/>
    </font>
    <font>
      <name val="Arial"/>
      <sz val="16.00"/>
      <family val="2"/>
    </font>
    <font>
      <name val="Arial"/>
      <sz val="10.00"/>
      <b/>
      <family val="2"/>
    </font>
    <font>
      <name val="Calibri"/>
      <sz val="11.00"/>
      <color rgb="FF000000"/>
      <family val="2"/>
    </font>
    <font>
      <name val="Arial"/>
      <sz val="12.00"/>
      <b/>
      <family val="2"/>
    </font>
    <font>
      <name val="Arial"/>
      <sz val="12.00"/>
      <family val="2"/>
    </font>
    <font>
      <name val="Calibri"/>
      <sz val="11.00"/>
      <family val="2"/>
    </font>
    <font>
      <name val="Arial"/>
      <sz val="9.00"/>
      <b/>
      <color rgb="FF595959"/>
      <family val="2"/>
    </font>
    <font>
      <name val="Arial"/>
      <sz val="9.00"/>
      <b/>
      <color rgb="FF000000"/>
      <family val="2"/>
    </font>
    <font>
      <name val="Inherit"/>
      <sz val="12.00"/>
      <color rgb="FF000000"/>
      <family val="2"/>
    </font>
    <font>
      <name val="Calibri"/>
      <sz val="12.00"/>
      <family val="2"/>
    </font>
    <font>
      <name val="Calibri"/>
      <sz val="10.00"/>
      <family val="2"/>
    </font>
    <font>
      <name val="Calibri"/>
      <sz val="11.00"/>
      <i/>
      <b/>
      <color rgb="FF000000"/>
      <family val="2"/>
    </font>
    <font>
      <name val="Calibri"/>
      <sz val="14.00"/>
      <color rgb="FF000000"/>
      <family val="2"/>
    </font>
    <font>
      <name val="Arial"/>
      <sz val="10.00"/>
      <i/>
      <family val="2"/>
    </font>
    <font>
      <name val="Calibri"/>
      <sz val="12.00"/>
      <b/>
      <family val="2"/>
    </font>
    <font>
      <name val="Arial"/>
      <sz val="10.00"/>
      <u val="single"/>
      <family val="2"/>
    </font>
    <font>
      <name val="Times New Roman"/>
      <sz val="10.00"/>
      <color rgb="FF000000"/>
      <family val="2"/>
    </font>
    <font>
      <name val="Arial"/>
      <sz val="14.00"/>
      <u val="single"/>
      <family val="2"/>
    </font>
    <font>
      <name val="Calibri"/>
      <sz val="20.00"/>
      <b/>
      <color rgb="FFFF0000"/>
      <family val="2"/>
    </font>
    <font>
      <name val="Calibri"/>
      <sz val="12.00"/>
      <b/>
      <u val="single"/>
      <family val="2"/>
    </font>
    <font>
      <name val="Arial"/>
      <sz val="14.00"/>
      <b/>
      <family val="2"/>
    </font>
    <font>
      <name val="Calibri"/>
      <sz val="14.00"/>
      <b/>
      <color rgb="FF000000"/>
      <family val="2"/>
    </font>
    <font>
      <name val="Arial"/>
      <sz val="10.00"/>
      <color rgb="FF000000"/>
      <family val="2"/>
    </font>
    <font>
      <name val="Arial"/>
      <sz val="16.00"/>
      <b/>
      <u val="single"/>
      <family val="2"/>
    </font>
    <font>
      <name val="Calibri"/>
      <sz val="11.00"/>
      <b/>
      <u val="single"/>
      <color rgb="FF000000"/>
      <family val="2"/>
    </font>
    <font>
      <name val="Times New Roman"/>
      <sz val="12.00"/>
      <family val="2"/>
    </font>
    <font>
      <name val="Arial"/>
      <sz val="10.00"/>
      <i/>
      <b/>
      <family val="2"/>
    </font>
    <font>
      <name val="Calibri"/>
      <sz val="16.00"/>
      <family val="2"/>
    </font>
    <font>
      <name val="Times New Roman"/>
      <sz val="9.00"/>
      <family val="2"/>
    </font>
    <font>
      <name val="Arial"/>
      <sz val="10.00"/>
      <i/>
      <b/>
      <color rgb="FFFFFFFF"/>
      <family val="2"/>
    </font>
  </fonts>
  <fills count="120">
    <fill>
      <patternFill patternType="none"/>
    </fill>
    <fill>
      <patternFill patternType="gray125"/>
    </fill>
    <fill>
      <patternFill patternType="solid">
        <fgColor rgb="FFE6B9B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FFFFFF"/>
        <bgColor indexed="64"/>
      </patternFill>
    </fill>
  </fills>
  <borders count="8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hair">
        <color rgb="FF59595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59595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000000"/>
      </left>
      <right/>
      <top/>
      <bottom/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/>
      <right style="medium">
        <color rgb="FF000000"/>
      </right>
      <top/>
      <bottom/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80">
    <xf numFmtId="0" fontId="0" fillId="0" borderId="0"/>
    <xf fontId="1" applyFont="1" fillId="2" applyFill="1"/>
    <xf fontId="2" applyFont="1" fillId="3" applyFill="1"/>
    <xf fontId="3" applyFont="1" borderId="1" applyBorder="1"/>
    <xf fontId="1" applyFont="1" fillId="4" applyFill="1"/>
    <xf fontId="4" applyFont="1" borderId="2" applyBorder="1" applyAlignment="1">
      <alignment vertical="center" horizontal="center"/>
    </xf>
    <xf fontId="5" applyFont="1" fillId="5" applyFill="1" applyAlignment="1">
      <alignment horizontal="center"/>
    </xf>
    <xf fontId="6" applyFont="1" fillId="6" applyFill="1" borderId="3" applyBorder="1"/>
    <xf fontId="7" applyFont="1" fillId="7" applyFill="1" borderId="4" applyBorder="1" applyAlignment="1">
      <alignment vertical="top"/>
    </xf>
    <xf fontId="3" applyFont="1" borderId="5" applyBorder="1" applyAlignment="1">
      <alignment horizontal="center"/>
    </xf>
    <xf fontId="5" applyFont="1" applyAlignment="1">
      <alignment horizontal="center"/>
    </xf>
    <xf fontId="8" applyFont="1" fillId="8" applyFill="1"/>
    <xf fontId="9" applyFont="1" applyAlignment="1">
      <alignment vertical="center" horizontal="center" wrapText="1"/>
    </xf>
    <xf fontId="10" applyFont="1" fillId="9" applyFill="1" borderId="6" applyBorder="1" applyAlignment="1">
      <alignment vertical="top" horizontal="right"/>
    </xf>
    <xf fontId="11" applyFont="1" fillId="10" applyFill="1" applyAlignment="1">
      <alignment horizontal="center"/>
    </xf>
    <xf fontId="12" applyFont="1" applyAlignment="1">
      <alignment vertical="center"/>
    </xf>
    <xf fontId="3" applyFont="1" fillId="11" applyFill="1" borderId="7" applyBorder="1" applyAlignment="1">
      <alignment horizontal="left"/>
    </xf>
    <xf fontId="13" applyFont="1" fillId="12" applyFill="1" applyAlignment="1">
      <alignment vertical="center" horizontal="center"/>
    </xf>
    <xf fontId="14" applyFont="1" applyAlignment="1">
      <alignment horizontal="center"/>
    </xf>
    <xf fontId="15" applyFont="1" fillId="13" applyFill="1" applyAlignment="1">
      <alignment vertical="center" horizontal="center"/>
    </xf>
    <xf fontId="9" applyFont="1" borderId="8" applyBorder="1" applyAlignment="1">
      <alignment vertical="center" horizontal="center" wrapText="1"/>
    </xf>
    <xf fontId="3" applyFont="1" fillId="14" applyFill="1" borderId="9" applyBorder="1" applyAlignment="1">
      <alignment horizontal="center"/>
    </xf>
    <xf fontId="16" applyFont="1" borderId="10" applyBorder="1" applyAlignment="1">
      <alignment horizontal="center"/>
    </xf>
    <xf fontId="17" applyFont="1" fillId="15" applyFill="1"/>
    <xf fontId="3" applyFont="1" fillId="16" applyFill="1" borderId="11" applyBorder="1"/>
    <xf fontId="5" applyFont="1" fillId="17" applyFill="1" borderId="12" applyBorder="1" applyAlignment="1">
      <alignment horizontal="center"/>
    </xf>
    <xf fontId="10" applyFont="1" fillId="18" applyFill="1" borderId="13" applyBorder="1" applyAlignment="1">
      <alignment vertical="top" horizontal="right"/>
    </xf>
    <xf fontId="10" applyFont="1" fillId="19" applyFill="1" borderId="14" applyBorder="1" applyAlignment="1">
      <alignment vertical="top"/>
    </xf>
    <xf fontId="3" applyFont="1" borderId="15" applyBorder="1" applyAlignment="1">
      <alignment horizontal="center"/>
    </xf>
    <xf fontId="18" applyFont="1"/>
    <xf fontId="19" applyFont="1" fillId="20" applyFill="1" borderId="16" applyBorder="1" applyAlignment="1">
      <alignment horizontal="center"/>
    </xf>
    <xf fontId="6" applyFont="1" fillId="21" applyFill="1" borderId="17" applyBorder="1" applyAlignment="1">
      <alignment horizontal="center"/>
    </xf>
    <xf fontId="18" applyFont="1" fillId="22" applyFill="1" applyAlignment="1">
      <alignment vertical="center" horizontal="center"/>
    </xf>
    <xf fontId="20" applyFont="1" applyAlignment="1">
      <alignment vertical="center"/>
    </xf>
    <xf fontId="19" applyFont="1" fillId="23" applyFill="1" borderId="18" applyBorder="1" applyAlignment="1">
      <alignment horizontal="center"/>
    </xf>
    <xf fontId="3" applyFont="1" fillId="24" applyFill="1" borderId="19" applyBorder="1"/>
    <xf fontId="21" applyFont="1"/>
    <xf fontId="22" applyFont="1" borderId="20" applyBorder="1" applyAlignment="1">
      <alignment vertical="center" horizontal="center"/>
    </xf>
    <xf fontId="3" applyFont="1" fillId="25" applyFill="1" borderId="21" applyBorder="1"/>
    <xf fontId="9" applyFont="1" fillId="26" applyFill="1" applyAlignment="1">
      <alignment vertical="center" horizontal="center"/>
    </xf>
    <xf fontId="23" applyFont="1" fillId="27" applyFill="1" applyAlignment="1">
      <alignment horizontal="center"/>
    </xf>
    <xf fontId="3" applyFont="1" borderId="22" applyBorder="1" applyAlignment="1">
      <alignment horizontal="center"/>
    </xf>
    <xf fontId="3" applyFont="1" borderId="23" applyBorder="1"/>
    <xf fontId="4" applyFont="1" applyAlignment="1">
      <alignment vertical="center" horizontal="center"/>
    </xf>
    <xf fontId="9" applyFont="1" fillId="28" applyFill="1" applyAlignment="1">
      <alignment horizontal="right"/>
    </xf>
    <xf fontId="24" applyFont="1"/>
    <xf fontId="5" applyFont="1" fillId="29" applyFill="1" borderId="24" applyBorder="1" applyAlignment="1">
      <alignment horizontal="center"/>
    </xf>
    <xf fontId="3" applyFont="1" fillId="30" applyFill="1" borderId="25" applyBorder="1" applyAlignment="1">
      <alignment vertical="center"/>
    </xf>
    <xf fontId="19" applyFont="1" fillId="31" applyFill="1" borderId="26" applyBorder="1" applyAlignment="1">
      <alignment horizontal="center"/>
    </xf>
    <xf fontId="18" applyFont="1" fillId="32" applyFill="1" applyAlignment="1">
      <alignment horizontal="center"/>
    </xf>
    <xf fontId="19" applyFont="1" fillId="33" applyFill="1" borderId="27" applyBorder="1" applyAlignment="1">
      <alignment horizontal="left"/>
    </xf>
    <xf fontId="6" applyFont="1" applyAlignment="1">
      <alignment horizontal="center"/>
    </xf>
    <xf fontId="1" applyFont="1" fillId="34" applyFill="1"/>
    <xf fontId="3" applyFont="1" fillId="35" applyFill="1" borderId="28" applyBorder="1" applyAlignment="1">
      <alignment horizontal="center"/>
    </xf>
    <xf fontId="3" applyFont="1" borderId="29" applyBorder="1"/>
    <xf fontId="9" applyFont="1" borderId="30" applyBorder="1" applyAlignment="1">
      <alignment vertical="center" horizontal="center" wrapText="1"/>
    </xf>
    <xf fontId="6" applyFont="1"/>
    <xf fontId="9" applyFont="1" applyAlignment="1">
      <alignment horizontal="center"/>
    </xf>
    <xf fontId="25" applyFont="1" fillId="36" applyFill="1" applyAlignment="1">
      <alignment horizontal="center"/>
    </xf>
    <xf fontId="3" applyFont="1" fillId="37" applyFill="1" applyAlignment="1">
      <alignment horizontal="left"/>
    </xf>
    <xf fontId="3" applyFont="1" borderId="31" applyBorder="1"/>
    <xf fontId="3" applyFont="1" borderId="32" applyBorder="1"/>
    <xf fontId="3" applyFont="1" fillId="38" applyFill="1" borderId="33" applyBorder="1"/>
    <xf fontId="7" applyFont="1" fillId="39" applyFill="1" borderId="34" applyBorder="1" applyAlignment="1">
      <alignment vertical="top" horizontal="center"/>
    </xf>
    <xf fontId="19" applyFont="1" fillId="40" applyFill="1" borderId="35" applyBorder="1" applyAlignment="1">
      <alignment horizontal="center"/>
    </xf>
    <xf fontId="19" applyFont="1" fillId="41" applyFill="1" applyAlignment="1">
      <alignment horizontal="right"/>
    </xf>
    <xf fontId="19" applyFont="1" fillId="42" applyFill="1" applyAlignment="1">
      <alignment horizontal="center"/>
    </xf>
    <xf fontId="1" applyFont="1" fillId="43" applyFill="1"/>
    <xf fontId="3" applyFont="1" fillId="44" applyFill="1" borderId="36" applyBorder="1" applyAlignment="1">
      <alignment horizontal="left"/>
    </xf>
    <xf fontId="19" applyFont="1" fillId="45" applyFill="1" borderId="37" applyBorder="1" applyAlignment="1">
      <alignment horizontal="center"/>
    </xf>
    <xf fontId="3" applyFont="1" fillId="46" applyFill="1" borderId="38" applyBorder="1" applyAlignment="1">
      <alignment horizontal="center"/>
    </xf>
    <xf fontId="10" applyFont="1" fillId="47" applyFill="1" borderId="39" applyBorder="1" applyAlignment="1">
      <alignment vertical="top"/>
    </xf>
    <xf fontId="26" applyFont="1" fillId="48" applyFill="1" borderId="40" applyBorder="1" applyAlignment="1">
      <alignment horizontal="center"/>
    </xf>
    <xf fontId="3" applyFont="1" applyAlignment="1">
      <alignment horizontal="right"/>
    </xf>
    <xf fontId="27" applyFont="1" fillId="49" applyFill="1" applyAlignment="1">
      <alignment horizontal="center"/>
    </xf>
    <xf fontId="15" applyFont="1" fillId="50" applyFill="1"/>
    <xf fontId="28" applyFont="1"/>
    <xf fontId="29" applyFont="1" fillId="51" applyFill="1"/>
    <xf fontId="5" applyFont="1" fillId="52" applyFill="1" applyAlignment="1">
      <alignment horizontal="center"/>
    </xf>
    <xf fontId="9" applyFont="1" borderId="41" applyBorder="1" applyAlignment="1">
      <alignment vertical="center" horizontal="center" wrapText="1"/>
    </xf>
    <xf fontId="5" applyFont="1" borderId="42" applyBorder="1" applyAlignment="1">
      <alignment horizontal="center"/>
    </xf>
    <xf fontId="7" applyFont="1" fillId="53" applyFill="1" borderId="43" applyBorder="1" applyAlignment="1">
      <alignment vertical="top" horizontal="right"/>
    </xf>
    <xf fontId="30" applyFont="1" fillId="54" applyFill="1" applyAlignment="1">
      <alignment vertical="center" horizontal="center"/>
    </xf>
    <xf fontId="31" applyFont="1" fillId="55" applyFill="1"/>
    <xf fontId="7" applyFont="1" fillId="56" applyFill="1" borderId="44" applyBorder="1" applyAlignment="1">
      <alignment vertical="top" horizontal="right"/>
    </xf>
    <xf fontId="3" applyFont="1" fillId="57" applyFill="1" borderId="45" applyBorder="1" applyAlignment="1">
      <alignment horizontal="center"/>
    </xf>
    <xf fontId="13" applyFont="1" fillId="58" applyFill="1" applyAlignment="1">
      <alignment vertical="center" horizontal="center" wrapText="1"/>
    </xf>
    <xf fontId="32" applyFont="1" applyAlignment="1">
      <alignment vertical="center"/>
    </xf>
    <xf fontId="3" applyFont="1" fillId="59" applyFill="1" borderId="46" applyBorder="1" applyAlignment="1">
      <alignment vertical="center" horizontal="center"/>
    </xf>
    <xf fontId="33" applyFont="1" applyAlignment="1">
      <alignment horizontal="center"/>
    </xf>
    <xf fontId="3" applyFont="1" borderId="47" applyBorder="1"/>
    <xf fontId="6" applyFont="1" fillId="60" applyFill="1" borderId="48" applyBorder="1" applyAlignment="1">
      <alignment horizontal="center"/>
    </xf>
    <xf fontId="3" applyFont="1" fillId="61" applyFill="1" borderId="49" applyBorder="1" applyAlignment="1">
      <alignment horizontal="left"/>
    </xf>
    <xf fontId="13" applyFont="1" fillId="62" applyFill="1" applyAlignment="1">
      <alignment horizontal="center"/>
    </xf>
    <xf fontId="19" applyFont="1" fillId="63" applyFill="1" borderId="50" applyBorder="1" applyAlignment="1">
      <alignment horizontal="center"/>
    </xf>
    <xf fontId="19" applyFont="1" fillId="64" applyFill="1" borderId="51" applyBorder="1" applyAlignment="1">
      <alignment horizontal="center"/>
    </xf>
    <xf fontId="3" applyFont="1" borderId="52" applyBorder="1" applyAlignment="1">
      <alignment horizontal="center"/>
    </xf>
    <xf fontId="5" applyFont="1" fillId="65" applyFill="1" applyAlignment="1">
      <alignment horizontal="center"/>
    </xf>
    <xf fontId="3" applyFont="1" borderId="53" applyBorder="1"/>
    <xf fontId="3" applyFont="1" fillId="66" applyFill="1"/>
    <xf fontId="9" applyFont="1" fillId="67" applyFill="1" applyAlignment="1">
      <alignment horizontal="center"/>
    </xf>
    <xf fontId="10" applyFont="1" fillId="68" applyFill="1" borderId="54" applyBorder="1" applyAlignment="1">
      <alignment vertical="top" horizontal="right"/>
    </xf>
    <xf fontId="34" applyFont="1" fillId="69" applyFill="1" applyAlignment="1">
      <alignment horizontal="center"/>
    </xf>
    <xf fontId="30" applyFont="1" fillId="70" applyFill="1" applyAlignment="1">
      <alignment horizontal="center"/>
    </xf>
    <xf fontId="1" applyFont="1" fillId="71" applyFill="1"/>
    <xf fontId="35" applyFont="1" fillId="72" applyFill="1" applyAlignment="1">
      <alignment horizontal="center"/>
    </xf>
    <xf fontId="3" applyFont="1" fillId="73" applyFill="1" applyAlignment="1">
      <alignment vertical="center" horizontal="center"/>
    </xf>
    <xf fontId="15" applyFont="1" fillId="74" applyFill="1" applyAlignment="1">
      <alignment vertical="center" horizontal="center"/>
    </xf>
    <xf fontId="3" applyFont="1" applyAlignment="1">
      <alignment horizontal="left"/>
    </xf>
    <xf fontId="36" applyFont="1" fillId="75" applyFill="1"/>
    <xf fontId="37" applyFont="1" applyAlignment="1">
      <alignment horizontal="center"/>
    </xf>
    <xf fontId="3" applyFont="1" fillId="76" applyFill="1" applyAlignment="1">
      <alignment vertical="center"/>
    </xf>
    <xf fontId="9" applyFont="1" borderId="55" applyBorder="1" applyAlignment="1">
      <alignment vertical="center" horizontal="center" wrapText="1"/>
    </xf>
    <xf fontId="19" applyFont="1" fillId="77" applyFill="1" borderId="56" applyBorder="1" applyAlignment="1">
      <alignment horizontal="center"/>
    </xf>
    <xf fontId="3" applyFont="1" fillId="78" applyFill="1" borderId="57" applyBorder="1"/>
    <xf fontId="18" applyFont="1" fillId="79" applyFill="1"/>
    <xf fontId="19" applyFont="1" fillId="80" applyFill="1" applyAlignment="1">
      <alignment horizontal="center" wrapText="1"/>
    </xf>
    <xf fontId="3" applyFont="1" fillId="81" applyFill="1" applyAlignment="1">
      <alignment horizontal="center"/>
    </xf>
    <xf fontId="5" applyFont="1"/>
    <xf fontId="22" applyFont="1" applyAlignment="1">
      <alignment vertical="center" horizontal="center"/>
    </xf>
    <xf fontId="3" applyFont="1" fillId="82" applyFill="1" borderId="58" applyBorder="1" applyAlignment="1">
      <alignment horizontal="left"/>
    </xf>
    <xf fontId="3" applyFont="1" fillId="83" applyFill="1" borderId="59" applyBorder="1" applyAlignment="1">
      <alignment horizontal="center"/>
    </xf>
    <xf fontId="38" applyFont="1"/>
    <xf fontId="10" applyFont="1" fillId="84" applyFill="1" borderId="60" applyBorder="1" applyAlignment="1">
      <alignment vertical="top" horizontal="right"/>
    </xf>
    <xf fontId="1" applyFont="1" fillId="85" applyFill="1"/>
    <xf fontId="15" applyFont="1" fillId="86" applyFill="1" applyAlignment="1">
      <alignment vertical="center"/>
    </xf>
    <xf fontId="25" applyFont="1" fillId="87" applyFill="1" borderId="61" applyBorder="1" applyAlignment="1">
      <alignment horizontal="center"/>
    </xf>
    <xf fontId="1" applyFont="1" fillId="88" applyFill="1"/>
    <xf fontId="10" applyFont="1" fillId="89" applyFill="1" borderId="62" applyBorder="1" applyAlignment="1">
      <alignment vertical="top"/>
    </xf>
    <xf fontId="27" applyFont="1" fillId="90" applyFill="1"/>
    <xf fontId="34" applyFont="1" applyAlignment="1">
      <alignment horizontal="right"/>
    </xf>
    <xf fontId="5" applyFont="1" fillId="91" applyFill="1" applyAlignment="1">
      <alignment horizontal="center"/>
    </xf>
    <xf fontId="19" applyFont="1" fillId="92" applyFill="1" borderId="63" applyBorder="1" applyAlignment="1">
      <alignment horizontal="center"/>
    </xf>
    <xf fontId="39" applyFont="1" fillId="93" applyFill="1" applyAlignment="1">
      <alignment vertical="center" horizontal="center"/>
    </xf>
    <xf fontId="40" applyFont="1" fillId="94" applyFill="1"/>
    <xf fontId="16" applyFont="1"/>
    <xf fontId="41" applyFont="1" fillId="95" applyFill="1" applyAlignment="1">
      <alignment horizontal="center"/>
    </xf>
    <xf fontId="5" applyFont="1" fillId="96" applyFill="1"/>
    <xf fontId="19" applyFont="1" fillId="97" applyFill="1" applyAlignment="1">
      <alignment horizontal="left"/>
    </xf>
    <xf fontId="5" applyFont="1" fillId="98" applyFill="1" applyAlignment="1">
      <alignment horizontal="center"/>
    </xf>
    <xf fontId="11" applyFont="1" fillId="99" applyFill="1" borderId="64" applyBorder="1" applyAlignment="1">
      <alignment horizontal="center"/>
    </xf>
    <xf fontId="39" applyFont="1" fillId="100" applyFill="1" applyAlignment="1">
      <alignment vertical="center" horizontal="center" wrapText="1"/>
    </xf>
    <xf fontId="15" applyFont="1" fillId="101" applyFill="1" applyAlignment="1">
      <alignment horizontal="center"/>
    </xf>
    <xf fontId="31" applyFont="1"/>
    <xf fontId="5" applyFont="1" borderId="65" applyBorder="1" applyAlignment="1">
      <alignment horizontal="center"/>
    </xf>
    <xf fontId="3" applyFont="1" borderId="66" applyBorder="1" applyAlignment="1">
      <alignment horizontal="center"/>
    </xf>
    <xf fontId="3" applyFont="1" fillId="102" applyFill="1" borderId="67" applyBorder="1" applyAlignment="1">
      <alignment horizontal="center"/>
    </xf>
    <xf fontId="5" applyFont="1" fillId="103" applyFill="1"/>
    <xf fontId="3" applyFont="1" borderId="68" applyBorder="1"/>
    <xf fontId="3" applyFont="1" borderId="69" applyBorder="1"/>
    <xf fontId="3" applyFont="1" applyAlignment="1">
      <alignment horizontal="center"/>
    </xf>
    <xf fontId="5" applyFont="1" fillId="104" applyFill="1" applyAlignment="1">
      <alignment horizontal="center"/>
    </xf>
    <xf fontId="3" applyFont="1"/>
    <xf fontId="37" applyFont="1"/>
    <xf fontId="9" applyFont="1" borderId="70" applyBorder="1" applyAlignment="1">
      <alignment vertical="center" horizontal="center" wrapText="1"/>
    </xf>
    <xf fontId="41" applyFont="1" fillId="105" applyFill="1" applyAlignment="1">
      <alignment horizontal="left"/>
    </xf>
    <xf fontId="15" applyFont="1" fillId="106" applyFill="1" applyAlignment="1">
      <alignment horizontal="center"/>
    </xf>
    <xf fontId="42" applyFont="1" fillId="107" applyFill="1" applyAlignment="1">
      <alignment vertical="center" horizontal="center" wrapText="1"/>
    </xf>
    <xf fontId="43" applyFont="1" fillId="108" applyFill="1"/>
    <xf fontId="5" applyFont="1" fillId="109" applyFill="1"/>
    <xf fontId="3" applyFont="1" borderId="71" applyBorder="1"/>
    <xf fontId="3" applyFont="1" borderId="72" applyBorder="1" applyAlignment="1">
      <alignment horizontal="center"/>
    </xf>
    <xf fontId="3" applyFont="1" fillId="110" applyFill="1" borderId="73" applyBorder="1" applyAlignment="1">
      <alignment vertical="center" horizontal="center"/>
    </xf>
    <xf fontId="7" applyFont="1" fillId="111" applyFill="1" borderId="74" applyBorder="1" applyAlignment="1">
      <alignment vertical="top"/>
    </xf>
    <xf fontId="3" applyFont="1" borderId="75" applyBorder="1" applyAlignment="1">
      <alignment horizontal="center"/>
    </xf>
    <xf fontId="1" applyFont="1"/>
    <xf fontId="9" applyFont="1" borderId="76" applyBorder="1" applyAlignment="1">
      <alignment vertical="center" horizontal="center" wrapText="1"/>
    </xf>
    <xf fontId="30" applyFont="1" fillId="112" applyFill="1"/>
    <xf fontId="6" applyFont="1" fillId="113" applyFill="1" borderId="77" applyBorder="1"/>
    <xf fontId="40" applyFont="1" fillId="114" applyFill="1" applyAlignment="1">
      <alignment horizontal="center"/>
    </xf>
    <xf fontId="3" applyFont="1" borderId="78" applyBorder="1"/>
    <xf fontId="9" applyFont="1" borderId="79" applyBorder="1" applyAlignment="1">
      <alignment vertical="center" horizontal="center" wrapText="1"/>
    </xf>
    <xf fontId="10" applyFont="1" fillId="115" applyFill="1" borderId="80" applyBorder="1" applyAlignment="1">
      <alignment vertical="top"/>
    </xf>
    <xf fontId="19" applyFont="1" fillId="116" applyFill="1" applyAlignment="1">
      <alignment vertical="center" horizontal="center" wrapText="1"/>
    </xf>
    <xf fontId="10" applyFont="1" fillId="117" applyFill="1" borderId="81" applyBorder="1" applyAlignment="1">
      <alignment vertical="top" horizontal="right"/>
    </xf>
    <xf fontId="9" applyFont="1" borderId="82" applyBorder="1" applyAlignment="1">
      <alignment vertical="center" horizontal="center" wrapText="1"/>
    </xf>
    <xf fontId="7" applyFont="1" fillId="118" applyFill="1" borderId="83" applyBorder="1" applyAlignment="1">
      <alignment vertical="top"/>
    </xf>
    <xf fontId="23" applyFont="1" applyAlignment="1">
      <alignment horizontal="center"/>
    </xf>
    <xf fontId="3" applyFont="1" fillId="119" applyFill="1" borderId="84" applyBorder="1"/>
    <xf fontId="9" applyFont="1" borderId="85" applyBorder="1" applyAlignment="1">
      <alignment vertical="center" horizontal="center" wrapText="1"/>
    </xf>
  </cellStyleXfs>
  <cellXfs count="180">
    <xf numFmtId="0" fontId="0" fillId="0" borderId="0" xfId="0"/>
    <xf xfId="76" quotePrefix="0" pivotButton="0" fontId="28" applyFont="1"/>
    <xf xfId="56" quotePrefix="0" pivotButton="0" fontId="6" applyFont="1"/>
    <xf xfId="36" quotePrefix="0" pivotButton="0" fontId="21" applyFont="1"/>
    <xf xfId="87" quotePrefix="0" pivotButton="0" fontId="32" applyFont="1" applyAlignment="1">
      <alignment vertical="center"/>
    </xf>
    <xf xfId="45" quotePrefix="0" pivotButton="0" fontId="24" applyFont="1"/>
    <xf xfId="152" quotePrefix="0" pivotButton="0" fontId="3" applyFont="1"/>
    <xf xfId="33" quotePrefix="0" pivotButton="0" fontId="20" applyFont="1" applyAlignment="1">
      <alignment vertical="center"/>
    </xf>
    <xf xfId="15" quotePrefix="0" pivotButton="0" fontId="12" applyFont="1" applyAlignment="1">
      <alignment vertical="center"/>
    </xf>
    <xf xfId="150" quotePrefix="0" pivotButton="0" fontId="3" applyFont="1" applyAlignment="1">
      <alignment horizontal="center"/>
    </xf>
    <xf xfId="55" quotePrefix="0" pivotButton="0" fontId="9" applyFont="1" borderId="30" applyBorder="1" applyAlignment="1">
      <alignment vertical="center" horizontal="center" wrapText="1"/>
    </xf>
    <xf xfId="179" quotePrefix="0" pivotButton="0" fontId="9" applyFont="1" borderId="85" applyBorder="1" applyAlignment="1">
      <alignment vertical="center" horizontal="center" wrapText="1"/>
    </xf>
    <xf xfId="79" quotePrefix="0" pivotButton="0" fontId="9" applyFont="1" borderId="41" applyBorder="1" applyAlignment="1">
      <alignment vertical="center" horizontal="center" wrapText="1"/>
    </xf>
    <xf xfId="12" quotePrefix="0" pivotButton="0" fontId="9" applyFont="1" applyAlignment="1">
      <alignment vertical="center" horizontal="center" wrapText="1"/>
    </xf>
    <xf xfId="57" quotePrefix="0" pivotButton="0" fontId="9" applyFont="1" applyAlignment="1">
      <alignment horizontal="center"/>
    </xf>
    <xf xfId="166" quotePrefix="0" pivotButton="0" fontId="9" applyFont="1" borderId="76" applyBorder="1" applyAlignment="1">
      <alignment vertical="center" horizontal="center" wrapText="1"/>
    </xf>
    <xf xfId="154" quotePrefix="0" pivotButton="0" fontId="9" applyFont="1" borderId="70" applyBorder="1" applyAlignment="1">
      <alignment vertical="center" horizontal="center" wrapText="1"/>
    </xf>
    <xf xfId="175" quotePrefix="0" pivotButton="0" fontId="9" applyFont="1" borderId="82" applyBorder="1" applyAlignment="1">
      <alignment vertical="center" horizontal="center" wrapText="1"/>
    </xf>
    <xf xfId="112" quotePrefix="0" pivotButton="0" fontId="9" applyFont="1" borderId="55" applyBorder="1" applyAlignment="1">
      <alignment vertical="center" horizontal="center" wrapText="1"/>
    </xf>
    <xf xfId="171" quotePrefix="0" pivotButton="0" fontId="9" applyFont="1" borderId="79" applyBorder="1" applyAlignment="1">
      <alignment vertical="center" horizontal="center" wrapText="1"/>
    </xf>
    <xf xfId="20" quotePrefix="0" pivotButton="0" fontId="9" applyFont="1" borderId="8" applyBorder="1" applyAlignment="1">
      <alignment vertical="center" horizontal="center" wrapText="1"/>
    </xf>
    <xf xfId="170" quotePrefix="0" pivotButton="0" fontId="3" applyFont="1" borderId="78" applyBorder="1"/>
    <xf xfId="98" quotePrefix="0" pivotButton="0" fontId="3" applyFont="1" borderId="53" applyBorder="1"/>
    <xf xfId="160" quotePrefix="0" pivotButton="0" fontId="3" applyFont="1" borderId="71" applyBorder="1"/>
    <xf xfId="41" quotePrefix="0" pivotButton="0" fontId="3" applyFont="1" borderId="22" applyBorder="1" applyAlignment="1">
      <alignment horizontal="center"/>
    </xf>
    <xf xfId="22" quotePrefix="0" pivotButton="0" fontId="16" applyFont="1" borderId="10" applyBorder="1" applyAlignment="1">
      <alignment horizontal="center"/>
    </xf>
    <xf xfId="28" quotePrefix="0" pivotButton="0" fontId="3" applyFont="1" borderId="15" applyBorder="1" applyAlignment="1">
      <alignment horizontal="center"/>
    </xf>
    <xf xfId="161" quotePrefix="0" pivotButton="0" fontId="3" applyFont="1" borderId="72" applyBorder="1" applyAlignment="1">
      <alignment horizontal="center"/>
    </xf>
    <xf xfId="145" quotePrefix="0" pivotButton="0" fontId="3" applyFont="1" borderId="66" applyBorder="1" applyAlignment="1">
      <alignment horizontal="center"/>
    </xf>
    <xf xfId="148" quotePrefix="0" pivotButton="0" fontId="3" applyFont="1" borderId="68" applyBorder="1"/>
    <xf xfId="60" quotePrefix="0" pivotButton="0" fontId="3" applyFont="1" borderId="31" applyBorder="1"/>
    <xf xfId="90" quotePrefix="0" pivotButton="0" fontId="3" applyFont="1" borderId="47" applyBorder="1"/>
    <xf xfId="3" quotePrefix="0" pivotButton="0" fontId="3" applyFont="1" borderId="1" applyBorder="1"/>
    <xf xfId="149" quotePrefix="0" pivotButton="0" fontId="3" applyFont="1" borderId="69" applyBorder="1"/>
    <xf xfId="54" quotePrefix="0" pivotButton="0" fontId="3" applyFont="1" borderId="29" applyBorder="1"/>
    <xf xfId="96" quotePrefix="0" pivotButton="0" fontId="3" applyFont="1" borderId="52" applyBorder="1" applyAlignment="1">
      <alignment horizontal="center"/>
    </xf>
    <xf xfId="9" quotePrefix="0" pivotButton="0" fontId="3" applyFont="1" borderId="5" applyBorder="1" applyAlignment="1">
      <alignment horizontal="center"/>
    </xf>
    <xf xfId="164" quotePrefix="0" pivotButton="0" fontId="3" applyFont="1" borderId="75" applyBorder="1" applyAlignment="1">
      <alignment horizontal="center"/>
    </xf>
    <xf xfId="42" quotePrefix="0" pivotButton="0" fontId="3" applyFont="1" borderId="23" applyBorder="1"/>
    <xf xfId="122" quotePrefix="0" pivotButton="0" fontId="38" applyFont="1"/>
    <xf xfId="126" quotePrefix="0" pivotButton="0" fontId="25" applyFont="1" fillId="87" applyFill="1" borderId="61" applyBorder="1" applyAlignment="1">
      <alignment horizontal="center"/>
    </xf>
    <xf xfId="58" quotePrefix="0" pivotButton="0" fontId="25" applyFont="1" fillId="36" applyFill="1" applyAlignment="1">
      <alignment horizontal="center"/>
    </xf>
    <xf xfId="140" quotePrefix="0" pivotButton="0" fontId="11" applyFont="1" fillId="99" applyFill="1" borderId="64" applyBorder="1" applyAlignment="1">
      <alignment horizontal="center"/>
    </xf>
    <xf xfId="14" quotePrefix="0" pivotButton="0" fontId="11" applyFont="1" fillId="10" applyFill="1" applyAlignment="1">
      <alignment horizontal="center"/>
    </xf>
    <xf xfId="117" quotePrefix="0" pivotButton="0" fontId="3" applyFont="1" fillId="81" applyFill="1" applyAlignment="1">
      <alignment horizontal="center"/>
    </xf>
    <xf xfId="142" quotePrefix="0" pivotButton="0" fontId="15" applyFont="1" fillId="101" applyFill="1" applyAlignment="1">
      <alignment horizontal="center"/>
    </xf>
    <xf xfId="19" quotePrefix="0" pivotButton="0" fontId="15" applyFont="1" fillId="13" applyFill="1" applyAlignment="1">
      <alignment vertical="center" horizontal="center"/>
    </xf>
    <xf xfId="107" quotePrefix="0" pivotButton="0" fontId="15" applyFont="1" fillId="74" applyFill="1" applyAlignment="1">
      <alignment vertical="center" horizontal="center"/>
    </xf>
    <xf xfId="75" quotePrefix="0" pivotButton="0" fontId="15" applyFont="1" fillId="50" applyFill="1"/>
    <xf xfId="21" quotePrefix="0" pivotButton="0" fontId="3" applyFont="1" fillId="14" applyFill="1" borderId="9" applyBorder="1" applyAlignment="1">
      <alignment horizontal="center"/>
    </xf>
    <xf xfId="88" quotePrefix="0" pivotButton="0" fontId="3" applyFont="1" fillId="59" applyFill="1" borderId="46" applyBorder="1" applyAlignment="1">
      <alignment vertical="center" horizontal="center"/>
    </xf>
    <xf xfId="106" quotePrefix="0" pivotButton="0" fontId="3" applyFont="1" fillId="73" applyFill="1" applyAlignment="1">
      <alignment vertical="center" horizontal="center"/>
    </xf>
    <xf xfId="99" quotePrefix="0" pivotButton="0" fontId="3" applyFont="1" fillId="66" applyFill="1"/>
    <xf xfId="100" quotePrefix="0" pivotButton="0" fontId="9" applyFont="1" fillId="67" applyFill="1" applyAlignment="1">
      <alignment horizontal="center"/>
    </xf>
    <xf xfId="39" quotePrefix="0" pivotButton="0" fontId="9" applyFont="1" fillId="26" applyFill="1" applyAlignment="1">
      <alignment vertical="center" horizontal="center"/>
    </xf>
    <xf xfId="116" quotePrefix="0" pivotButton="0" fontId="19" applyFont="1" fillId="80" applyFill="1" applyAlignment="1">
      <alignment horizontal="center" wrapText="1"/>
    </xf>
    <xf xfId="173" quotePrefix="0" pivotButton="0" fontId="19" applyFont="1" fillId="116" applyFill="1" applyAlignment="1">
      <alignment vertical="center" horizontal="center" wrapText="1"/>
    </xf>
    <xf xfId="44" quotePrefix="0" pivotButton="0" fontId="9" applyFont="1" fillId="28" applyFill="1" applyAlignment="1">
      <alignment horizontal="right"/>
    </xf>
    <xf xfId="121" quotePrefix="0" pivotButton="0" fontId="3" applyFont="1" fillId="83" applyFill="1" borderId="59" applyBorder="1" applyAlignment="1">
      <alignment horizontal="center"/>
    </xf>
    <xf xfId="162" quotePrefix="0" pivotButton="0" fontId="3" applyFont="1" fillId="110" applyFill="1" borderId="73" applyBorder="1" applyAlignment="1">
      <alignment vertical="center" horizontal="center"/>
    </xf>
    <xf xfId="153" quotePrefix="0" pivotButton="0" fontId="37" applyFont="1"/>
    <xf xfId="110" quotePrefix="0" pivotButton="0" fontId="37" applyFont="1" applyAlignment="1">
      <alignment horizontal="center"/>
    </xf>
    <xf xfId="18" quotePrefix="0" pivotButton="0" fontId="14" applyFont="1" applyAlignment="1">
      <alignment horizontal="center"/>
    </xf>
    <xf xfId="89" quotePrefix="0" pivotButton="0" fontId="33" applyFont="1" applyAlignment="1">
      <alignment horizontal="center"/>
    </xf>
    <xf xfId="118" quotePrefix="0" pivotButton="0" fontId="5" applyFont="1"/>
    <xf xfId="10" quotePrefix="0" pivotButton="0" fontId="5" applyFont="1" applyAlignment="1">
      <alignment horizontal="center"/>
    </xf>
    <xf xfId="177" quotePrefix="0" pivotButton="0" fontId="23" applyFont="1" applyAlignment="1">
      <alignment horizontal="center"/>
    </xf>
    <xf xfId="83" quotePrefix="0" pivotButton="0" fontId="31" applyFont="1" fillId="55" applyFill="1"/>
    <xf xfId="80" quotePrefix="0" pivotButton="0" fontId="5" applyFont="1" borderId="42" applyBorder="1" applyAlignment="1">
      <alignment horizontal="center"/>
    </xf>
    <xf xfId="135" quotePrefix="0" pivotButton="0" fontId="16" applyFont="1"/>
    <xf xfId="165" quotePrefix="0" pivotButton="0" fontId="1" applyFont="1"/>
    <xf xfId="46" quotePrefix="0" pivotButton="0" fontId="5" applyFont="1" fillId="29" applyFill="1" borderId="24" applyBorder="1" applyAlignment="1">
      <alignment horizontal="center"/>
    </xf>
    <xf xfId="78" quotePrefix="0" pivotButton="0" fontId="5" applyFont="1" fillId="52" applyFill="1" applyAlignment="1">
      <alignment horizontal="center"/>
    </xf>
    <xf xfId="6" quotePrefix="0" pivotButton="0" fontId="5" applyFont="1" fillId="5" applyFill="1" applyAlignment="1">
      <alignment horizontal="center"/>
    </xf>
    <xf xfId="147" quotePrefix="0" pivotButton="0" fontId="5" applyFont="1" fillId="103" applyFill="1"/>
    <xf xfId="151" quotePrefix="0" pivotButton="0" fontId="5" applyFont="1" fillId="104" applyFill="1" applyAlignment="1">
      <alignment horizontal="center"/>
    </xf>
    <xf xfId="137" quotePrefix="0" pivotButton="0" fontId="5" applyFont="1" fillId="96" applyFill="1"/>
    <xf xfId="131" quotePrefix="0" pivotButton="0" fontId="5" applyFont="1" fillId="91" applyFill="1" applyAlignment="1">
      <alignment horizontal="center"/>
    </xf>
    <xf xfId="108" quotePrefix="0" pivotButton="0" fontId="3" applyFont="1" applyAlignment="1">
      <alignment horizontal="left"/>
    </xf>
    <xf xfId="97" quotePrefix="0" pivotButton="0" fontId="5" applyFont="1" fillId="65" applyFill="1" applyAlignment="1">
      <alignment horizontal="center"/>
    </xf>
    <xf xfId="143" quotePrefix="0" pivotButton="0" fontId="31" applyFont="1"/>
    <xf xfId="40" quotePrefix="0" pivotButton="0" fontId="23" applyFont="1" fillId="27" applyFill="1" applyAlignment="1">
      <alignment horizontal="center"/>
    </xf>
    <xf xfId="52" quotePrefix="0" pivotButton="0" fontId="1" applyFont="1" fillId="34" applyFill="1"/>
    <xf xfId="1" quotePrefix="0" pivotButton="0" fontId="1" applyFont="1" fillId="2" applyFill="1"/>
    <xf xfId="144" quotePrefix="0" pivotButton="0" fontId="5" applyFont="1" borderId="65" applyBorder="1" applyAlignment="1">
      <alignment horizontal="center"/>
    </xf>
    <xf xfId="124" quotePrefix="0" pivotButton="0" fontId="1" applyFont="1" fillId="85" applyFill="1"/>
    <xf xfId="67" quotePrefix="0" pivotButton="0" fontId="1" applyFont="1" fillId="43" applyFill="1"/>
    <xf xfId="139" quotePrefix="0" pivotButton="0" fontId="5" applyFont="1" fillId="98" applyFill="1" applyAlignment="1">
      <alignment horizontal="center"/>
    </xf>
    <xf xfId="25" quotePrefix="0" pivotButton="0" fontId="5" applyFont="1" fillId="17" applyFill="1" borderId="12" applyBorder="1" applyAlignment="1">
      <alignment horizontal="center"/>
    </xf>
    <xf xfId="127" quotePrefix="0" pivotButton="0" fontId="1" applyFont="1" fillId="88" applyFill="1"/>
    <xf xfId="4" quotePrefix="0" pivotButton="0" fontId="1" applyFont="1" fillId="4" applyFill="1"/>
    <xf xfId="104" quotePrefix="0" pivotButton="0" fontId="1" applyFont="1" fillId="71" applyFill="1"/>
    <xf xfId="130" quotePrefix="0" pivotButton="0" fontId="34" applyFont="1" applyAlignment="1">
      <alignment horizontal="right"/>
    </xf>
    <xf xfId="111" quotePrefix="0" pivotButton="0" fontId="3" applyFont="1" fillId="76" applyFill="1" applyAlignment="1">
      <alignment vertical="center"/>
    </xf>
    <xf xfId="32" quotePrefix="0" pivotButton="0" fontId="18" applyFont="1" fillId="22" applyFill="1" applyAlignment="1">
      <alignment vertical="center" horizontal="center"/>
    </xf>
    <xf xfId="102" quotePrefix="0" pivotButton="0" fontId="34" applyFont="1" fillId="69" applyFill="1" applyAlignment="1">
      <alignment horizontal="center"/>
    </xf>
    <xf xfId="134" quotePrefix="0" pivotButton="0" fontId="40" applyFont="1" fillId="94" applyFill="1"/>
    <xf xfId="129" quotePrefix="0" pivotButton="0" fontId="27" applyFont="1" fillId="90" applyFill="1"/>
    <xf xfId="62" quotePrefix="0" pivotButton="0" fontId="3" applyFont="1" fillId="38" applyFill="1" borderId="33" applyBorder="1"/>
    <xf xfId="77" quotePrefix="0" pivotButton="0" fontId="29" applyFont="1" fillId="51" applyFill="1"/>
    <xf xfId="158" quotePrefix="0" pivotButton="0" fontId="43" applyFont="1" fillId="108" applyFill="1"/>
    <xf xfId="178" quotePrefix="0" pivotButton="0" fontId="3" applyFont="1" fillId="119" applyFill="1" borderId="84" applyBorder="1"/>
    <xf xfId="2" quotePrefix="0" pivotButton="0" fontId="2" applyFont="1" fillId="3" applyFill="1"/>
    <xf xfId="141" quotePrefix="0" pivotButton="0" fontId="39" applyFont="1" fillId="100" applyFill="1" applyAlignment="1">
      <alignment vertical="center" horizontal="center" wrapText="1"/>
    </xf>
    <xf xfId="133" quotePrefix="0" pivotButton="0" fontId="39" applyFont="1" fillId="93" applyFill="1" applyAlignment="1">
      <alignment vertical="center" horizontal="center"/>
    </xf>
    <xf xfId="157" quotePrefix="0" pivotButton="0" fontId="42" applyFont="1" fillId="107" applyFill="1" applyAlignment="1">
      <alignment vertical="center" horizontal="center" wrapText="1"/>
    </xf>
    <xf xfId="86" quotePrefix="0" pivotButton="0" fontId="13" applyFont="1" fillId="58" applyFill="1" applyAlignment="1">
      <alignment vertical="center" horizontal="center" wrapText="1"/>
    </xf>
    <xf xfId="167" quotePrefix="0" pivotButton="0" fontId="30" applyFont="1" fillId="112" applyFill="1"/>
    <xf xfId="109" quotePrefix="0" pivotButton="0" fontId="36" applyFont="1" fillId="75" applyFill="1"/>
    <xf xfId="103" quotePrefix="0" pivotButton="0" fontId="30" applyFont="1" fillId="70" applyFill="1" applyAlignment="1">
      <alignment horizontal="center"/>
    </xf>
    <xf xfId="17" quotePrefix="0" pivotButton="0" fontId="13" applyFont="1" fillId="12" applyFill="1" applyAlignment="1">
      <alignment vertical="center" horizontal="center"/>
    </xf>
    <xf xfId="82" quotePrefix="0" pivotButton="0" fontId="30" applyFont="1" fillId="54" applyFill="1" applyAlignment="1">
      <alignment vertical="center" horizontal="center"/>
    </xf>
    <xf xfId="11" quotePrefix="0" pivotButton="0" fontId="8" applyFont="1" fillId="8" applyFill="1"/>
    <xf xfId="93" quotePrefix="0" pivotButton="0" fontId="13" applyFont="1" fillId="62" applyFill="1" applyAlignment="1">
      <alignment horizontal="center"/>
    </xf>
    <xf xfId="159" quotePrefix="0" pivotButton="0" fontId="5" applyFont="1" fillId="109" applyFill="1"/>
    <xf xfId="115" quotePrefix="0" pivotButton="0" fontId="18" applyFont="1" fillId="79" applyFill="1"/>
    <xf xfId="49" quotePrefix="0" pivotButton="0" fontId="18" applyFont="1" fillId="32" applyFill="1" applyAlignment="1">
      <alignment horizontal="center"/>
    </xf>
    <xf xfId="23" quotePrefix="0" pivotButton="0" fontId="17" applyFont="1" fillId="15" applyFill="1"/>
    <xf xfId="125" quotePrefix="0" pivotButton="0" fontId="15" applyFont="1" fillId="86" applyFill="1" applyAlignment="1">
      <alignment vertical="center"/>
    </xf>
    <xf xfId="156" quotePrefix="0" pivotButton="0" fontId="15" applyFont="1" fillId="106" applyFill="1" applyAlignment="1">
      <alignment horizontal="center"/>
    </xf>
    <xf xfId="169" quotePrefix="0" pivotButton="0" fontId="40" applyFont="1" fillId="114" applyFill="1" applyAlignment="1">
      <alignment horizontal="center"/>
    </xf>
    <xf xfId="74" quotePrefix="0" pivotButton="0" fontId="27" applyFont="1" fillId="49" applyFill="1" applyAlignment="1">
      <alignment horizontal="center"/>
    </xf>
    <xf xfId="51" quotePrefix="0" pivotButton="0" fontId="6" applyFont="1" applyAlignment="1">
      <alignment horizontal="center"/>
    </xf>
    <xf xfId="119" quotePrefix="0" pivotButton="0" fontId="22" applyFont="1" applyAlignment="1">
      <alignment vertical="center" horizontal="center"/>
    </xf>
    <xf xfId="43" quotePrefix="0" pivotButton="0" fontId="4" applyFont="1" applyAlignment="1">
      <alignment vertical="center" horizontal="center"/>
    </xf>
    <xf xfId="29" quotePrefix="0" pivotButton="0" fontId="18" applyFont="1"/>
    <xf xfId="37" quotePrefix="0" pivotButton="0" fontId="22" applyFont="1" borderId="20" applyBorder="1" applyAlignment="1">
      <alignment vertical="center" horizontal="center"/>
    </xf>
    <xf xfId="5" quotePrefix="0" pivotButton="0" fontId="4" applyFont="1" borderId="2" applyBorder="1" applyAlignment="1">
      <alignment vertical="center" horizontal="center"/>
    </xf>
    <xf xfId="63" quotePrefix="0" pivotButton="0" fontId="7" applyFont="1" fillId="39" applyFill="1" borderId="34" applyBorder="1" applyAlignment="1">
      <alignment vertical="top" horizontal="center"/>
    </xf>
    <xf xfId="8" quotePrefix="0" pivotButton="0" fontId="7" applyFont="1" fillId="7" applyFill="1" borderId="4" applyBorder="1" applyAlignment="1">
      <alignment vertical="top"/>
    </xf>
    <xf xfId="84" quotePrefix="0" pivotButton="0" fontId="7" applyFont="1" fillId="56" applyFill="1" borderId="44" applyBorder="1" applyAlignment="1">
      <alignment vertical="top" horizontal="right"/>
    </xf>
    <xf xfId="128" quotePrefix="0" pivotButton="0" fontId="10" applyFont="1" fillId="89" applyFill="1" borderId="62" applyBorder="1" applyAlignment="1">
      <alignment vertical="top"/>
    </xf>
    <xf xfId="174" quotePrefix="0" pivotButton="0" fontId="10" applyFont="1" fillId="117" applyFill="1" borderId="81" applyBorder="1" applyAlignment="1">
      <alignment vertical="top" horizontal="right"/>
    </xf>
    <xf xfId="27" quotePrefix="0" pivotButton="0" fontId="10" applyFont="1" fillId="19" applyFill="1" borderId="14" applyBorder="1" applyAlignment="1">
      <alignment vertical="top"/>
    </xf>
    <xf xfId="13" quotePrefix="0" pivotButton="0" fontId="10" applyFont="1" fillId="9" applyFill="1" borderId="6" applyBorder="1" applyAlignment="1">
      <alignment vertical="top" horizontal="right"/>
    </xf>
    <xf xfId="163" quotePrefix="0" pivotButton="0" fontId="7" applyFont="1" fillId="111" applyFill="1" borderId="74" applyBorder="1" applyAlignment="1">
      <alignment vertical="top"/>
    </xf>
    <xf xfId="81" quotePrefix="0" pivotButton="0" fontId="7" applyFont="1" fillId="53" applyFill="1" borderId="43" applyBorder="1" applyAlignment="1">
      <alignment vertical="top" horizontal="right"/>
    </xf>
    <xf xfId="172" quotePrefix="0" pivotButton="0" fontId="10" applyFont="1" fillId="115" applyFill="1" borderId="80" applyBorder="1" applyAlignment="1">
      <alignment vertical="top"/>
    </xf>
    <xf xfId="101" quotePrefix="0" pivotButton="0" fontId="10" applyFont="1" fillId="68" applyFill="1" borderId="54" applyBorder="1" applyAlignment="1">
      <alignment vertical="top" horizontal="right"/>
    </xf>
    <xf xfId="176" quotePrefix="0" pivotButton="0" fontId="7" applyFont="1" fillId="118" applyFill="1" borderId="83" applyBorder="1" applyAlignment="1">
      <alignment vertical="top"/>
    </xf>
    <xf xfId="26" quotePrefix="0" pivotButton="0" fontId="10" applyFont="1" fillId="18" applyFill="1" borderId="13" applyBorder="1" applyAlignment="1">
      <alignment vertical="top" horizontal="right"/>
    </xf>
    <xf xfId="71" quotePrefix="0" pivotButton="0" fontId="10" applyFont="1" fillId="47" applyFill="1" borderId="39" applyBorder="1" applyAlignment="1">
      <alignment vertical="top"/>
    </xf>
    <xf xfId="123" quotePrefix="0" pivotButton="0" fontId="10" applyFont="1" fillId="84" applyFill="1" borderId="60" applyBorder="1" applyAlignment="1">
      <alignment vertical="top" horizontal="right"/>
    </xf>
    <xf xfId="105" quotePrefix="0" pivotButton="0" fontId="35" applyFont="1" fillId="72" applyFill="1" applyAlignment="1">
      <alignment horizontal="center"/>
    </xf>
    <xf xfId="72" quotePrefix="0" pivotButton="0" fontId="26" applyFont="1" fillId="48" applyFill="1" borderId="40" applyBorder="1" applyAlignment="1">
      <alignment horizontal="center"/>
    </xf>
    <xf xfId="70" quotePrefix="0" pivotButton="0" fontId="3" applyFont="1" fillId="46" applyFill="1" borderId="38" applyBorder="1" applyAlignment="1">
      <alignment horizontal="center"/>
    </xf>
    <xf xfId="53" quotePrefix="0" pivotButton="0" fontId="3" applyFont="1" fillId="35" applyFill="1" borderId="28" applyBorder="1" applyAlignment="1">
      <alignment horizontal="center"/>
    </xf>
    <xf xfId="146" quotePrefix="0" pivotButton="0" fontId="3" applyFont="1" fillId="102" applyFill="1" borderId="67" applyBorder="1" applyAlignment="1">
      <alignment horizontal="center"/>
    </xf>
    <xf xfId="47" quotePrefix="0" pivotButton="0" fontId="3" applyFont="1" fillId="30" applyFill="1" borderId="25" applyBorder="1" applyAlignment="1">
      <alignment vertical="center"/>
    </xf>
    <xf xfId="114" quotePrefix="0" pivotButton="0" fontId="3" applyFont="1" fillId="78" applyFill="1" borderId="57" applyBorder="1"/>
    <xf xfId="35" quotePrefix="0" pivotButton="0" fontId="3" applyFont="1" fillId="24" applyFill="1" borderId="19" applyBorder="1"/>
    <xf xfId="120" quotePrefix="0" pivotButton="0" fontId="3" applyFont="1" fillId="82" applyFill="1" borderId="58" applyBorder="1" applyAlignment="1">
      <alignment horizontal="left"/>
    </xf>
    <xf xfId="16" quotePrefix="0" pivotButton="0" fontId="3" applyFont="1" fillId="11" applyFill="1" borderId="7" applyBorder="1" applyAlignment="1">
      <alignment horizontal="left"/>
    </xf>
    <xf xfId="92" quotePrefix="0" pivotButton="0" fontId="3" applyFont="1" fillId="61" applyFill="1" borderId="49" applyBorder="1" applyAlignment="1">
      <alignment horizontal="left"/>
    </xf>
    <xf xfId="59" quotePrefix="0" pivotButton="0" fontId="3" applyFont="1" fillId="37" applyFill="1" applyAlignment="1">
      <alignment horizontal="left"/>
    </xf>
    <xf xfId="85" quotePrefix="0" pivotButton="0" fontId="3" applyFont="1" fillId="57" applyFill="1" borderId="45" applyBorder="1" applyAlignment="1">
      <alignment horizontal="center"/>
    </xf>
    <xf xfId="38" quotePrefix="0" pivotButton="0" fontId="3" applyFont="1" fillId="25" applyFill="1" borderId="21" applyBorder="1"/>
    <xf xfId="24" quotePrefix="0" pivotButton="0" fontId="3" applyFont="1" fillId="16" applyFill="1" borderId="11" applyBorder="1"/>
    <xf xfId="68" quotePrefix="0" pivotButton="0" fontId="3" applyFont="1" fillId="44" applyFill="1" borderId="36" applyBorder="1" applyAlignment="1">
      <alignment horizontal="left"/>
    </xf>
    <xf xfId="138" quotePrefix="0" pivotButton="0" fontId="19" applyFont="1" fillId="97" applyFill="1" applyAlignment="1">
      <alignment horizontal="left"/>
    </xf>
    <xf xfId="66" quotePrefix="0" pivotButton="0" fontId="19" applyFont="1" fillId="42" applyFill="1" applyAlignment="1">
      <alignment horizontal="center"/>
    </xf>
    <xf xfId="64" quotePrefix="0" pivotButton="0" fontId="19" applyFont="1" fillId="40" applyFill="1" borderId="35" applyBorder="1" applyAlignment="1">
      <alignment horizontal="center"/>
    </xf>
    <xf xfId="34" quotePrefix="0" pivotButton="0" fontId="19" applyFont="1" fillId="23" applyFill="1" borderId="18" applyBorder="1" applyAlignment="1">
      <alignment horizontal="center"/>
    </xf>
    <xf xfId="94" quotePrefix="0" pivotButton="0" fontId="19" applyFont="1" fillId="63" applyFill="1" borderId="50" applyBorder="1" applyAlignment="1">
      <alignment horizontal="center"/>
    </xf>
    <xf xfId="95" quotePrefix="0" pivotButton="0" fontId="19" applyFont="1" fillId="64" applyFill="1" borderId="51" applyBorder="1" applyAlignment="1">
      <alignment horizontal="center"/>
    </xf>
    <xf xfId="50" quotePrefix="0" pivotButton="0" fontId="19" applyFont="1" fillId="33" applyFill="1" borderId="27" applyBorder="1" applyAlignment="1">
      <alignment horizontal="left"/>
    </xf>
    <xf xfId="30" quotePrefix="0" pivotButton="0" fontId="19" applyFont="1" fillId="20" applyFill="1" borderId="16" applyBorder="1" applyAlignment="1">
      <alignment horizontal="center"/>
    </xf>
    <xf xfId="136" quotePrefix="0" pivotButton="0" fontId="41" applyFont="1" fillId="95" applyFill="1" applyAlignment="1">
      <alignment horizontal="center"/>
    </xf>
    <xf xfId="155" quotePrefix="0" pivotButton="0" fontId="41" applyFont="1" fillId="105" applyFill="1" applyAlignment="1">
      <alignment horizontal="left"/>
    </xf>
    <xf xfId="65" quotePrefix="0" pivotButton="0" fontId="19" applyFont="1" fillId="41" applyFill="1" applyAlignment="1">
      <alignment horizontal="right"/>
    </xf>
    <xf xfId="132" quotePrefix="0" pivotButton="0" fontId="19" applyFont="1" fillId="92" applyFill="1" borderId="63" applyBorder="1" applyAlignment="1">
      <alignment horizontal="center"/>
    </xf>
    <xf xfId="31" quotePrefix="0" pivotButton="0" fontId="6" applyFont="1" fillId="21" applyFill="1" borderId="17" applyBorder="1" applyAlignment="1">
      <alignment horizontal="center"/>
    </xf>
    <xf xfId="7" quotePrefix="0" pivotButton="0" fontId="6" applyFont="1" fillId="6" applyFill="1" borderId="3" applyBorder="1"/>
    <xf xfId="91" quotePrefix="0" pivotButton="0" fontId="6" applyFont="1" fillId="60" applyFill="1" borderId="48" applyBorder="1" applyAlignment="1">
      <alignment horizontal="center"/>
    </xf>
    <xf xfId="168" quotePrefix="0" pivotButton="0" fontId="6" applyFont="1" fillId="113" applyFill="1" borderId="77" applyBorder="1"/>
    <xf xfId="48" quotePrefix="0" pivotButton="0" fontId="19" applyFont="1" fillId="31" applyFill="1" borderId="26" applyBorder="1" applyAlignment="1">
      <alignment horizontal="center"/>
    </xf>
    <xf xfId="69" quotePrefix="0" pivotButton="0" fontId="19" applyFont="1" fillId="45" applyFill="1" borderId="37" applyBorder="1" applyAlignment="1">
      <alignment horizontal="center"/>
    </xf>
    <xf xfId="113" quotePrefix="0" pivotButton="0" fontId="19" applyFont="1" fillId="77" applyFill="1" borderId="56" applyBorder="1" applyAlignment="1">
      <alignment horizontal="center"/>
    </xf>
    <xf xfId="61" quotePrefix="0" pivotButton="0" fontId="3" applyFont="1" borderId="32" applyBorder="1"/>
    <xf xfId="73" quotePrefix="0" pivotButton="0" fontId="3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theme" Target="theme/theme1.xml"/>
<Relationship Id="rId10" Type="http://schemas.openxmlformats.org/officeDocument/2006/relationships/sharedStrings" Target="sharedStrings.xml"/>
<Relationship Id="rId11" Type="http://schemas.openxmlformats.org/officeDocument/2006/relationships/styles" Target="styles.xml"/>
<Relationship Id="rId12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34"/>
  <cols>
    <col min="1" max="1" width="1.47" customWidth="1" hidden="0"/>
    <col min="2" max="2" width="34.47" customWidth="1" hidden="0"/>
    <col min="4" max="4" width="13.74" customWidth="1" hidden="0"/>
    <col min="5" max="5" width="14.96" customWidth="1" hidden="0"/>
    <col min="6" max="6" width="10.79" customWidth="1" hidden="0"/>
    <col min="7" max="7" width="13.98" customWidth="1" hidden="0"/>
    <col min="8" max="8" width="7.85" customWidth="1" hidden="0"/>
    <col min="9" max="9" width="15.09" customWidth="1" hidden="0"/>
    <col min="10" max="11" width="15.45" customWidth="1" hidden="0"/>
    <col min="12" max="12" width="12.39" customWidth="1" hidden="0"/>
    <col min="13" max="13" width="1.47" customWidth="1" hidden="0"/>
    <col min="14" max="14" width="2.82" customWidth="1" hidden="0"/>
    <col min="16" max="16" width="10.43" customWidth="1" hidden="0"/>
  </cols>
  <sheetData>
    <row r="2" ht="25.50" customHeight="true">
      <c r="B2" s="1">
        <f>=+CCF!A2</f>
      </c>
      <c r="G2" s="2"/>
      <c r="H2" s="3"/>
      <c r="I2" s="3"/>
      <c r="J2" s="3"/>
      <c r="L2" s="4"/>
    </row>
    <row r="3" ht="25.50" customHeight="true">
      <c r="B3" s="5" t="s">
        <v>0</v>
      </c>
      <c r="G3" s="6"/>
      <c r="H3" s="7"/>
      <c r="I3" s="8"/>
      <c r="J3" s="9"/>
      <c r="L3" s="4"/>
    </row>
    <row r="4" ht="13.50" customHeight="true">
      <c r="H4" s="7"/>
      <c r="I4" s="8"/>
    </row>
    <row r="8" ht="15.00" customHeight="true">
      <c r="B8" s="10" t="s">
        <v>1</v>
      </c>
      <c r="C8" s="10" t="s">
        <v>2</v>
      </c>
      <c r="D8" s="10" t="s">
        <v>3</v>
      </c>
      <c r="E8" s="10" t="s">
        <v>4</v>
      </c>
      <c r="F8" s="11" t="s">
        <v>5</v>
      </c>
      <c r="G8" s="12"/>
      <c r="H8" s="11" t="s">
        <v>6</v>
      </c>
      <c r="I8" s="12"/>
      <c r="J8" s="10" t="s">
        <v>7</v>
      </c>
      <c r="K8" s="10" t="s">
        <v>8</v>
      </c>
      <c r="L8" s="10" t="s">
        <v>9</v>
      </c>
      <c r="M8" s="13"/>
      <c r="N8" s="14"/>
    </row>
    <row r="9" ht="14.25" customHeight="true">
      <c r="B9" s="15"/>
      <c r="C9" s="15"/>
      <c r="D9" s="15"/>
      <c r="E9" s="15"/>
      <c r="F9" s="16"/>
      <c r="G9" s="17"/>
      <c r="H9" s="16"/>
      <c r="I9" s="17"/>
      <c r="J9" s="15"/>
      <c r="K9" s="15"/>
      <c r="L9" s="15"/>
      <c r="M9" s="13"/>
      <c r="N9" s="14"/>
    </row>
    <row r="10" ht="14.25" customHeight="true">
      <c r="B10" s="15"/>
      <c r="C10" s="15"/>
      <c r="D10" s="15"/>
      <c r="E10" s="15"/>
      <c r="F10" s="16"/>
      <c r="G10" s="17"/>
      <c r="H10" s="16"/>
      <c r="I10" s="17"/>
      <c r="J10" s="15"/>
      <c r="K10" s="15"/>
      <c r="L10" s="15"/>
      <c r="M10" s="13"/>
      <c r="N10" s="14"/>
    </row>
    <row r="11" ht="14.25" customHeight="true">
      <c r="B11" s="15"/>
      <c r="C11" s="15"/>
      <c r="D11" s="15"/>
      <c r="E11" s="15"/>
      <c r="F11" s="16"/>
      <c r="G11" s="17"/>
      <c r="H11" s="16"/>
      <c r="I11" s="17"/>
      <c r="J11" s="15"/>
      <c r="K11" s="15"/>
      <c r="L11" s="15"/>
      <c r="M11" s="13"/>
      <c r="N11" s="14"/>
    </row>
    <row r="12" ht="15.00" customHeight="true">
      <c r="B12" s="18"/>
      <c r="C12" s="18"/>
      <c r="D12" s="18"/>
      <c r="E12" s="18"/>
      <c r="F12" s="19"/>
      <c r="G12" s="20"/>
      <c r="H12" s="19"/>
      <c r="I12" s="20"/>
      <c r="J12" s="18"/>
      <c r="K12" s="18"/>
      <c r="L12" s="18"/>
      <c r="M12" s="13"/>
      <c r="N12" s="14"/>
    </row>
    <row r="13" hidden="1" ht="14.25" customHeight="true">
      <c r="B13" s="21" t="s">
        <v>10</v>
      </c>
      <c r="C13" s="22">
        <v>39853</v>
      </c>
      <c r="D13" s="23">
        <v>0</v>
      </c>
      <c r="E13" s="22">
        <f>=+D13</f>
      </c>
      <c r="F13" s="24">
        <f>=+C13</f>
      </c>
      <c r="G13" s="25">
        <v>69.6094939999999</v>
      </c>
      <c r="H13" s="26">
        <v>40148</v>
      </c>
      <c r="I13" s="27">
        <v>71.771855</v>
      </c>
      <c r="J13" s="28">
        <f>=TRUNC(+I13/G13,4)</f>
      </c>
      <c r="K13" s="22"/>
      <c r="L13" s="29">
        <f>=+E13*J13</f>
      </c>
      <c r="M13" s="6"/>
    </row>
    <row r="14" hidden="1" ht="13.50" customHeight="true">
      <c r="B14" s="30" t="s">
        <v>11</v>
      </c>
      <c r="C14" s="31"/>
      <c r="D14" s="6"/>
      <c r="E14" s="31">
        <f>=+E13</f>
      </c>
      <c r="F14" s="26">
        <v>40148</v>
      </c>
      <c r="G14" s="27">
        <v>71.771855</v>
      </c>
      <c r="H14" s="26">
        <v>40513</v>
      </c>
      <c r="I14" s="27">
        <v>74.930954</v>
      </c>
      <c r="J14" s="9">
        <f ref="J14:J25" t="shared" si="11">=TRUNC(+I14/G14,4)</f>
      </c>
      <c r="K14" s="31">
        <f>=+L13</f>
      </c>
      <c r="L14" s="32">
        <f>=J14*K14</f>
      </c>
      <c r="M14" s="6"/>
    </row>
    <row r="15" hidden="1" ht="13.50" customHeight="true">
      <c r="B15" s="30" t="s">
        <v>12</v>
      </c>
      <c r="C15" s="31"/>
      <c r="D15" s="6"/>
      <c r="E15" s="31">
        <f ref="E15:E20" t="shared" si="9">=+E14</f>
      </c>
      <c r="F15" s="26">
        <v>40513</v>
      </c>
      <c r="G15" s="27">
        <v>74.930954</v>
      </c>
      <c r="H15" s="26">
        <v>40878</v>
      </c>
      <c r="I15" s="27">
        <v>77.7923849999999</v>
      </c>
      <c r="J15" s="9">
        <f t="shared" si="11"/>
      </c>
      <c r="K15" s="31">
        <f ref="K15:K25" t="shared" si="8">=+L14</f>
      </c>
      <c r="L15" s="32">
        <f ref="L15:L24" t="shared" si="7">=J15*K15</f>
      </c>
      <c r="M15" s="6"/>
    </row>
    <row r="16" hidden="1" ht="13.50" customHeight="true">
      <c r="B16" s="30" t="s">
        <v>13</v>
      </c>
      <c r="C16" s="31"/>
      <c r="D16" s="6"/>
      <c r="E16" s="31">
        <f t="shared" si="9"/>
      </c>
      <c r="F16" s="26">
        <v>40878</v>
      </c>
      <c r="G16" s="27">
        <v>77.7923849999999</v>
      </c>
      <c r="H16" s="26">
        <v>41244</v>
      </c>
      <c r="I16" s="27">
        <v>80.5682429999999</v>
      </c>
      <c r="J16" s="9">
        <f t="shared" si="11"/>
      </c>
      <c r="K16" s="31">
        <f t="shared" si="8"/>
      </c>
      <c r="L16" s="32">
        <f t="shared" si="7"/>
      </c>
      <c r="M16" s="6"/>
    </row>
    <row r="17" hidden="1" ht="13.50" customHeight="true">
      <c r="B17" s="30" t="s">
        <v>14</v>
      </c>
      <c r="C17" s="31"/>
      <c r="D17" s="6"/>
      <c r="E17" s="31">
        <f t="shared" si="9"/>
      </c>
      <c r="F17" s="26">
        <v>41244</v>
      </c>
      <c r="G17" s="27">
        <v>80.5682429999999</v>
      </c>
      <c r="H17" s="26">
        <v>41609</v>
      </c>
      <c r="I17" s="27">
        <v>83.770058</v>
      </c>
      <c r="J17" s="9">
        <f t="shared" si="11"/>
      </c>
      <c r="K17" s="31">
        <f t="shared" si="8"/>
      </c>
      <c r="L17" s="32">
        <f t="shared" si="7"/>
      </c>
      <c r="M17" s="6"/>
    </row>
    <row r="18" hidden="1" ht="13.50" customHeight="true">
      <c r="B18" s="30" t="s">
        <v>15</v>
      </c>
      <c r="C18" s="31"/>
      <c r="D18" s="6"/>
      <c r="E18" s="31">
        <f t="shared" si="9"/>
      </c>
      <c r="F18" s="26">
        <v>41609</v>
      </c>
      <c r="G18" s="27">
        <v>83.770058</v>
      </c>
      <c r="H18" s="26">
        <v>41974</v>
      </c>
      <c r="I18" s="27">
        <v>87.188984</v>
      </c>
      <c r="J18" s="9">
        <f t="shared" si="11"/>
      </c>
      <c r="K18" s="31">
        <f t="shared" si="8"/>
      </c>
      <c r="L18" s="32">
        <f t="shared" si="7"/>
      </c>
      <c r="M18" s="6"/>
    </row>
    <row r="19" hidden="1" ht="13.50" customHeight="true">
      <c r="B19" s="30" t="s">
        <v>16</v>
      </c>
      <c r="C19" s="31"/>
      <c r="D19" s="6"/>
      <c r="E19" s="31">
        <f t="shared" si="9"/>
      </c>
      <c r="F19" s="26">
        <v>41974</v>
      </c>
      <c r="G19" s="27">
        <v>87.188984</v>
      </c>
      <c r="H19" s="26">
        <v>42339</v>
      </c>
      <c r="I19" s="27">
        <v>89.046818</v>
      </c>
      <c r="J19" s="9">
        <f t="shared" si="11"/>
      </c>
      <c r="K19" s="31">
        <f t="shared" si="8"/>
      </c>
      <c r="L19" s="32">
        <f t="shared" si="7"/>
      </c>
      <c r="M19" s="6"/>
    </row>
    <row r="20" hidden="1" ht="13.50" customHeight="true">
      <c r="B20" s="30" t="s">
        <v>17</v>
      </c>
      <c r="C20" s="31"/>
      <c r="D20" s="6">
        <v>0</v>
      </c>
      <c r="E20" s="31">
        <f t="shared" si="9"/>
      </c>
      <c r="F20" s="26">
        <v>42339</v>
      </c>
      <c r="G20" s="27">
        <f>=+I19</f>
      </c>
      <c r="H20" s="26">
        <v>42705</v>
      </c>
      <c r="I20" s="27">
        <v>92.0390349999999</v>
      </c>
      <c r="J20" s="9">
        <f t="shared" si="11"/>
      </c>
      <c r="K20" s="31">
        <f t="shared" si="8"/>
      </c>
      <c r="L20" s="32">
        <f t="shared" si="7"/>
      </c>
      <c r="M20" s="6"/>
      <c r="O20" s="6"/>
    </row>
    <row r="21" ht="13.50" customHeight="true">
      <c r="B21" s="21" t="s">
        <v>10</v>
      </c>
      <c r="C21" s="22">
        <v>42933</v>
      </c>
      <c r="D21" s="23">
        <v>200000</v>
      </c>
      <c r="E21" s="31">
        <f ref="E21:E26" t="shared" si="10">=E20+D21</f>
      </c>
      <c r="F21" s="26">
        <v>42917</v>
      </c>
      <c r="G21" s="27">
        <v>95.322736</v>
      </c>
      <c r="H21" s="26">
        <v>43070</v>
      </c>
      <c r="I21" s="27">
        <v>98.2728829999999</v>
      </c>
      <c r="J21" s="9">
        <f>=TRUNC(+I21/G21,4)</f>
      </c>
      <c r="K21" s="31">
        <f t="shared" si="8"/>
      </c>
      <c r="L21" s="29">
        <f>=+E21*J21</f>
      </c>
      <c r="M21" s="6"/>
    </row>
    <row r="22" ht="13.50" customHeight="true">
      <c r="B22" s="30" t="s">
        <v>18</v>
      </c>
      <c r="C22" s="31"/>
      <c r="D22" s="6">
        <v>0</v>
      </c>
      <c r="E22" s="31">
        <f t="shared" si="10"/>
      </c>
      <c r="F22" s="26">
        <f>=+H21</f>
      </c>
      <c r="G22" s="27">
        <f>=I21</f>
      </c>
      <c r="H22" s="26">
        <v>43435</v>
      </c>
      <c r="I22" s="27">
        <v>103.019999999999</v>
      </c>
      <c r="J22" s="9">
        <f t="shared" si="11"/>
      </c>
      <c r="K22" s="31">
        <f t="shared" si="8"/>
      </c>
      <c r="L22" s="32">
        <f t="shared" si="7"/>
      </c>
      <c r="M22" s="6"/>
    </row>
    <row r="23" ht="13.50" customHeight="true">
      <c r="B23" s="30" t="s">
        <v>19</v>
      </c>
      <c r="C23" s="31"/>
      <c r="D23" s="6">
        <v>0</v>
      </c>
      <c r="E23" s="31">
        <f t="shared" si="10"/>
      </c>
      <c r="F23" s="26">
        <f>=+H22</f>
      </c>
      <c r="G23" s="27">
        <f>=I22</f>
      </c>
      <c r="H23" s="26">
        <v>43800</v>
      </c>
      <c r="I23" s="27">
        <v>105.933999999999</v>
      </c>
      <c r="J23" s="9">
        <f t="shared" si="11"/>
      </c>
      <c r="K23" s="31">
        <f t="shared" si="8"/>
      </c>
      <c r="L23" s="32">
        <f t="shared" si="7"/>
      </c>
      <c r="M23" s="6"/>
    </row>
    <row r="24" ht="13.50" customHeight="true">
      <c r="B24" s="30" t="s">
        <v>20</v>
      </c>
      <c r="C24" s="31"/>
      <c r="D24" s="6">
        <v>0</v>
      </c>
      <c r="E24" s="31">
        <f t="shared" si="10"/>
      </c>
      <c r="F24" s="26">
        <f>=+H23</f>
      </c>
      <c r="G24" s="27">
        <f>=I23</f>
      </c>
      <c r="H24" s="26">
        <v>44166</v>
      </c>
      <c r="I24" s="27">
        <v>109.271</v>
      </c>
      <c r="J24" s="9">
        <f t="shared" si="11"/>
      </c>
      <c r="K24" s="31">
        <f t="shared" si="8"/>
      </c>
      <c r="L24" s="32">
        <f t="shared" si="7"/>
      </c>
      <c r="M24" s="6"/>
    </row>
    <row r="25" ht="13.50" customHeight="true">
      <c r="B25" s="30" t="s">
        <v>21</v>
      </c>
      <c r="C25" s="31"/>
      <c r="D25" s="6"/>
      <c r="E25" s="31">
        <f t="shared" si="10"/>
      </c>
      <c r="F25" s="9">
        <v>44166</v>
      </c>
      <c r="G25" s="27">
        <v>109.271</v>
      </c>
      <c r="H25" s="26">
        <v>44531</v>
      </c>
      <c r="I25" s="27">
        <v>117.308</v>
      </c>
      <c r="J25" s="9">
        <f t="shared" si="11"/>
      </c>
      <c r="K25" s="31">
        <f t="shared" si="8"/>
      </c>
      <c r="L25" s="32">
        <f>=J25*K25</f>
      </c>
      <c r="M25" s="6"/>
    </row>
    <row r="26" ht="13.50" customHeight="true">
      <c r="B26" s="30" t="s">
        <v>22</v>
      </c>
      <c r="C26" s="31"/>
      <c r="D26" s="6"/>
      <c r="E26" s="31">
        <f t="shared" si="10"/>
      </c>
      <c r="F26" s="9">
        <v>44531</v>
      </c>
      <c r="G26" s="27">
        <f>=+I25</f>
      </c>
      <c r="H26" s="26">
        <v>44896</v>
      </c>
      <c r="I26" s="27">
        <v>126.477999999999</v>
      </c>
      <c r="J26" s="9">
        <f>=TRUNC(+I26/G26,4)</f>
      </c>
      <c r="K26" s="31">
        <f>=+L25</f>
      </c>
      <c r="L26" s="32">
        <f>=J26*K26</f>
      </c>
      <c r="M26" s="6"/>
    </row>
    <row r="27" ht="13.50" customHeight="true">
      <c r="B27" s="30" t="s">
        <v>23</v>
      </c>
      <c r="C27" s="31"/>
      <c r="D27" s="6"/>
      <c r="E27" s="31">
        <f>=E26+D27</f>
      </c>
      <c r="F27" s="9">
        <f>=+H26</f>
      </c>
      <c r="G27" s="27">
        <f>=+I26</f>
      </c>
      <c r="H27" s="26">
        <v>45261</v>
      </c>
      <c r="I27" s="27">
        <v>132.372999999999</v>
      </c>
      <c r="J27" s="9">
        <f>=TRUNC(+I27/G27,4)</f>
      </c>
      <c r="K27" s="31">
        <f>=+L26</f>
      </c>
      <c r="L27" s="32">
        <f>=J27*K27</f>
      </c>
      <c r="M27" s="6"/>
    </row>
    <row r="28" ht="13.50" customHeight="true">
      <c r="B28" s="30" t="s">
        <v>24</v>
      </c>
      <c r="C28" s="31"/>
      <c r="D28" s="6"/>
      <c r="E28" s="31">
        <f>=E27+D28</f>
      </c>
      <c r="F28" s="9">
        <f>=+H27</f>
      </c>
      <c r="G28" s="27">
        <f>=+I27</f>
      </c>
      <c r="H28" s="26">
        <v>45627</v>
      </c>
      <c r="I28" s="27">
        <v>137.949</v>
      </c>
      <c r="J28" s="9">
        <f>=TRUNC(+I28/G28,4)</f>
      </c>
      <c r="K28" s="31">
        <f>=+L27</f>
      </c>
      <c r="L28" s="32">
        <f>=J28*K28</f>
      </c>
      <c r="M28" s="6"/>
    </row>
    <row r="29" ht="13.50" customHeight="true">
      <c r="B29" s="33"/>
      <c r="C29" s="34"/>
      <c r="D29" s="34"/>
      <c r="E29" s="34"/>
      <c r="F29" s="35"/>
      <c r="G29" s="35"/>
      <c r="H29" s="36"/>
      <c r="I29" s="37"/>
      <c r="J29" s="35"/>
      <c r="K29" s="34"/>
      <c r="L29" s="38"/>
    </row>
    <row r="30" ht="13.50" customHeight="true">
      <c r="E30" s="6"/>
      <c r="F30" s="9"/>
    </row>
    <row r="31" ht="14.25" customHeight="true">
      <c r="B31" s="39"/>
      <c r="E31" s="6"/>
      <c r="F31" s="9"/>
      <c r="J31" s="9">
        <f>=TRUNC(+I26/G21,4)</f>
      </c>
      <c r="L31" s="6">
        <f>=+D21*J31</f>
      </c>
    </row>
    <row r="32" ht="13.50" customHeight="true">
      <c r="E32" s="6"/>
      <c r="F32" s="9"/>
      <c r="L32" s="6">
        <f>=+L31-L26</f>
      </c>
    </row>
    <row r="33" ht="13.50" customHeight="true">
      <c r="E33" s="6"/>
      <c r="F33" s="9"/>
    </row>
    <row r="34" ht="13.50" customHeight="true">
      <c r="E34" s="6"/>
      <c r="F34" s="9"/>
    </row>
    <row r="35" ht="13.50" customHeight="true">
      <c r="C35" s="6"/>
      <c r="E35" s="6"/>
      <c r="F35" s="9"/>
    </row>
    <row r="36" ht="13.50" customHeight="true">
      <c r="C36" s="6"/>
      <c r="E36" s="6"/>
      <c r="F36" s="9"/>
    </row>
    <row r="38" ht="13.50" customHeight="true">
      <c r="C38" s="6"/>
    </row>
  </sheetData>
  <mergeCells count="9">
    <mergeCell ref="J8:J12"/>
    <mergeCell ref="K8:K12"/>
    <mergeCell ref="L8:L12"/>
    <mergeCell ref="B8:B12"/>
    <mergeCell ref="C8:C12"/>
    <mergeCell ref="D8:D12"/>
    <mergeCell ref="E8:E12"/>
    <mergeCell ref="F8:G12"/>
    <mergeCell ref="H8:I1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34"/>
  <cols>
    <col min="1" max="1" width="48.20" customWidth="1" hidden="0"/>
    <col min="2" max="2" width="11.90" customWidth="1" hidden="1"/>
    <col min="3" max="3" width="15.09" customWidth="1" hidden="0"/>
    <col min="4" max="12" width="12.63" customWidth="1" hidden="0"/>
    <col min="13" max="243" width="10.43" customWidth="1" hidden="0"/>
    <col min="244" max="244" width="47.83" customWidth="1" hidden="0"/>
    <col min="245" max="246" width="11.04" customWidth="1" hidden="0"/>
    <col min="247" max="247" width="12.27" customWidth="1" hidden="0"/>
    <col min="248" max="248" width="10.43" customWidth="1" hidden="0"/>
    <col min="249" max="249" width="10.79" customWidth="1" hidden="0"/>
    <col min="250" max="252" width="11.04" customWidth="1" hidden="0"/>
    <col min="253" max="253" width="10.43" customWidth="1" hidden="0"/>
    <col min="254" max="254" width="10.79" customWidth="1" hidden="0"/>
    <col min="255" max="259" width="11.04" customWidth="1" hidden="0"/>
    <col min="260" max="499" width="10.43" customWidth="1" hidden="0"/>
    <col min="500" max="500" width="47.83" customWidth="1" hidden="0"/>
    <col min="501" max="502" width="11.04" customWidth="1" hidden="0"/>
    <col min="503" max="503" width="12.27" customWidth="1" hidden="0"/>
    <col min="504" max="504" width="10.43" customWidth="1" hidden="0"/>
    <col min="505" max="505" width="10.79" customWidth="1" hidden="0"/>
    <col min="506" max="508" width="11.04" customWidth="1" hidden="0"/>
    <col min="509" max="509" width="10.43" customWidth="1" hidden="0"/>
    <col min="510" max="510" width="10.79" customWidth="1" hidden="0"/>
    <col min="511" max="515" width="11.04" customWidth="1" hidden="0"/>
    <col min="516" max="755" width="10.43" customWidth="1" hidden="0"/>
    <col min="756" max="756" width="47.83" customWidth="1" hidden="0"/>
    <col min="757" max="758" width="11.04" customWidth="1" hidden="0"/>
    <col min="759" max="759" width="12.27" customWidth="1" hidden="0"/>
    <col min="760" max="760" width="10.43" customWidth="1" hidden="0"/>
    <col min="761" max="761" width="10.79" customWidth="1" hidden="0"/>
    <col min="762" max="764" width="11.04" customWidth="1" hidden="0"/>
    <col min="765" max="765" width="10.43" customWidth="1" hidden="0"/>
    <col min="766" max="766" width="10.79" customWidth="1" hidden="0"/>
    <col min="767" max="771" width="11.04" customWidth="1" hidden="0"/>
    <col min="772" max="1011" width="10.43" customWidth="1" hidden="0"/>
    <col min="1012" max="1012" width="47.83" customWidth="1" hidden="0"/>
    <col min="1013" max="1014" width="11.04" customWidth="1" hidden="0"/>
    <col min="1015" max="1015" width="12.27" customWidth="1" hidden="0"/>
    <col min="1016" max="1016" width="10.43" customWidth="1" hidden="0"/>
    <col min="1017" max="1017" width="10.79" customWidth="1" hidden="0"/>
    <col min="1018" max="1020" width="11.04" customWidth="1" hidden="0"/>
    <col min="1021" max="1021" width="10.43" customWidth="1" hidden="0"/>
    <col min="1022" max="1022" width="10.79" customWidth="1" hidden="0"/>
    <col min="1023" max="1027" width="11.04" customWidth="1" hidden="0"/>
    <col min="1028" max="1267" width="10.43" customWidth="1" hidden="0"/>
    <col min="1268" max="1268" width="47.83" customWidth="1" hidden="0"/>
    <col min="1269" max="1270" width="11.04" customWidth="1" hidden="0"/>
    <col min="1271" max="1271" width="12.27" customWidth="1" hidden="0"/>
    <col min="1272" max="1272" width="10.43" customWidth="1" hidden="0"/>
    <col min="1273" max="1273" width="10.79" customWidth="1" hidden="0"/>
    <col min="1274" max="1276" width="11.04" customWidth="1" hidden="0"/>
    <col min="1277" max="1277" width="10.43" customWidth="1" hidden="0"/>
    <col min="1278" max="1278" width="10.79" customWidth="1" hidden="0"/>
    <col min="1279" max="1283" width="11.04" customWidth="1" hidden="0"/>
    <col min="1284" max="1523" width="10.43" customWidth="1" hidden="0"/>
    <col min="1524" max="1524" width="47.83" customWidth="1" hidden="0"/>
    <col min="1525" max="1526" width="11.04" customWidth="1" hidden="0"/>
    <col min="1527" max="1527" width="12.27" customWidth="1" hidden="0"/>
    <col min="1528" max="1528" width="10.43" customWidth="1" hidden="0"/>
    <col min="1529" max="1529" width="10.79" customWidth="1" hidden="0"/>
    <col min="1530" max="1532" width="11.04" customWidth="1" hidden="0"/>
    <col min="1533" max="1533" width="10.43" customWidth="1" hidden="0"/>
    <col min="1534" max="1534" width="10.79" customWidth="1" hidden="0"/>
    <col min="1535" max="1539" width="11.04" customWidth="1" hidden="0"/>
    <col min="1540" max="1779" width="10.43" customWidth="1" hidden="0"/>
    <col min="1780" max="1780" width="47.83" customWidth="1" hidden="0"/>
    <col min="1781" max="1782" width="11.04" customWidth="1" hidden="0"/>
    <col min="1783" max="1783" width="12.27" customWidth="1" hidden="0"/>
    <col min="1784" max="1784" width="10.43" customWidth="1" hidden="0"/>
    <col min="1785" max="1785" width="10.79" customWidth="1" hidden="0"/>
    <col min="1786" max="1788" width="11.04" customWidth="1" hidden="0"/>
    <col min="1789" max="1789" width="10.43" customWidth="1" hidden="0"/>
    <col min="1790" max="1790" width="10.79" customWidth="1" hidden="0"/>
    <col min="1791" max="1795" width="11.04" customWidth="1" hidden="0"/>
    <col min="1796" max="2035" width="10.43" customWidth="1" hidden="0"/>
    <col min="2036" max="2036" width="47.83" customWidth="1" hidden="0"/>
    <col min="2037" max="2038" width="11.04" customWidth="1" hidden="0"/>
    <col min="2039" max="2039" width="12.27" customWidth="1" hidden="0"/>
    <col min="2040" max="2040" width="10.43" customWidth="1" hidden="0"/>
    <col min="2041" max="2041" width="10.79" customWidth="1" hidden="0"/>
    <col min="2042" max="2044" width="11.04" customWidth="1" hidden="0"/>
    <col min="2045" max="2045" width="10.43" customWidth="1" hidden="0"/>
    <col min="2046" max="2046" width="10.79" customWidth="1" hidden="0"/>
    <col min="2047" max="2051" width="11.04" customWidth="1" hidden="0"/>
    <col min="2052" max="2291" width="10.43" customWidth="1" hidden="0"/>
    <col min="2292" max="2292" width="47.83" customWidth="1" hidden="0"/>
    <col min="2293" max="2294" width="11.04" customWidth="1" hidden="0"/>
    <col min="2295" max="2295" width="12.27" customWidth="1" hidden="0"/>
    <col min="2296" max="2296" width="10.43" customWidth="1" hidden="0"/>
    <col min="2297" max="2297" width="10.79" customWidth="1" hidden="0"/>
    <col min="2298" max="2300" width="11.04" customWidth="1" hidden="0"/>
    <col min="2301" max="2301" width="10.43" customWidth="1" hidden="0"/>
    <col min="2302" max="2302" width="10.79" customWidth="1" hidden="0"/>
    <col min="2303" max="2307" width="11.04" customWidth="1" hidden="0"/>
    <col min="2308" max="2547" width="10.43" customWidth="1" hidden="0"/>
    <col min="2548" max="2548" width="47.83" customWidth="1" hidden="0"/>
    <col min="2549" max="2550" width="11.04" customWidth="1" hidden="0"/>
    <col min="2551" max="2551" width="12.27" customWidth="1" hidden="0"/>
    <col min="2552" max="2552" width="10.43" customWidth="1" hidden="0"/>
    <col min="2553" max="2553" width="10.79" customWidth="1" hidden="0"/>
    <col min="2554" max="2556" width="11.04" customWidth="1" hidden="0"/>
    <col min="2557" max="2557" width="10.43" customWidth="1" hidden="0"/>
    <col min="2558" max="2558" width="10.79" customWidth="1" hidden="0"/>
    <col min="2559" max="2563" width="11.04" customWidth="1" hidden="0"/>
    <col min="2564" max="2803" width="10.43" customWidth="1" hidden="0"/>
    <col min="2804" max="2804" width="47.83" customWidth="1" hidden="0"/>
    <col min="2805" max="2806" width="11.04" customWidth="1" hidden="0"/>
    <col min="2807" max="2807" width="12.27" customWidth="1" hidden="0"/>
    <col min="2808" max="2808" width="10.43" customWidth="1" hidden="0"/>
    <col min="2809" max="2809" width="10.79" customWidth="1" hidden="0"/>
    <col min="2810" max="2812" width="11.04" customWidth="1" hidden="0"/>
    <col min="2813" max="2813" width="10.43" customWidth="1" hidden="0"/>
    <col min="2814" max="2814" width="10.79" customWidth="1" hidden="0"/>
    <col min="2815" max="2819" width="11.04" customWidth="1" hidden="0"/>
    <col min="2820" max="3059" width="10.43" customWidth="1" hidden="0"/>
    <col min="3060" max="3060" width="47.83" customWidth="1" hidden="0"/>
    <col min="3061" max="3062" width="11.04" customWidth="1" hidden="0"/>
    <col min="3063" max="3063" width="12.27" customWidth="1" hidden="0"/>
    <col min="3064" max="3064" width="10.43" customWidth="1" hidden="0"/>
    <col min="3065" max="3065" width="10.79" customWidth="1" hidden="0"/>
    <col min="3066" max="3068" width="11.04" customWidth="1" hidden="0"/>
    <col min="3069" max="3069" width="10.43" customWidth="1" hidden="0"/>
    <col min="3070" max="3070" width="10.79" customWidth="1" hidden="0"/>
    <col min="3071" max="3075" width="11.04" customWidth="1" hidden="0"/>
    <col min="3076" max="3315" width="10.43" customWidth="1" hidden="0"/>
    <col min="3316" max="3316" width="47.83" customWidth="1" hidden="0"/>
    <col min="3317" max="3318" width="11.04" customWidth="1" hidden="0"/>
    <col min="3319" max="3319" width="12.27" customWidth="1" hidden="0"/>
    <col min="3320" max="3320" width="10.43" customWidth="1" hidden="0"/>
    <col min="3321" max="3321" width="10.79" customWidth="1" hidden="0"/>
    <col min="3322" max="3324" width="11.04" customWidth="1" hidden="0"/>
    <col min="3325" max="3325" width="10.43" customWidth="1" hidden="0"/>
    <col min="3326" max="3326" width="10.79" customWidth="1" hidden="0"/>
    <col min="3327" max="3331" width="11.04" customWidth="1" hidden="0"/>
    <col min="3332" max="3571" width="10.43" customWidth="1" hidden="0"/>
    <col min="3572" max="3572" width="47.83" customWidth="1" hidden="0"/>
    <col min="3573" max="3574" width="11.04" customWidth="1" hidden="0"/>
    <col min="3575" max="3575" width="12.27" customWidth="1" hidden="0"/>
    <col min="3576" max="3576" width="10.43" customWidth="1" hidden="0"/>
    <col min="3577" max="3577" width="10.79" customWidth="1" hidden="0"/>
    <col min="3578" max="3580" width="11.04" customWidth="1" hidden="0"/>
    <col min="3581" max="3581" width="10.43" customWidth="1" hidden="0"/>
    <col min="3582" max="3582" width="10.79" customWidth="1" hidden="0"/>
    <col min="3583" max="3587" width="11.04" customWidth="1" hidden="0"/>
    <col min="3588" max="3827" width="10.43" customWidth="1" hidden="0"/>
    <col min="3828" max="3828" width="47.83" customWidth="1" hidden="0"/>
    <col min="3829" max="3830" width="11.04" customWidth="1" hidden="0"/>
    <col min="3831" max="3831" width="12.27" customWidth="1" hidden="0"/>
    <col min="3832" max="3832" width="10.43" customWidth="1" hidden="0"/>
    <col min="3833" max="3833" width="10.79" customWidth="1" hidden="0"/>
    <col min="3834" max="3836" width="11.04" customWidth="1" hidden="0"/>
    <col min="3837" max="3837" width="10.43" customWidth="1" hidden="0"/>
    <col min="3838" max="3838" width="10.79" customWidth="1" hidden="0"/>
    <col min="3839" max="3843" width="11.04" customWidth="1" hidden="0"/>
    <col min="3844" max="4083" width="10.43" customWidth="1" hidden="0"/>
    <col min="4084" max="4084" width="47.83" customWidth="1" hidden="0"/>
    <col min="4085" max="4086" width="11.04" customWidth="1" hidden="0"/>
    <col min="4087" max="4087" width="12.27" customWidth="1" hidden="0"/>
    <col min="4088" max="4088" width="10.43" customWidth="1" hidden="0"/>
    <col min="4089" max="4089" width="10.79" customWidth="1" hidden="0"/>
    <col min="4090" max="4092" width="11.04" customWidth="1" hidden="0"/>
    <col min="4093" max="4093" width="10.43" customWidth="1" hidden="0"/>
    <col min="4094" max="4094" width="10.79" customWidth="1" hidden="0"/>
    <col min="4095" max="4099" width="11.04" customWidth="1" hidden="0"/>
    <col min="4100" max="4339" width="10.43" customWidth="1" hidden="0"/>
    <col min="4340" max="4340" width="47.83" customWidth="1" hidden="0"/>
    <col min="4341" max="4342" width="11.04" customWidth="1" hidden="0"/>
    <col min="4343" max="4343" width="12.27" customWidth="1" hidden="0"/>
    <col min="4344" max="4344" width="10.43" customWidth="1" hidden="0"/>
    <col min="4345" max="4345" width="10.79" customWidth="1" hidden="0"/>
    <col min="4346" max="4348" width="11.04" customWidth="1" hidden="0"/>
    <col min="4349" max="4349" width="10.43" customWidth="1" hidden="0"/>
    <col min="4350" max="4350" width="10.79" customWidth="1" hidden="0"/>
    <col min="4351" max="4355" width="11.04" customWidth="1" hidden="0"/>
    <col min="4356" max="4595" width="10.43" customWidth="1" hidden="0"/>
    <col min="4596" max="4596" width="47.83" customWidth="1" hidden="0"/>
    <col min="4597" max="4598" width="11.04" customWidth="1" hidden="0"/>
    <col min="4599" max="4599" width="12.27" customWidth="1" hidden="0"/>
    <col min="4600" max="4600" width="10.43" customWidth="1" hidden="0"/>
    <col min="4601" max="4601" width="10.79" customWidth="1" hidden="0"/>
    <col min="4602" max="4604" width="11.04" customWidth="1" hidden="0"/>
    <col min="4605" max="4605" width="10.43" customWidth="1" hidden="0"/>
    <col min="4606" max="4606" width="10.79" customWidth="1" hidden="0"/>
    <col min="4607" max="4611" width="11.04" customWidth="1" hidden="0"/>
    <col min="4612" max="4851" width="10.43" customWidth="1" hidden="0"/>
    <col min="4852" max="4852" width="47.83" customWidth="1" hidden="0"/>
    <col min="4853" max="4854" width="11.04" customWidth="1" hidden="0"/>
    <col min="4855" max="4855" width="12.27" customWidth="1" hidden="0"/>
    <col min="4856" max="4856" width="10.43" customWidth="1" hidden="0"/>
    <col min="4857" max="4857" width="10.79" customWidth="1" hidden="0"/>
    <col min="4858" max="4860" width="11.04" customWidth="1" hidden="0"/>
    <col min="4861" max="4861" width="10.43" customWidth="1" hidden="0"/>
    <col min="4862" max="4862" width="10.79" customWidth="1" hidden="0"/>
    <col min="4863" max="4867" width="11.04" customWidth="1" hidden="0"/>
    <col min="4868" max="5107" width="10.43" customWidth="1" hidden="0"/>
    <col min="5108" max="5108" width="47.83" customWidth="1" hidden="0"/>
    <col min="5109" max="5110" width="11.04" customWidth="1" hidden="0"/>
    <col min="5111" max="5111" width="12.27" customWidth="1" hidden="0"/>
    <col min="5112" max="5112" width="10.43" customWidth="1" hidden="0"/>
    <col min="5113" max="5113" width="10.79" customWidth="1" hidden="0"/>
    <col min="5114" max="5116" width="11.04" customWidth="1" hidden="0"/>
    <col min="5117" max="5117" width="10.43" customWidth="1" hidden="0"/>
    <col min="5118" max="5118" width="10.79" customWidth="1" hidden="0"/>
    <col min="5119" max="5123" width="11.04" customWidth="1" hidden="0"/>
    <col min="5124" max="5363" width="10.43" customWidth="1" hidden="0"/>
    <col min="5364" max="5364" width="47.83" customWidth="1" hidden="0"/>
    <col min="5365" max="5366" width="11.04" customWidth="1" hidden="0"/>
    <col min="5367" max="5367" width="12.27" customWidth="1" hidden="0"/>
    <col min="5368" max="5368" width="10.43" customWidth="1" hidden="0"/>
    <col min="5369" max="5369" width="10.79" customWidth="1" hidden="0"/>
    <col min="5370" max="5372" width="11.04" customWidth="1" hidden="0"/>
    <col min="5373" max="5373" width="10.43" customWidth="1" hidden="0"/>
    <col min="5374" max="5374" width="10.79" customWidth="1" hidden="0"/>
    <col min="5375" max="5379" width="11.04" customWidth="1" hidden="0"/>
    <col min="5380" max="5619" width="10.43" customWidth="1" hidden="0"/>
    <col min="5620" max="5620" width="47.83" customWidth="1" hidden="0"/>
    <col min="5621" max="5622" width="11.04" customWidth="1" hidden="0"/>
    <col min="5623" max="5623" width="12.27" customWidth="1" hidden="0"/>
    <col min="5624" max="5624" width="10.43" customWidth="1" hidden="0"/>
    <col min="5625" max="5625" width="10.79" customWidth="1" hidden="0"/>
    <col min="5626" max="5628" width="11.04" customWidth="1" hidden="0"/>
    <col min="5629" max="5629" width="10.43" customWidth="1" hidden="0"/>
    <col min="5630" max="5630" width="10.79" customWidth="1" hidden="0"/>
    <col min="5631" max="5635" width="11.04" customWidth="1" hidden="0"/>
    <col min="5636" max="5875" width="10.43" customWidth="1" hidden="0"/>
    <col min="5876" max="5876" width="47.83" customWidth="1" hidden="0"/>
    <col min="5877" max="5878" width="11.04" customWidth="1" hidden="0"/>
    <col min="5879" max="5879" width="12.27" customWidth="1" hidden="0"/>
    <col min="5880" max="5880" width="10.43" customWidth="1" hidden="0"/>
    <col min="5881" max="5881" width="10.79" customWidth="1" hidden="0"/>
    <col min="5882" max="5884" width="11.04" customWidth="1" hidden="0"/>
    <col min="5885" max="5885" width="10.43" customWidth="1" hidden="0"/>
    <col min="5886" max="5886" width="10.79" customWidth="1" hidden="0"/>
    <col min="5887" max="5891" width="11.04" customWidth="1" hidden="0"/>
    <col min="5892" max="6131" width="10.43" customWidth="1" hidden="0"/>
    <col min="6132" max="6132" width="47.83" customWidth="1" hidden="0"/>
    <col min="6133" max="6134" width="11.04" customWidth="1" hidden="0"/>
    <col min="6135" max="6135" width="12.27" customWidth="1" hidden="0"/>
    <col min="6136" max="6136" width="10.43" customWidth="1" hidden="0"/>
    <col min="6137" max="6137" width="10.79" customWidth="1" hidden="0"/>
    <col min="6138" max="6140" width="11.04" customWidth="1" hidden="0"/>
    <col min="6141" max="6141" width="10.43" customWidth="1" hidden="0"/>
    <col min="6142" max="6142" width="10.79" customWidth="1" hidden="0"/>
    <col min="6143" max="6147" width="11.04" customWidth="1" hidden="0"/>
    <col min="6148" max="6387" width="10.43" customWidth="1" hidden="0"/>
    <col min="6388" max="6388" width="47.83" customWidth="1" hidden="0"/>
    <col min="6389" max="6390" width="11.04" customWidth="1" hidden="0"/>
    <col min="6391" max="6391" width="12.27" customWidth="1" hidden="0"/>
    <col min="6392" max="6392" width="10.43" customWidth="1" hidden="0"/>
    <col min="6393" max="6393" width="10.79" customWidth="1" hidden="0"/>
    <col min="6394" max="6396" width="11.04" customWidth="1" hidden="0"/>
    <col min="6397" max="6397" width="10.43" customWidth="1" hidden="0"/>
    <col min="6398" max="6398" width="10.79" customWidth="1" hidden="0"/>
    <col min="6399" max="6403" width="11.04" customWidth="1" hidden="0"/>
    <col min="6404" max="6643" width="10.43" customWidth="1" hidden="0"/>
    <col min="6644" max="6644" width="47.83" customWidth="1" hidden="0"/>
    <col min="6645" max="6646" width="11.04" customWidth="1" hidden="0"/>
    <col min="6647" max="6647" width="12.27" customWidth="1" hidden="0"/>
    <col min="6648" max="6648" width="10.43" customWidth="1" hidden="0"/>
    <col min="6649" max="6649" width="10.79" customWidth="1" hidden="0"/>
    <col min="6650" max="6652" width="11.04" customWidth="1" hidden="0"/>
    <col min="6653" max="6653" width="10.43" customWidth="1" hidden="0"/>
    <col min="6654" max="6654" width="10.79" customWidth="1" hidden="0"/>
    <col min="6655" max="6659" width="11.04" customWidth="1" hidden="0"/>
    <col min="6660" max="6899" width="10.43" customWidth="1" hidden="0"/>
    <col min="6900" max="6900" width="47.83" customWidth="1" hidden="0"/>
    <col min="6901" max="6902" width="11.04" customWidth="1" hidden="0"/>
    <col min="6903" max="6903" width="12.27" customWidth="1" hidden="0"/>
    <col min="6904" max="6904" width="10.43" customWidth="1" hidden="0"/>
    <col min="6905" max="6905" width="10.79" customWidth="1" hidden="0"/>
    <col min="6906" max="6908" width="11.04" customWidth="1" hidden="0"/>
    <col min="6909" max="6909" width="10.43" customWidth="1" hidden="0"/>
    <col min="6910" max="6910" width="10.79" customWidth="1" hidden="0"/>
    <col min="6911" max="6915" width="11.04" customWidth="1" hidden="0"/>
    <col min="6916" max="7155" width="10.43" customWidth="1" hidden="0"/>
    <col min="7156" max="7156" width="47.83" customWidth="1" hidden="0"/>
    <col min="7157" max="7158" width="11.04" customWidth="1" hidden="0"/>
    <col min="7159" max="7159" width="12.27" customWidth="1" hidden="0"/>
    <col min="7160" max="7160" width="10.43" customWidth="1" hidden="0"/>
    <col min="7161" max="7161" width="10.79" customWidth="1" hidden="0"/>
    <col min="7162" max="7164" width="11.04" customWidth="1" hidden="0"/>
    <col min="7165" max="7165" width="10.43" customWidth="1" hidden="0"/>
    <col min="7166" max="7166" width="10.79" customWidth="1" hidden="0"/>
    <col min="7167" max="7171" width="11.04" customWidth="1" hidden="0"/>
    <col min="7172" max="7411" width="10.43" customWidth="1" hidden="0"/>
    <col min="7412" max="7412" width="47.83" customWidth="1" hidden="0"/>
    <col min="7413" max="7414" width="11.04" customWidth="1" hidden="0"/>
    <col min="7415" max="7415" width="12.27" customWidth="1" hidden="0"/>
    <col min="7416" max="7416" width="10.43" customWidth="1" hidden="0"/>
    <col min="7417" max="7417" width="10.79" customWidth="1" hidden="0"/>
    <col min="7418" max="7420" width="11.04" customWidth="1" hidden="0"/>
    <col min="7421" max="7421" width="10.43" customWidth="1" hidden="0"/>
    <col min="7422" max="7422" width="10.79" customWidth="1" hidden="0"/>
    <col min="7423" max="7427" width="11.04" customWidth="1" hidden="0"/>
    <col min="7428" max="7667" width="10.43" customWidth="1" hidden="0"/>
    <col min="7668" max="7668" width="47.83" customWidth="1" hidden="0"/>
    <col min="7669" max="7670" width="11.04" customWidth="1" hidden="0"/>
    <col min="7671" max="7671" width="12.27" customWidth="1" hidden="0"/>
    <col min="7672" max="7672" width="10.43" customWidth="1" hidden="0"/>
    <col min="7673" max="7673" width="10.79" customWidth="1" hidden="0"/>
    <col min="7674" max="7676" width="11.04" customWidth="1" hidden="0"/>
    <col min="7677" max="7677" width="10.43" customWidth="1" hidden="0"/>
    <col min="7678" max="7678" width="10.79" customWidth="1" hidden="0"/>
    <col min="7679" max="7683" width="11.04" customWidth="1" hidden="0"/>
    <col min="7684" max="7923" width="10.43" customWidth="1" hidden="0"/>
    <col min="7924" max="7924" width="47.83" customWidth="1" hidden="0"/>
    <col min="7925" max="7926" width="11.04" customWidth="1" hidden="0"/>
    <col min="7927" max="7927" width="12.27" customWidth="1" hidden="0"/>
    <col min="7928" max="7928" width="10.43" customWidth="1" hidden="0"/>
    <col min="7929" max="7929" width="10.79" customWidth="1" hidden="0"/>
    <col min="7930" max="7932" width="11.04" customWidth="1" hidden="0"/>
    <col min="7933" max="7933" width="10.43" customWidth="1" hidden="0"/>
    <col min="7934" max="7934" width="10.79" customWidth="1" hidden="0"/>
    <col min="7935" max="7939" width="11.04" customWidth="1" hidden="0"/>
    <col min="7940" max="8179" width="10.43" customWidth="1" hidden="0"/>
    <col min="8180" max="8180" width="47.83" customWidth="1" hidden="0"/>
    <col min="8181" max="8182" width="11.04" customWidth="1" hidden="0"/>
    <col min="8183" max="8183" width="12.27" customWidth="1" hidden="0"/>
    <col min="8184" max="8184" width="10.43" customWidth="1" hidden="0"/>
    <col min="8185" max="8185" width="10.79" customWidth="1" hidden="0"/>
    <col min="8186" max="8188" width="11.04" customWidth="1" hidden="0"/>
    <col min="8189" max="8189" width="10.43" customWidth="1" hidden="0"/>
    <col min="8190" max="8190" width="10.79" customWidth="1" hidden="0"/>
    <col min="8191" max="8195" width="11.04" customWidth="1" hidden="0"/>
    <col min="8196" max="8435" width="10.43" customWidth="1" hidden="0"/>
    <col min="8436" max="8436" width="47.83" customWidth="1" hidden="0"/>
    <col min="8437" max="8438" width="11.04" customWidth="1" hidden="0"/>
    <col min="8439" max="8439" width="12.27" customWidth="1" hidden="0"/>
    <col min="8440" max="8440" width="10.43" customWidth="1" hidden="0"/>
    <col min="8441" max="8441" width="10.79" customWidth="1" hidden="0"/>
    <col min="8442" max="8444" width="11.04" customWidth="1" hidden="0"/>
    <col min="8445" max="8445" width="10.43" customWidth="1" hidden="0"/>
    <col min="8446" max="8446" width="10.79" customWidth="1" hidden="0"/>
    <col min="8447" max="8451" width="11.04" customWidth="1" hidden="0"/>
    <col min="8452" max="8691" width="10.43" customWidth="1" hidden="0"/>
    <col min="8692" max="8692" width="47.83" customWidth="1" hidden="0"/>
    <col min="8693" max="8694" width="11.04" customWidth="1" hidden="0"/>
    <col min="8695" max="8695" width="12.27" customWidth="1" hidden="0"/>
    <col min="8696" max="8696" width="10.43" customWidth="1" hidden="0"/>
    <col min="8697" max="8697" width="10.79" customWidth="1" hidden="0"/>
    <col min="8698" max="8700" width="11.04" customWidth="1" hidden="0"/>
    <col min="8701" max="8701" width="10.43" customWidth="1" hidden="0"/>
    <col min="8702" max="8702" width="10.79" customWidth="1" hidden="0"/>
    <col min="8703" max="8707" width="11.04" customWidth="1" hidden="0"/>
    <col min="8708" max="8947" width="10.43" customWidth="1" hidden="0"/>
    <col min="8948" max="8948" width="47.83" customWidth="1" hidden="0"/>
    <col min="8949" max="8950" width="11.04" customWidth="1" hidden="0"/>
    <col min="8951" max="8951" width="12.27" customWidth="1" hidden="0"/>
    <col min="8952" max="8952" width="10.43" customWidth="1" hidden="0"/>
    <col min="8953" max="8953" width="10.79" customWidth="1" hidden="0"/>
    <col min="8954" max="8956" width="11.04" customWidth="1" hidden="0"/>
    <col min="8957" max="8957" width="10.43" customWidth="1" hidden="0"/>
    <col min="8958" max="8958" width="10.79" customWidth="1" hidden="0"/>
    <col min="8959" max="8963" width="11.04" customWidth="1" hidden="0"/>
    <col min="8964" max="9203" width="10.43" customWidth="1" hidden="0"/>
    <col min="9204" max="9204" width="47.83" customWidth="1" hidden="0"/>
    <col min="9205" max="9206" width="11.04" customWidth="1" hidden="0"/>
    <col min="9207" max="9207" width="12.27" customWidth="1" hidden="0"/>
    <col min="9208" max="9208" width="10.43" customWidth="1" hidden="0"/>
    <col min="9209" max="9209" width="10.79" customWidth="1" hidden="0"/>
    <col min="9210" max="9212" width="11.04" customWidth="1" hidden="0"/>
    <col min="9213" max="9213" width="10.43" customWidth="1" hidden="0"/>
    <col min="9214" max="9214" width="10.79" customWidth="1" hidden="0"/>
    <col min="9215" max="9219" width="11.04" customWidth="1" hidden="0"/>
    <col min="9220" max="9459" width="10.43" customWidth="1" hidden="0"/>
    <col min="9460" max="9460" width="47.83" customWidth="1" hidden="0"/>
    <col min="9461" max="9462" width="11.04" customWidth="1" hidden="0"/>
    <col min="9463" max="9463" width="12.27" customWidth="1" hidden="0"/>
    <col min="9464" max="9464" width="10.43" customWidth="1" hidden="0"/>
    <col min="9465" max="9465" width="10.79" customWidth="1" hidden="0"/>
    <col min="9466" max="9468" width="11.04" customWidth="1" hidden="0"/>
    <col min="9469" max="9469" width="10.43" customWidth="1" hidden="0"/>
    <col min="9470" max="9470" width="10.79" customWidth="1" hidden="0"/>
    <col min="9471" max="9475" width="11.04" customWidth="1" hidden="0"/>
    <col min="9476" max="9715" width="10.43" customWidth="1" hidden="0"/>
    <col min="9716" max="9716" width="47.83" customWidth="1" hidden="0"/>
    <col min="9717" max="9718" width="11.04" customWidth="1" hidden="0"/>
    <col min="9719" max="9719" width="12.27" customWidth="1" hidden="0"/>
    <col min="9720" max="9720" width="10.43" customWidth="1" hidden="0"/>
    <col min="9721" max="9721" width="10.79" customWidth="1" hidden="0"/>
    <col min="9722" max="9724" width="11.04" customWidth="1" hidden="0"/>
    <col min="9725" max="9725" width="10.43" customWidth="1" hidden="0"/>
    <col min="9726" max="9726" width="10.79" customWidth="1" hidden="0"/>
    <col min="9727" max="9731" width="11.04" customWidth="1" hidden="0"/>
    <col min="9732" max="9971" width="10.43" customWidth="1" hidden="0"/>
    <col min="9972" max="9972" width="47.83" customWidth="1" hidden="0"/>
    <col min="9973" max="9974" width="11.04" customWidth="1" hidden="0"/>
    <col min="9975" max="9975" width="12.27" customWidth="1" hidden="0"/>
    <col min="9976" max="9976" width="10.43" customWidth="1" hidden="0"/>
    <col min="9977" max="9977" width="10.79" customWidth="1" hidden="0"/>
    <col min="9978" max="9980" width="11.04" customWidth="1" hidden="0"/>
    <col min="9981" max="9981" width="10.43" customWidth="1" hidden="0"/>
    <col min="9982" max="9982" width="10.79" customWidth="1" hidden="0"/>
    <col min="9983" max="9987" width="11.04" customWidth="1" hidden="0"/>
    <col min="9988" max="10227" width="10.43" customWidth="1" hidden="0"/>
    <col min="10228" max="10228" width="47.83" customWidth="1" hidden="0"/>
    <col min="10229" max="10230" width="11.04" customWidth="1" hidden="0"/>
    <col min="10231" max="10231" width="12.27" customWidth="1" hidden="0"/>
    <col min="10232" max="10232" width="10.43" customWidth="1" hidden="0"/>
    <col min="10233" max="10233" width="10.79" customWidth="1" hidden="0"/>
    <col min="10234" max="10236" width="11.04" customWidth="1" hidden="0"/>
    <col min="10237" max="10237" width="10.43" customWidth="1" hidden="0"/>
    <col min="10238" max="10238" width="10.79" customWidth="1" hidden="0"/>
    <col min="10239" max="10243" width="11.04" customWidth="1" hidden="0"/>
    <col min="10244" max="10483" width="10.43" customWidth="1" hidden="0"/>
    <col min="10484" max="10484" width="47.83" customWidth="1" hidden="0"/>
    <col min="10485" max="10486" width="11.04" customWidth="1" hidden="0"/>
    <col min="10487" max="10487" width="12.27" customWidth="1" hidden="0"/>
    <col min="10488" max="10488" width="10.43" customWidth="1" hidden="0"/>
    <col min="10489" max="10489" width="10.79" customWidth="1" hidden="0"/>
    <col min="10490" max="10492" width="11.04" customWidth="1" hidden="0"/>
    <col min="10493" max="10493" width="10.43" customWidth="1" hidden="0"/>
    <col min="10494" max="10494" width="10.79" customWidth="1" hidden="0"/>
    <col min="10495" max="10499" width="11.04" customWidth="1" hidden="0"/>
    <col min="10500" max="10739" width="10.43" customWidth="1" hidden="0"/>
    <col min="10740" max="10740" width="47.83" customWidth="1" hidden="0"/>
    <col min="10741" max="10742" width="11.04" customWidth="1" hidden="0"/>
    <col min="10743" max="10743" width="12.27" customWidth="1" hidden="0"/>
    <col min="10744" max="10744" width="10.43" customWidth="1" hidden="0"/>
    <col min="10745" max="10745" width="10.79" customWidth="1" hidden="0"/>
    <col min="10746" max="10748" width="11.04" customWidth="1" hidden="0"/>
    <col min="10749" max="10749" width="10.43" customWidth="1" hidden="0"/>
    <col min="10750" max="10750" width="10.79" customWidth="1" hidden="0"/>
    <col min="10751" max="10755" width="11.04" customWidth="1" hidden="0"/>
    <col min="10756" max="10995" width="10.43" customWidth="1" hidden="0"/>
    <col min="10996" max="10996" width="47.83" customWidth="1" hidden="0"/>
    <col min="10997" max="10998" width="11.04" customWidth="1" hidden="0"/>
    <col min="10999" max="10999" width="12.27" customWidth="1" hidden="0"/>
    <col min="11000" max="11000" width="10.43" customWidth="1" hidden="0"/>
    <col min="11001" max="11001" width="10.79" customWidth="1" hidden="0"/>
    <col min="11002" max="11004" width="11.04" customWidth="1" hidden="0"/>
    <col min="11005" max="11005" width="10.43" customWidth="1" hidden="0"/>
    <col min="11006" max="11006" width="10.79" customWidth="1" hidden="0"/>
    <col min="11007" max="11011" width="11.04" customWidth="1" hidden="0"/>
    <col min="11012" max="11251" width="10.43" customWidth="1" hidden="0"/>
    <col min="11252" max="11252" width="47.83" customWidth="1" hidden="0"/>
    <col min="11253" max="11254" width="11.04" customWidth="1" hidden="0"/>
    <col min="11255" max="11255" width="12.27" customWidth="1" hidden="0"/>
    <col min="11256" max="11256" width="10.43" customWidth="1" hidden="0"/>
    <col min="11257" max="11257" width="10.79" customWidth="1" hidden="0"/>
    <col min="11258" max="11260" width="11.04" customWidth="1" hidden="0"/>
    <col min="11261" max="11261" width="10.43" customWidth="1" hidden="0"/>
    <col min="11262" max="11262" width="10.79" customWidth="1" hidden="0"/>
    <col min="11263" max="11267" width="11.04" customWidth="1" hidden="0"/>
    <col min="11268" max="11507" width="10.43" customWidth="1" hidden="0"/>
    <col min="11508" max="11508" width="47.83" customWidth="1" hidden="0"/>
    <col min="11509" max="11510" width="11.04" customWidth="1" hidden="0"/>
    <col min="11511" max="11511" width="12.27" customWidth="1" hidden="0"/>
    <col min="11512" max="11512" width="10.43" customWidth="1" hidden="0"/>
    <col min="11513" max="11513" width="10.79" customWidth="1" hidden="0"/>
    <col min="11514" max="11516" width="11.04" customWidth="1" hidden="0"/>
    <col min="11517" max="11517" width="10.43" customWidth="1" hidden="0"/>
    <col min="11518" max="11518" width="10.79" customWidth="1" hidden="0"/>
    <col min="11519" max="11523" width="11.04" customWidth="1" hidden="0"/>
    <col min="11524" max="11763" width="10.43" customWidth="1" hidden="0"/>
    <col min="11764" max="11764" width="47.83" customWidth="1" hidden="0"/>
    <col min="11765" max="11766" width="11.04" customWidth="1" hidden="0"/>
    <col min="11767" max="11767" width="12.27" customWidth="1" hidden="0"/>
    <col min="11768" max="11768" width="10.43" customWidth="1" hidden="0"/>
    <col min="11769" max="11769" width="10.79" customWidth="1" hidden="0"/>
    <col min="11770" max="11772" width="11.04" customWidth="1" hidden="0"/>
    <col min="11773" max="11773" width="10.43" customWidth="1" hidden="0"/>
    <col min="11774" max="11774" width="10.79" customWidth="1" hidden="0"/>
    <col min="11775" max="11779" width="11.04" customWidth="1" hidden="0"/>
    <col min="11780" max="12019" width="10.43" customWidth="1" hidden="0"/>
    <col min="12020" max="12020" width="47.83" customWidth="1" hidden="0"/>
    <col min="12021" max="12022" width="11.04" customWidth="1" hidden="0"/>
    <col min="12023" max="12023" width="12.27" customWidth="1" hidden="0"/>
    <col min="12024" max="12024" width="10.43" customWidth="1" hidden="0"/>
    <col min="12025" max="12025" width="10.79" customWidth="1" hidden="0"/>
    <col min="12026" max="12028" width="11.04" customWidth="1" hidden="0"/>
    <col min="12029" max="12029" width="10.43" customWidth="1" hidden="0"/>
    <col min="12030" max="12030" width="10.79" customWidth="1" hidden="0"/>
    <col min="12031" max="12035" width="11.04" customWidth="1" hidden="0"/>
    <col min="12036" max="12275" width="10.43" customWidth="1" hidden="0"/>
    <col min="12276" max="12276" width="47.83" customWidth="1" hidden="0"/>
    <col min="12277" max="12278" width="11.04" customWidth="1" hidden="0"/>
    <col min="12279" max="12279" width="12.27" customWidth="1" hidden="0"/>
    <col min="12280" max="12280" width="10.43" customWidth="1" hidden="0"/>
    <col min="12281" max="12281" width="10.79" customWidth="1" hidden="0"/>
    <col min="12282" max="12284" width="11.04" customWidth="1" hidden="0"/>
    <col min="12285" max="12285" width="10.43" customWidth="1" hidden="0"/>
    <col min="12286" max="12286" width="10.79" customWidth="1" hidden="0"/>
    <col min="12287" max="12291" width="11.04" customWidth="1" hidden="0"/>
    <col min="12292" max="12531" width="10.43" customWidth="1" hidden="0"/>
    <col min="12532" max="12532" width="47.83" customWidth="1" hidden="0"/>
    <col min="12533" max="12534" width="11.04" customWidth="1" hidden="0"/>
    <col min="12535" max="12535" width="12.27" customWidth="1" hidden="0"/>
    <col min="12536" max="12536" width="10.43" customWidth="1" hidden="0"/>
    <col min="12537" max="12537" width="10.79" customWidth="1" hidden="0"/>
    <col min="12538" max="12540" width="11.04" customWidth="1" hidden="0"/>
    <col min="12541" max="12541" width="10.43" customWidth="1" hidden="0"/>
    <col min="12542" max="12542" width="10.79" customWidth="1" hidden="0"/>
    <col min="12543" max="12547" width="11.04" customWidth="1" hidden="0"/>
    <col min="12548" max="12787" width="10.43" customWidth="1" hidden="0"/>
    <col min="12788" max="12788" width="47.83" customWidth="1" hidden="0"/>
    <col min="12789" max="12790" width="11.04" customWidth="1" hidden="0"/>
    <col min="12791" max="12791" width="12.27" customWidth="1" hidden="0"/>
    <col min="12792" max="12792" width="10.43" customWidth="1" hidden="0"/>
    <col min="12793" max="12793" width="10.79" customWidth="1" hidden="0"/>
    <col min="12794" max="12796" width="11.04" customWidth="1" hidden="0"/>
    <col min="12797" max="12797" width="10.43" customWidth="1" hidden="0"/>
    <col min="12798" max="12798" width="10.79" customWidth="1" hidden="0"/>
    <col min="12799" max="12803" width="11.04" customWidth="1" hidden="0"/>
    <col min="12804" max="13043" width="10.43" customWidth="1" hidden="0"/>
    <col min="13044" max="13044" width="47.83" customWidth="1" hidden="0"/>
    <col min="13045" max="13046" width="11.04" customWidth="1" hidden="0"/>
    <col min="13047" max="13047" width="12.27" customWidth="1" hidden="0"/>
    <col min="13048" max="13048" width="10.43" customWidth="1" hidden="0"/>
    <col min="13049" max="13049" width="10.79" customWidth="1" hidden="0"/>
    <col min="13050" max="13052" width="11.04" customWidth="1" hidden="0"/>
    <col min="13053" max="13053" width="10.43" customWidth="1" hidden="0"/>
    <col min="13054" max="13054" width="10.79" customWidth="1" hidden="0"/>
    <col min="13055" max="13059" width="11.04" customWidth="1" hidden="0"/>
    <col min="13060" max="13299" width="10.43" customWidth="1" hidden="0"/>
    <col min="13300" max="13300" width="47.83" customWidth="1" hidden="0"/>
    <col min="13301" max="13302" width="11.04" customWidth="1" hidden="0"/>
    <col min="13303" max="13303" width="12.27" customWidth="1" hidden="0"/>
    <col min="13304" max="13304" width="10.43" customWidth="1" hidden="0"/>
    <col min="13305" max="13305" width="10.79" customWidth="1" hidden="0"/>
    <col min="13306" max="13308" width="11.04" customWidth="1" hidden="0"/>
    <col min="13309" max="13309" width="10.43" customWidth="1" hidden="0"/>
    <col min="13310" max="13310" width="10.79" customWidth="1" hidden="0"/>
    <col min="13311" max="13315" width="11.04" customWidth="1" hidden="0"/>
    <col min="13316" max="13555" width="10.43" customWidth="1" hidden="0"/>
    <col min="13556" max="13556" width="47.83" customWidth="1" hidden="0"/>
    <col min="13557" max="13558" width="11.04" customWidth="1" hidden="0"/>
    <col min="13559" max="13559" width="12.27" customWidth="1" hidden="0"/>
    <col min="13560" max="13560" width="10.43" customWidth="1" hidden="0"/>
    <col min="13561" max="13561" width="10.79" customWidth="1" hidden="0"/>
    <col min="13562" max="13564" width="11.04" customWidth="1" hidden="0"/>
    <col min="13565" max="13565" width="10.43" customWidth="1" hidden="0"/>
    <col min="13566" max="13566" width="10.79" customWidth="1" hidden="0"/>
    <col min="13567" max="13571" width="11.04" customWidth="1" hidden="0"/>
    <col min="13572" max="13811" width="10.43" customWidth="1" hidden="0"/>
    <col min="13812" max="13812" width="47.83" customWidth="1" hidden="0"/>
    <col min="13813" max="13814" width="11.04" customWidth="1" hidden="0"/>
    <col min="13815" max="13815" width="12.27" customWidth="1" hidden="0"/>
    <col min="13816" max="13816" width="10.43" customWidth="1" hidden="0"/>
    <col min="13817" max="13817" width="10.79" customWidth="1" hidden="0"/>
    <col min="13818" max="13820" width="11.04" customWidth="1" hidden="0"/>
    <col min="13821" max="13821" width="10.43" customWidth="1" hidden="0"/>
    <col min="13822" max="13822" width="10.79" customWidth="1" hidden="0"/>
    <col min="13823" max="13827" width="11.04" customWidth="1" hidden="0"/>
    <col min="13828" max="14067" width="10.43" customWidth="1" hidden="0"/>
    <col min="14068" max="14068" width="47.83" customWidth="1" hidden="0"/>
    <col min="14069" max="14070" width="11.04" customWidth="1" hidden="0"/>
    <col min="14071" max="14071" width="12.27" customWidth="1" hidden="0"/>
    <col min="14072" max="14072" width="10.43" customWidth="1" hidden="0"/>
    <col min="14073" max="14073" width="10.79" customWidth="1" hidden="0"/>
    <col min="14074" max="14076" width="11.04" customWidth="1" hidden="0"/>
    <col min="14077" max="14077" width="10.43" customWidth="1" hidden="0"/>
    <col min="14078" max="14078" width="10.79" customWidth="1" hidden="0"/>
    <col min="14079" max="14083" width="11.04" customWidth="1" hidden="0"/>
    <col min="14084" max="14323" width="10.43" customWidth="1" hidden="0"/>
    <col min="14324" max="14324" width="47.83" customWidth="1" hidden="0"/>
    <col min="14325" max="14326" width="11.04" customWidth="1" hidden="0"/>
    <col min="14327" max="14327" width="12.27" customWidth="1" hidden="0"/>
    <col min="14328" max="14328" width="10.43" customWidth="1" hidden="0"/>
    <col min="14329" max="14329" width="10.79" customWidth="1" hidden="0"/>
    <col min="14330" max="14332" width="11.04" customWidth="1" hidden="0"/>
    <col min="14333" max="14333" width="10.43" customWidth="1" hidden="0"/>
    <col min="14334" max="14334" width="10.79" customWidth="1" hidden="0"/>
    <col min="14335" max="14339" width="11.04" customWidth="1" hidden="0"/>
    <col min="14340" max="14579" width="10.43" customWidth="1" hidden="0"/>
    <col min="14580" max="14580" width="47.83" customWidth="1" hidden="0"/>
    <col min="14581" max="14582" width="11.04" customWidth="1" hidden="0"/>
    <col min="14583" max="14583" width="12.27" customWidth="1" hidden="0"/>
    <col min="14584" max="14584" width="10.43" customWidth="1" hidden="0"/>
    <col min="14585" max="14585" width="10.79" customWidth="1" hidden="0"/>
    <col min="14586" max="14588" width="11.04" customWidth="1" hidden="0"/>
    <col min="14589" max="14589" width="10.43" customWidth="1" hidden="0"/>
    <col min="14590" max="14590" width="10.79" customWidth="1" hidden="0"/>
    <col min="14591" max="14595" width="11.04" customWidth="1" hidden="0"/>
    <col min="14596" max="14835" width="10.43" customWidth="1" hidden="0"/>
    <col min="14836" max="14836" width="47.83" customWidth="1" hidden="0"/>
    <col min="14837" max="14838" width="11.04" customWidth="1" hidden="0"/>
    <col min="14839" max="14839" width="12.27" customWidth="1" hidden="0"/>
    <col min="14840" max="14840" width="10.43" customWidth="1" hidden="0"/>
    <col min="14841" max="14841" width="10.79" customWidth="1" hidden="0"/>
    <col min="14842" max="14844" width="11.04" customWidth="1" hidden="0"/>
    <col min="14845" max="14845" width="10.43" customWidth="1" hidden="0"/>
    <col min="14846" max="14846" width="10.79" customWidth="1" hidden="0"/>
    <col min="14847" max="14851" width="11.04" customWidth="1" hidden="0"/>
    <col min="14852" max="15091" width="10.43" customWidth="1" hidden="0"/>
    <col min="15092" max="15092" width="47.83" customWidth="1" hidden="0"/>
    <col min="15093" max="15094" width="11.04" customWidth="1" hidden="0"/>
    <col min="15095" max="15095" width="12.27" customWidth="1" hidden="0"/>
    <col min="15096" max="15096" width="10.43" customWidth="1" hidden="0"/>
    <col min="15097" max="15097" width="10.79" customWidth="1" hidden="0"/>
    <col min="15098" max="15100" width="11.04" customWidth="1" hidden="0"/>
    <col min="15101" max="15101" width="10.43" customWidth="1" hidden="0"/>
    <col min="15102" max="15102" width="10.79" customWidth="1" hidden="0"/>
    <col min="15103" max="15107" width="11.04" customWidth="1" hidden="0"/>
    <col min="15108" max="15347" width="10.43" customWidth="1" hidden="0"/>
    <col min="15348" max="15348" width="47.83" customWidth="1" hidden="0"/>
    <col min="15349" max="15350" width="11.04" customWidth="1" hidden="0"/>
    <col min="15351" max="15351" width="12.27" customWidth="1" hidden="0"/>
    <col min="15352" max="15352" width="10.43" customWidth="1" hidden="0"/>
    <col min="15353" max="15353" width="10.79" customWidth="1" hidden="0"/>
    <col min="15354" max="15356" width="11.04" customWidth="1" hidden="0"/>
    <col min="15357" max="15357" width="10.43" customWidth="1" hidden="0"/>
    <col min="15358" max="15358" width="10.79" customWidth="1" hidden="0"/>
    <col min="15359" max="15363" width="11.04" customWidth="1" hidden="0"/>
    <col min="15364" max="15603" width="10.43" customWidth="1" hidden="0"/>
    <col min="15604" max="15604" width="47.83" customWidth="1" hidden="0"/>
    <col min="15605" max="15606" width="11.04" customWidth="1" hidden="0"/>
    <col min="15607" max="15607" width="12.27" customWidth="1" hidden="0"/>
    <col min="15608" max="15608" width="10.43" customWidth="1" hidden="0"/>
    <col min="15609" max="15609" width="10.79" customWidth="1" hidden="0"/>
    <col min="15610" max="15612" width="11.04" customWidth="1" hidden="0"/>
    <col min="15613" max="15613" width="10.43" customWidth="1" hidden="0"/>
    <col min="15614" max="15614" width="10.79" customWidth="1" hidden="0"/>
    <col min="15615" max="15619" width="11.04" customWidth="1" hidden="0"/>
    <col min="15620" max="15859" width="10.43" customWidth="1" hidden="0"/>
    <col min="15860" max="15860" width="47.83" customWidth="1" hidden="0"/>
    <col min="15861" max="15862" width="11.04" customWidth="1" hidden="0"/>
    <col min="15863" max="15863" width="12.27" customWidth="1" hidden="0"/>
    <col min="15864" max="15864" width="10.43" customWidth="1" hidden="0"/>
    <col min="15865" max="15865" width="10.79" customWidth="1" hidden="0"/>
    <col min="15866" max="15868" width="11.04" customWidth="1" hidden="0"/>
    <col min="15869" max="15869" width="10.43" customWidth="1" hidden="0"/>
    <col min="15870" max="15870" width="10.79" customWidth="1" hidden="0"/>
    <col min="15871" max="15875" width="11.04" customWidth="1" hidden="0"/>
    <col min="15876" max="16115" width="10.43" customWidth="1" hidden="0"/>
    <col min="16116" max="16116" width="47.83" customWidth="1" hidden="0"/>
    <col min="16117" max="16118" width="11.04" customWidth="1" hidden="0"/>
    <col min="16119" max="16119" width="12.27" customWidth="1" hidden="0"/>
    <col min="16120" max="16120" width="10.43" customWidth="1" hidden="0"/>
    <col min="16121" max="16121" width="10.79" customWidth="1" hidden="0"/>
    <col min="16122" max="16124" width="11.04" customWidth="1" hidden="0"/>
    <col min="16125" max="16125" width="10.43" customWidth="1" hidden="0"/>
    <col min="16126" max="16126" width="10.79" customWidth="1" hidden="0"/>
    <col min="16127" max="16131" width="11.04" customWidth="1" hidden="0"/>
    <col min="16132" max="16384" width="10.43" customWidth="1" hidden="0"/>
  </cols>
  <sheetData>
    <row r="2" ht="14.25" customHeight="true">
      <c r="A2" s="40">
        <f>=+CCF!A2</f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ht="13.50" customHeight="true">
      <c r="A3" s="42" t="s">
        <v>25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ht="13.50" customHeight="true">
      <c r="B4" s="44"/>
    </row>
    <row r="6" ht="13.50" customHeight="true">
      <c r="B6" s="45">
        <v>2014</v>
      </c>
      <c r="C6" s="46">
        <v>2015</v>
      </c>
      <c r="D6" s="46">
        <v>2016</v>
      </c>
      <c r="E6" s="46">
        <v>2017</v>
      </c>
      <c r="F6" s="46">
        <v>2018</v>
      </c>
      <c r="G6" s="46">
        <v>2019</v>
      </c>
      <c r="H6" s="46">
        <v>2020</v>
      </c>
      <c r="I6" s="46">
        <v>2021</v>
      </c>
      <c r="J6" s="46">
        <v>2022</v>
      </c>
      <c r="K6" s="46">
        <v>2023</v>
      </c>
      <c r="L6" s="46">
        <v>2024</v>
      </c>
    </row>
    <row r="7" ht="13.50" customHeight="true">
      <c r="C7" s="47"/>
      <c r="D7" s="47"/>
      <c r="E7" s="47"/>
      <c r="F7" s="47"/>
      <c r="G7" s="47"/>
      <c r="H7" s="47"/>
      <c r="I7" s="47"/>
      <c r="J7" s="47"/>
      <c r="K7" s="47"/>
      <c r="L7" s="47"/>
    </row>
    <row r="8" ht="13.50" customHeight="true">
      <c r="A8" s="48" t="s">
        <v>26</v>
      </c>
      <c r="B8" s="44">
        <v>0</v>
      </c>
      <c r="C8" s="44">
        <v>0</v>
      </c>
      <c r="D8" s="44">
        <v>0</v>
      </c>
      <c r="E8" s="44">
        <v>65148</v>
      </c>
      <c r="F8" s="44">
        <v>47265</v>
      </c>
      <c r="G8" s="44">
        <v>63635</v>
      </c>
      <c r="H8" s="44">
        <v>0</v>
      </c>
      <c r="I8" s="44">
        <v>119623.183083001</v>
      </c>
      <c r="J8" s="44">
        <v>0</v>
      </c>
      <c r="K8" s="44">
        <v>0</v>
      </c>
      <c r="L8" s="44">
        <f>=+CCF!D84</f>
      </c>
    </row>
    <row r="9" ht="13.50" customHeight="true">
      <c r="A9" s="48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ht="13.50" customHeight="true">
      <c r="A10" s="48" t="s">
        <v>27</v>
      </c>
      <c r="B10" s="44">
        <f>=+B8*0.3</f>
      </c>
      <c r="C10" s="44">
        <f>=+C8*0.3</f>
      </c>
      <c r="D10" s="44">
        <f ref="D10:I10" t="shared" si="16">=+D8*0.3</f>
      </c>
      <c r="E10" s="44">
        <f t="shared" si="16"/>
      </c>
      <c r="F10" s="44">
        <f t="shared" si="16"/>
      </c>
      <c r="G10" s="44">
        <f t="shared" si="16"/>
      </c>
      <c r="H10" s="44">
        <f t="shared" si="16"/>
      </c>
      <c r="I10" s="44">
        <f t="shared" si="16"/>
      </c>
      <c r="J10" s="44">
        <f ref="J10:L10" t="shared" si="17">=+J8*0.3</f>
      </c>
      <c r="K10" s="44">
        <v>0</v>
      </c>
      <c r="L10" s="44">
        <f t="shared" si="17"/>
      </c>
    </row>
    <row r="11" ht="13.50" customHeight="true">
      <c r="A11" s="48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ht="13.50" customHeight="true">
      <c r="A12" s="48" t="s">
        <v>28</v>
      </c>
      <c r="B12" s="44">
        <v>0</v>
      </c>
      <c r="C12" s="44">
        <v>0</v>
      </c>
      <c r="D12" s="44">
        <v>0</v>
      </c>
      <c r="E12" s="44">
        <v>0</v>
      </c>
      <c r="F12" s="44">
        <v>34061</v>
      </c>
      <c r="G12" s="44">
        <v>97565</v>
      </c>
      <c r="H12" s="44">
        <v>2515</v>
      </c>
      <c r="I12" s="44">
        <v>269252.4</v>
      </c>
      <c r="J12" s="44">
        <v>147060</v>
      </c>
      <c r="K12" s="44">
        <v>133883.309999999</v>
      </c>
      <c r="L12" s="44">
        <f>=+CCF!B55</f>
      </c>
    </row>
    <row r="13" ht="13.50" customHeight="true">
      <c r="A13" s="48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14" ht="13.50" customHeight="true">
      <c r="A14" s="48" t="s">
        <v>29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</row>
    <row r="15" ht="13.50" customHeight="true">
      <c r="A15" s="48"/>
      <c r="B15" s="44"/>
    </row>
    <row r="16" ht="13.50" customHeight="true">
      <c r="A16" s="48" t="s">
        <v>30</v>
      </c>
      <c r="B16" s="44"/>
    </row>
    <row r="17" ht="13.50" customHeight="true">
      <c r="A17" s="48"/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ht="13.50" customHeight="true">
      <c r="A18" s="48"/>
      <c r="B18" s="44"/>
    </row>
    <row r="19" ht="13.50" customHeight="true">
      <c r="A19" s="48" t="s">
        <v>31</v>
      </c>
      <c r="B19" s="44">
        <f ref="B19:C19" t="shared" si="21">=+B8-B10-B12-B14-B16</f>
      </c>
      <c r="C19" s="51">
        <f t="shared" si="21"/>
      </c>
      <c r="D19" s="51">
        <f>=+D8-D10-D12-D14-D16</f>
      </c>
      <c r="E19" s="44">
        <f ref="E19:H19" t="shared" si="22">=+E8-E10-E12-E14-E16</f>
      </c>
      <c r="F19" s="44">
        <f t="shared" si="22"/>
      </c>
      <c r="G19" s="44">
        <f t="shared" si="22"/>
      </c>
      <c r="H19" s="44">
        <f t="shared" si="22"/>
      </c>
      <c r="I19" s="44">
        <f>=+I8-I10-I12-I14-I16</f>
      </c>
      <c r="J19" s="44">
        <f>=+J8-J10-J12-J14-J16</f>
      </c>
      <c r="K19" s="44">
        <f>=+K8-K10-K12-K14-K16</f>
      </c>
      <c r="L19" s="44">
        <f>=+L8-L10-L12-L14-L16</f>
      </c>
    </row>
    <row r="20" ht="13.50" customHeight="true">
      <c r="B20" s="52"/>
    </row>
    <row r="21" ht="13.50" customHeight="true">
      <c r="B21" s="44"/>
    </row>
    <row r="22" ht="14.25" customHeight="true">
      <c r="A22" s="48"/>
      <c r="B22" s="53" t="s">
        <v>32</v>
      </c>
      <c r="C22" s="54">
        <f>=+B25</f>
      </c>
      <c r="D22" s="54">
        <f ref="D22:G23" t="shared" si="14">=+C25</f>
      </c>
      <c r="E22" s="54">
        <f t="shared" si="14"/>
      </c>
      <c r="F22" s="54">
        <f t="shared" si="14"/>
      </c>
      <c r="G22" s="54">
        <f t="shared" si="14"/>
      </c>
      <c r="H22" s="54">
        <f ref="H22:I23" t="shared" si="15">=+G25</f>
      </c>
      <c r="I22" s="54">
        <f t="shared" si="15"/>
      </c>
      <c r="J22" s="54" t="s">
        <v>33</v>
      </c>
      <c r="K22" s="54" t="s">
        <v>34</v>
      </c>
      <c r="L22" s="54">
        <f>=+K25</f>
      </c>
    </row>
    <row r="23" ht="14.25" customHeight="true">
      <c r="B23" s="55">
        <v>83.7699999999999</v>
      </c>
      <c r="C23" s="56">
        <f>=+B26</f>
      </c>
      <c r="D23" s="56">
        <f>=+C26</f>
      </c>
      <c r="E23" s="56">
        <f>=+D26</f>
      </c>
      <c r="F23" s="56">
        <f t="shared" si="14"/>
      </c>
      <c r="G23" s="56">
        <f>=+F26</f>
      </c>
      <c r="H23" s="56">
        <f t="shared" si="15"/>
      </c>
      <c r="I23" s="56">
        <f t="shared" si="15"/>
      </c>
      <c r="J23" s="56">
        <v>117.308</v>
      </c>
      <c r="K23" s="56">
        <v>126.477999999999</v>
      </c>
      <c r="L23" s="56">
        <f>=+K26</f>
      </c>
    </row>
    <row r="24" ht="13.50" customHeight="true">
      <c r="B24" s="44"/>
      <c r="C24" s="51"/>
    </row>
    <row r="25" ht="14.25" customHeight="true">
      <c r="B25" s="53" t="s">
        <v>35</v>
      </c>
      <c r="C25" s="54" t="s">
        <v>36</v>
      </c>
      <c r="D25" s="54" t="s">
        <v>37</v>
      </c>
      <c r="E25" s="54" t="s">
        <v>38</v>
      </c>
      <c r="F25" s="54" t="s">
        <v>39</v>
      </c>
      <c r="G25" s="54" t="s">
        <v>40</v>
      </c>
      <c r="H25" s="54" t="s">
        <v>41</v>
      </c>
      <c r="I25" s="54" t="s">
        <v>33</v>
      </c>
      <c r="J25" s="54" t="s">
        <v>34</v>
      </c>
      <c r="K25" s="54" t="s">
        <v>42</v>
      </c>
      <c r="L25" s="54" t="s">
        <v>43</v>
      </c>
    </row>
    <row r="26" ht="14.25" customHeight="true">
      <c r="B26" s="55">
        <v>87.1889999999999</v>
      </c>
      <c r="C26" s="51">
        <v>89.0469999999999</v>
      </c>
      <c r="D26" s="51">
        <v>92.039</v>
      </c>
      <c r="E26" s="51">
        <v>98.2729999999999</v>
      </c>
      <c r="F26" s="51">
        <v>103.019999999999</v>
      </c>
      <c r="G26" s="51">
        <v>105.933999999999</v>
      </c>
      <c r="H26" s="51">
        <v>109.271</v>
      </c>
      <c r="I26" s="51">
        <v>117.308</v>
      </c>
      <c r="J26" s="51">
        <v>126.477999999999</v>
      </c>
      <c r="K26" s="51">
        <v>132.372999999999</v>
      </c>
      <c r="L26" s="51">
        <v>137.949</v>
      </c>
    </row>
    <row r="27" ht="13.50" customHeight="true">
      <c r="B27" s="44"/>
    </row>
    <row r="28" ht="14.25" customHeight="true">
      <c r="A28" s="57" t="s">
        <v>44</v>
      </c>
      <c r="B28" s="53">
        <f>=TRUNC(B26/B23,4)</f>
      </c>
      <c r="C28" s="54">
        <f ref="C28:H28" t="shared" si="20">=TRUNC(C26/C23,4)</f>
      </c>
      <c r="D28" s="54">
        <f t="shared" si="20"/>
      </c>
      <c r="E28" s="54">
        <f t="shared" si="20"/>
      </c>
      <c r="F28" s="54">
        <f t="shared" si="20"/>
      </c>
      <c r="G28" s="54">
        <f t="shared" si="20"/>
      </c>
      <c r="H28" s="54">
        <f t="shared" si="20"/>
      </c>
      <c r="I28" s="54">
        <f>=TRUNC(I26/I23,4)</f>
      </c>
      <c r="J28" s="54">
        <f>=TRUNC(J26/J23,4)</f>
      </c>
      <c r="K28" s="54">
        <f>=TRUNC(K26/K23,4)</f>
      </c>
      <c r="L28" s="54">
        <f>=TRUNC(L26/L23,4)</f>
      </c>
    </row>
    <row r="29" ht="13.50" customHeight="true">
      <c r="B29" s="44"/>
    </row>
    <row r="30" ht="13.50" customHeight="true">
      <c r="B30" s="44"/>
    </row>
    <row r="31" ht="13.50" customHeight="true">
      <c r="B31" s="44"/>
    </row>
    <row r="32" ht="13.50" customHeight="true">
      <c r="B32" s="44"/>
    </row>
    <row r="33" ht="13.50" customHeight="true">
      <c r="B33" s="44"/>
    </row>
    <row r="34" ht="13.50" customHeight="true">
      <c r="B34" s="44"/>
    </row>
    <row r="35" ht="13.50" customHeight="true">
      <c r="B35" s="44"/>
    </row>
    <row r="36" ht="14.25" customHeight="true">
      <c r="A36" s="57" t="s">
        <v>45</v>
      </c>
      <c r="B36" s="44">
        <v>0</v>
      </c>
      <c r="C36" s="51">
        <f ref="C36:E36" t="shared" si="18">=+B39</f>
      </c>
      <c r="D36" s="51">
        <f t="shared" si="18"/>
      </c>
      <c r="E36" s="51">
        <f t="shared" si="18"/>
      </c>
      <c r="F36" s="51">
        <f>=+E39</f>
      </c>
      <c r="G36" s="51">
        <f>=+F39</f>
      </c>
      <c r="H36" s="51">
        <f>=+G39</f>
      </c>
      <c r="I36" s="51">
        <f>=+H39</f>
      </c>
      <c r="J36" s="51">
        <f ref="J36:L36" t="shared" si="19">=+I39</f>
      </c>
      <c r="K36" s="51">
        <f t="shared" si="19"/>
      </c>
      <c r="L36" s="51">
        <f t="shared" si="19"/>
      </c>
    </row>
    <row r="37" ht="13.50" customHeight="true">
      <c r="B37" s="44"/>
    </row>
    <row r="38" ht="14.25" customHeight="true">
      <c r="A38" s="57" t="s">
        <v>46</v>
      </c>
      <c r="B38" s="58">
        <f>=+B36*B28</f>
      </c>
      <c r="C38" s="59">
        <f ref="C38:E38" t="shared" si="12">=+C36*C28</f>
      </c>
      <c r="D38" s="59">
        <f t="shared" si="12"/>
      </c>
      <c r="E38" s="59">
        <f t="shared" si="12"/>
      </c>
      <c r="F38" s="59">
        <f ref="F38:H38" t="shared" si="13">=+F36*F28</f>
      </c>
      <c r="G38" s="59">
        <f t="shared" si="13"/>
      </c>
      <c r="H38" s="59">
        <f t="shared" si="13"/>
      </c>
      <c r="I38" s="59">
        <f>=+I36*I28</f>
      </c>
      <c r="J38" s="59">
        <f>=+J36*J28</f>
      </c>
      <c r="K38" s="59">
        <f>=+K36*K28</f>
      </c>
      <c r="L38" s="59">
        <f>=+L36*L28</f>
      </c>
    </row>
    <row r="39" ht="14.25" customHeight="true">
      <c r="A39" s="57" t="s">
        <v>47</v>
      </c>
      <c r="B39" s="53">
        <f ref="B39:H39" t="shared" si="23">=+B38+B19</f>
      </c>
      <c r="C39" s="54">
        <f t="shared" si="23"/>
      </c>
      <c r="D39" s="54">
        <f t="shared" si="23"/>
      </c>
      <c r="E39" s="54">
        <f t="shared" si="23"/>
      </c>
      <c r="F39" s="54">
        <f t="shared" si="23"/>
      </c>
      <c r="G39" s="54">
        <f>=+G38+G19</f>
      </c>
      <c r="H39" s="54">
        <f t="shared" si="23"/>
      </c>
      <c r="I39" s="54">
        <f>=+I38+I19</f>
      </c>
      <c r="J39" s="54">
        <f>=+J38+J19</f>
      </c>
      <c r="K39" s="54">
        <f>=+K38+K19</f>
      </c>
      <c r="L39" s="54">
        <f>=+L38+L19</f>
      </c>
    </row>
    <row r="46" ht="13.50" customHeight="true">
      <c r="C46" s="52"/>
      <c r="D46" s="52"/>
      <c r="E46" s="52"/>
      <c r="F46" s="52"/>
      <c r="G46" s="52"/>
      <c r="H46" s="52"/>
      <c r="I46" s="52"/>
      <c r="J46" s="52"/>
      <c r="K46" s="52"/>
      <c r="L46" s="52"/>
    </row>
    <row r="47" ht="13.50" customHeight="true">
      <c r="C47" s="52"/>
      <c r="D47" s="52"/>
      <c r="E47" s="52"/>
      <c r="F47" s="52"/>
      <c r="G47" s="52"/>
      <c r="H47" s="52"/>
      <c r="I47" s="52"/>
      <c r="J47" s="52"/>
      <c r="K47" s="52"/>
      <c r="L47" s="52"/>
    </row>
    <row r="48" ht="13.50" customHeight="true">
      <c r="C48" s="52"/>
      <c r="D48" s="52"/>
      <c r="E48" s="52"/>
      <c r="F48" s="52"/>
      <c r="G48" s="52"/>
      <c r="H48" s="52"/>
      <c r="I48" s="52"/>
      <c r="J48" s="52"/>
      <c r="K48" s="52"/>
      <c r="L48" s="52"/>
    </row>
  </sheetData>
  <mergeCells count="2">
    <mergeCell ref="A2:L2"/>
    <mergeCell ref="A3:L3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34"/>
  <cols>
    <col min="1" max="1" width="74.20" customWidth="1" hidden="0"/>
    <col min="2" max="5" width="15.45" customWidth="1" hidden="0"/>
    <col min="6" max="6" width="19.13" customWidth="1" hidden="0"/>
    <col min="7" max="7" width="18.03" customWidth="1" hidden="0"/>
    <col min="8" max="8" width="14.10" customWidth="1" hidden="0"/>
    <col min="9" max="9" width="15.70" customWidth="1" hidden="0"/>
    <col min="257" max="257" width="74.20" customWidth="1" hidden="0"/>
    <col min="258" max="261" width="15.45" customWidth="1" hidden="0"/>
    <col min="262" max="262" width="17.66" customWidth="1" hidden="0"/>
    <col min="263" max="263" width="18.03" customWidth="1" hidden="0"/>
    <col min="513" max="513" width="74.20" customWidth="1" hidden="0"/>
    <col min="514" max="517" width="15.45" customWidth="1" hidden="0"/>
    <col min="518" max="518" width="17.66" customWidth="1" hidden="0"/>
    <col min="519" max="519" width="18.03" customWidth="1" hidden="0"/>
    <col min="769" max="769" width="74.20" customWidth="1" hidden="0"/>
    <col min="770" max="773" width="15.45" customWidth="1" hidden="0"/>
    <col min="774" max="774" width="17.66" customWidth="1" hidden="0"/>
    <col min="775" max="775" width="18.03" customWidth="1" hidden="0"/>
    <col min="1025" max="1025" width="74.20" customWidth="1" hidden="0"/>
    <col min="1026" max="1029" width="15.45" customWidth="1" hidden="0"/>
    <col min="1030" max="1030" width="17.66" customWidth="1" hidden="0"/>
    <col min="1031" max="1031" width="18.03" customWidth="1" hidden="0"/>
    <col min="1281" max="1281" width="74.20" customWidth="1" hidden="0"/>
    <col min="1282" max="1285" width="15.45" customWidth="1" hidden="0"/>
    <col min="1286" max="1286" width="17.66" customWidth="1" hidden="0"/>
    <col min="1287" max="1287" width="18.03" customWidth="1" hidden="0"/>
    <col min="1537" max="1537" width="74.20" customWidth="1" hidden="0"/>
    <col min="1538" max="1541" width="15.45" customWidth="1" hidden="0"/>
    <col min="1542" max="1542" width="17.66" customWidth="1" hidden="0"/>
    <col min="1543" max="1543" width="18.03" customWidth="1" hidden="0"/>
    <col min="1793" max="1793" width="74.20" customWidth="1" hidden="0"/>
    <col min="1794" max="1797" width="15.45" customWidth="1" hidden="0"/>
    <col min="1798" max="1798" width="17.66" customWidth="1" hidden="0"/>
    <col min="1799" max="1799" width="18.03" customWidth="1" hidden="0"/>
    <col min="2049" max="2049" width="74.20" customWidth="1" hidden="0"/>
    <col min="2050" max="2053" width="15.45" customWidth="1" hidden="0"/>
    <col min="2054" max="2054" width="17.66" customWidth="1" hidden="0"/>
    <col min="2055" max="2055" width="18.03" customWidth="1" hidden="0"/>
    <col min="2305" max="2305" width="74.20" customWidth="1" hidden="0"/>
    <col min="2306" max="2309" width="15.45" customWidth="1" hidden="0"/>
    <col min="2310" max="2310" width="17.66" customWidth="1" hidden="0"/>
    <col min="2311" max="2311" width="18.03" customWidth="1" hidden="0"/>
    <col min="2561" max="2561" width="74.20" customWidth="1" hidden="0"/>
    <col min="2562" max="2565" width="15.45" customWidth="1" hidden="0"/>
    <col min="2566" max="2566" width="17.66" customWidth="1" hidden="0"/>
    <col min="2567" max="2567" width="18.03" customWidth="1" hidden="0"/>
    <col min="2817" max="2817" width="74.20" customWidth="1" hidden="0"/>
    <col min="2818" max="2821" width="15.45" customWidth="1" hidden="0"/>
    <col min="2822" max="2822" width="17.66" customWidth="1" hidden="0"/>
    <col min="2823" max="2823" width="18.03" customWidth="1" hidden="0"/>
    <col min="3073" max="3073" width="74.20" customWidth="1" hidden="0"/>
    <col min="3074" max="3077" width="15.45" customWidth="1" hidden="0"/>
    <col min="3078" max="3078" width="17.66" customWidth="1" hidden="0"/>
    <col min="3079" max="3079" width="18.03" customWidth="1" hidden="0"/>
    <col min="3329" max="3329" width="74.20" customWidth="1" hidden="0"/>
    <col min="3330" max="3333" width="15.45" customWidth="1" hidden="0"/>
    <col min="3334" max="3334" width="17.66" customWidth="1" hidden="0"/>
    <col min="3335" max="3335" width="18.03" customWidth="1" hidden="0"/>
    <col min="3585" max="3585" width="74.20" customWidth="1" hidden="0"/>
    <col min="3586" max="3589" width="15.45" customWidth="1" hidden="0"/>
    <col min="3590" max="3590" width="17.66" customWidth="1" hidden="0"/>
    <col min="3591" max="3591" width="18.03" customWidth="1" hidden="0"/>
    <col min="3841" max="3841" width="74.20" customWidth="1" hidden="0"/>
    <col min="3842" max="3845" width="15.45" customWidth="1" hidden="0"/>
    <col min="3846" max="3846" width="17.66" customWidth="1" hidden="0"/>
    <col min="3847" max="3847" width="18.03" customWidth="1" hidden="0"/>
    <col min="4097" max="4097" width="74.20" customWidth="1" hidden="0"/>
    <col min="4098" max="4101" width="15.45" customWidth="1" hidden="0"/>
    <col min="4102" max="4102" width="17.66" customWidth="1" hidden="0"/>
    <col min="4103" max="4103" width="18.03" customWidth="1" hidden="0"/>
    <col min="4353" max="4353" width="74.20" customWidth="1" hidden="0"/>
    <col min="4354" max="4357" width="15.45" customWidth="1" hidden="0"/>
    <col min="4358" max="4358" width="17.66" customWidth="1" hidden="0"/>
    <col min="4359" max="4359" width="18.03" customWidth="1" hidden="0"/>
    <col min="4609" max="4609" width="74.20" customWidth="1" hidden="0"/>
    <col min="4610" max="4613" width="15.45" customWidth="1" hidden="0"/>
    <col min="4614" max="4614" width="17.66" customWidth="1" hidden="0"/>
    <col min="4615" max="4615" width="18.03" customWidth="1" hidden="0"/>
    <col min="4865" max="4865" width="74.20" customWidth="1" hidden="0"/>
    <col min="4866" max="4869" width="15.45" customWidth="1" hidden="0"/>
    <col min="4870" max="4870" width="17.66" customWidth="1" hidden="0"/>
    <col min="4871" max="4871" width="18.03" customWidth="1" hidden="0"/>
    <col min="5121" max="5121" width="74.20" customWidth="1" hidden="0"/>
    <col min="5122" max="5125" width="15.45" customWidth="1" hidden="0"/>
    <col min="5126" max="5126" width="17.66" customWidth="1" hidden="0"/>
    <col min="5127" max="5127" width="18.03" customWidth="1" hidden="0"/>
    <col min="5377" max="5377" width="74.20" customWidth="1" hidden="0"/>
    <col min="5378" max="5381" width="15.45" customWidth="1" hidden="0"/>
    <col min="5382" max="5382" width="17.66" customWidth="1" hidden="0"/>
    <col min="5383" max="5383" width="18.03" customWidth="1" hidden="0"/>
    <col min="5633" max="5633" width="74.20" customWidth="1" hidden="0"/>
    <col min="5634" max="5637" width="15.45" customWidth="1" hidden="0"/>
    <col min="5638" max="5638" width="17.66" customWidth="1" hidden="0"/>
    <col min="5639" max="5639" width="18.03" customWidth="1" hidden="0"/>
    <col min="5889" max="5889" width="74.20" customWidth="1" hidden="0"/>
    <col min="5890" max="5893" width="15.45" customWidth="1" hidden="0"/>
    <col min="5894" max="5894" width="17.66" customWidth="1" hidden="0"/>
    <col min="5895" max="5895" width="18.03" customWidth="1" hidden="0"/>
    <col min="6145" max="6145" width="74.20" customWidth="1" hidden="0"/>
    <col min="6146" max="6149" width="15.45" customWidth="1" hidden="0"/>
    <col min="6150" max="6150" width="17.66" customWidth="1" hidden="0"/>
    <col min="6151" max="6151" width="18.03" customWidth="1" hidden="0"/>
    <col min="6401" max="6401" width="74.20" customWidth="1" hidden="0"/>
    <col min="6402" max="6405" width="15.45" customWidth="1" hidden="0"/>
    <col min="6406" max="6406" width="17.66" customWidth="1" hidden="0"/>
    <col min="6407" max="6407" width="18.03" customWidth="1" hidden="0"/>
    <col min="6657" max="6657" width="74.20" customWidth="1" hidden="0"/>
    <col min="6658" max="6661" width="15.45" customWidth="1" hidden="0"/>
    <col min="6662" max="6662" width="17.66" customWidth="1" hidden="0"/>
    <col min="6663" max="6663" width="18.03" customWidth="1" hidden="0"/>
    <col min="6913" max="6913" width="74.20" customWidth="1" hidden="0"/>
    <col min="6914" max="6917" width="15.45" customWidth="1" hidden="0"/>
    <col min="6918" max="6918" width="17.66" customWidth="1" hidden="0"/>
    <col min="6919" max="6919" width="18.03" customWidth="1" hidden="0"/>
    <col min="7169" max="7169" width="74.20" customWidth="1" hidden="0"/>
    <col min="7170" max="7173" width="15.45" customWidth="1" hidden="0"/>
    <col min="7174" max="7174" width="17.66" customWidth="1" hidden="0"/>
    <col min="7175" max="7175" width="18.03" customWidth="1" hidden="0"/>
    <col min="7425" max="7425" width="74.20" customWidth="1" hidden="0"/>
    <col min="7426" max="7429" width="15.45" customWidth="1" hidden="0"/>
    <col min="7430" max="7430" width="17.66" customWidth="1" hidden="0"/>
    <col min="7431" max="7431" width="18.03" customWidth="1" hidden="0"/>
    <col min="7681" max="7681" width="74.20" customWidth="1" hidden="0"/>
    <col min="7682" max="7685" width="15.45" customWidth="1" hidden="0"/>
    <col min="7686" max="7686" width="17.66" customWidth="1" hidden="0"/>
    <col min="7687" max="7687" width="18.03" customWidth="1" hidden="0"/>
    <col min="7937" max="7937" width="74.20" customWidth="1" hidden="0"/>
    <col min="7938" max="7941" width="15.45" customWidth="1" hidden="0"/>
    <col min="7942" max="7942" width="17.66" customWidth="1" hidden="0"/>
    <col min="7943" max="7943" width="18.03" customWidth="1" hidden="0"/>
    <col min="8193" max="8193" width="74.20" customWidth="1" hidden="0"/>
    <col min="8194" max="8197" width="15.45" customWidth="1" hidden="0"/>
    <col min="8198" max="8198" width="17.66" customWidth="1" hidden="0"/>
    <col min="8199" max="8199" width="18.03" customWidth="1" hidden="0"/>
    <col min="8449" max="8449" width="74.20" customWidth="1" hidden="0"/>
    <col min="8450" max="8453" width="15.45" customWidth="1" hidden="0"/>
    <col min="8454" max="8454" width="17.66" customWidth="1" hidden="0"/>
    <col min="8455" max="8455" width="18.03" customWidth="1" hidden="0"/>
    <col min="8705" max="8705" width="74.20" customWidth="1" hidden="0"/>
    <col min="8706" max="8709" width="15.45" customWidth="1" hidden="0"/>
    <col min="8710" max="8710" width="17.66" customWidth="1" hidden="0"/>
    <col min="8711" max="8711" width="18.03" customWidth="1" hidden="0"/>
    <col min="8961" max="8961" width="74.20" customWidth="1" hidden="0"/>
    <col min="8962" max="8965" width="15.45" customWidth="1" hidden="0"/>
    <col min="8966" max="8966" width="17.66" customWidth="1" hidden="0"/>
    <col min="8967" max="8967" width="18.03" customWidth="1" hidden="0"/>
    <col min="9217" max="9217" width="74.20" customWidth="1" hidden="0"/>
    <col min="9218" max="9221" width="15.45" customWidth="1" hidden="0"/>
    <col min="9222" max="9222" width="17.66" customWidth="1" hidden="0"/>
    <col min="9223" max="9223" width="18.03" customWidth="1" hidden="0"/>
    <col min="9473" max="9473" width="74.20" customWidth="1" hidden="0"/>
    <col min="9474" max="9477" width="15.45" customWidth="1" hidden="0"/>
    <col min="9478" max="9478" width="17.66" customWidth="1" hidden="0"/>
    <col min="9479" max="9479" width="18.03" customWidth="1" hidden="0"/>
    <col min="9729" max="9729" width="74.20" customWidth="1" hidden="0"/>
    <col min="9730" max="9733" width="15.45" customWidth="1" hidden="0"/>
    <col min="9734" max="9734" width="17.66" customWidth="1" hidden="0"/>
    <col min="9735" max="9735" width="18.03" customWidth="1" hidden="0"/>
    <col min="9985" max="9985" width="74.20" customWidth="1" hidden="0"/>
    <col min="9986" max="9989" width="15.45" customWidth="1" hidden="0"/>
    <col min="9990" max="9990" width="17.66" customWidth="1" hidden="0"/>
    <col min="9991" max="9991" width="18.03" customWidth="1" hidden="0"/>
    <col min="10241" max="10241" width="74.20" customWidth="1" hidden="0"/>
    <col min="10242" max="10245" width="15.45" customWidth="1" hidden="0"/>
    <col min="10246" max="10246" width="17.66" customWidth="1" hidden="0"/>
    <col min="10247" max="10247" width="18.03" customWidth="1" hidden="0"/>
    <col min="10497" max="10497" width="74.20" customWidth="1" hidden="0"/>
    <col min="10498" max="10501" width="15.45" customWidth="1" hidden="0"/>
    <col min="10502" max="10502" width="17.66" customWidth="1" hidden="0"/>
    <col min="10503" max="10503" width="18.03" customWidth="1" hidden="0"/>
    <col min="10753" max="10753" width="74.20" customWidth="1" hidden="0"/>
    <col min="10754" max="10757" width="15.45" customWidth="1" hidden="0"/>
    <col min="10758" max="10758" width="17.66" customWidth="1" hidden="0"/>
    <col min="10759" max="10759" width="18.03" customWidth="1" hidden="0"/>
    <col min="11009" max="11009" width="74.20" customWidth="1" hidden="0"/>
    <col min="11010" max="11013" width="15.45" customWidth="1" hidden="0"/>
    <col min="11014" max="11014" width="17.66" customWidth="1" hidden="0"/>
    <col min="11015" max="11015" width="18.03" customWidth="1" hidden="0"/>
    <col min="11265" max="11265" width="74.20" customWidth="1" hidden="0"/>
    <col min="11266" max="11269" width="15.45" customWidth="1" hidden="0"/>
    <col min="11270" max="11270" width="17.66" customWidth="1" hidden="0"/>
    <col min="11271" max="11271" width="18.03" customWidth="1" hidden="0"/>
    <col min="11521" max="11521" width="74.20" customWidth="1" hidden="0"/>
    <col min="11522" max="11525" width="15.45" customWidth="1" hidden="0"/>
    <col min="11526" max="11526" width="17.66" customWidth="1" hidden="0"/>
    <col min="11527" max="11527" width="18.03" customWidth="1" hidden="0"/>
    <col min="11777" max="11777" width="74.20" customWidth="1" hidden="0"/>
    <col min="11778" max="11781" width="15.45" customWidth="1" hidden="0"/>
    <col min="11782" max="11782" width="17.66" customWidth="1" hidden="0"/>
    <col min="11783" max="11783" width="18.03" customWidth="1" hidden="0"/>
    <col min="12033" max="12033" width="74.20" customWidth="1" hidden="0"/>
    <col min="12034" max="12037" width="15.45" customWidth="1" hidden="0"/>
    <col min="12038" max="12038" width="17.66" customWidth="1" hidden="0"/>
    <col min="12039" max="12039" width="18.03" customWidth="1" hidden="0"/>
    <col min="12289" max="12289" width="74.20" customWidth="1" hidden="0"/>
    <col min="12290" max="12293" width="15.45" customWidth="1" hidden="0"/>
    <col min="12294" max="12294" width="17.66" customWidth="1" hidden="0"/>
    <col min="12295" max="12295" width="18.03" customWidth="1" hidden="0"/>
    <col min="12545" max="12545" width="74.20" customWidth="1" hidden="0"/>
    <col min="12546" max="12549" width="15.45" customWidth="1" hidden="0"/>
    <col min="12550" max="12550" width="17.66" customWidth="1" hidden="0"/>
    <col min="12551" max="12551" width="18.03" customWidth="1" hidden="0"/>
    <col min="12801" max="12801" width="74.20" customWidth="1" hidden="0"/>
    <col min="12802" max="12805" width="15.45" customWidth="1" hidden="0"/>
    <col min="12806" max="12806" width="17.66" customWidth="1" hidden="0"/>
    <col min="12807" max="12807" width="18.03" customWidth="1" hidden="0"/>
    <col min="13057" max="13057" width="74.20" customWidth="1" hidden="0"/>
    <col min="13058" max="13061" width="15.45" customWidth="1" hidden="0"/>
    <col min="13062" max="13062" width="17.66" customWidth="1" hidden="0"/>
    <col min="13063" max="13063" width="18.03" customWidth="1" hidden="0"/>
    <col min="13313" max="13313" width="74.20" customWidth="1" hidden="0"/>
    <col min="13314" max="13317" width="15.45" customWidth="1" hidden="0"/>
    <col min="13318" max="13318" width="17.66" customWidth="1" hidden="0"/>
    <col min="13319" max="13319" width="18.03" customWidth="1" hidden="0"/>
    <col min="13569" max="13569" width="74.20" customWidth="1" hidden="0"/>
    <col min="13570" max="13573" width="15.45" customWidth="1" hidden="0"/>
    <col min="13574" max="13574" width="17.66" customWidth="1" hidden="0"/>
    <col min="13575" max="13575" width="18.03" customWidth="1" hidden="0"/>
    <col min="13825" max="13825" width="74.20" customWidth="1" hidden="0"/>
    <col min="13826" max="13829" width="15.45" customWidth="1" hidden="0"/>
    <col min="13830" max="13830" width="17.66" customWidth="1" hidden="0"/>
    <col min="13831" max="13831" width="18.03" customWidth="1" hidden="0"/>
    <col min="14081" max="14081" width="74.20" customWidth="1" hidden="0"/>
    <col min="14082" max="14085" width="15.45" customWidth="1" hidden="0"/>
    <col min="14086" max="14086" width="17.66" customWidth="1" hidden="0"/>
    <col min="14087" max="14087" width="18.03" customWidth="1" hidden="0"/>
    <col min="14337" max="14337" width="74.20" customWidth="1" hidden="0"/>
    <col min="14338" max="14341" width="15.45" customWidth="1" hidden="0"/>
    <col min="14342" max="14342" width="17.66" customWidth="1" hidden="0"/>
    <col min="14343" max="14343" width="18.03" customWidth="1" hidden="0"/>
    <col min="14593" max="14593" width="74.20" customWidth="1" hidden="0"/>
    <col min="14594" max="14597" width="15.45" customWidth="1" hidden="0"/>
    <col min="14598" max="14598" width="17.66" customWidth="1" hidden="0"/>
    <col min="14599" max="14599" width="18.03" customWidth="1" hidden="0"/>
    <col min="14849" max="14849" width="74.20" customWidth="1" hidden="0"/>
    <col min="14850" max="14853" width="15.45" customWidth="1" hidden="0"/>
    <col min="14854" max="14854" width="17.66" customWidth="1" hidden="0"/>
    <col min="14855" max="14855" width="18.03" customWidth="1" hidden="0"/>
    <col min="15105" max="15105" width="74.20" customWidth="1" hidden="0"/>
    <col min="15106" max="15109" width="15.45" customWidth="1" hidden="0"/>
    <col min="15110" max="15110" width="17.66" customWidth="1" hidden="0"/>
    <col min="15111" max="15111" width="18.03" customWidth="1" hidden="0"/>
    <col min="15361" max="15361" width="74.20" customWidth="1" hidden="0"/>
    <col min="15362" max="15365" width="15.45" customWidth="1" hidden="0"/>
    <col min="15366" max="15366" width="17.66" customWidth="1" hidden="0"/>
    <col min="15367" max="15367" width="18.03" customWidth="1" hidden="0"/>
    <col min="15617" max="15617" width="74.20" customWidth="1" hidden="0"/>
    <col min="15618" max="15621" width="15.45" customWidth="1" hidden="0"/>
    <col min="15622" max="15622" width="17.66" customWidth="1" hidden="0"/>
    <col min="15623" max="15623" width="18.03" customWidth="1" hidden="0"/>
    <col min="15873" max="15873" width="74.20" customWidth="1" hidden="0"/>
    <col min="15874" max="15877" width="15.45" customWidth="1" hidden="0"/>
    <col min="15878" max="15878" width="17.66" customWidth="1" hidden="0"/>
    <col min="15879" max="15879" width="18.03" customWidth="1" hidden="0"/>
    <col min="16129" max="16129" width="74.20" customWidth="1" hidden="0"/>
    <col min="16130" max="16133" width="15.45" customWidth="1" hidden="0"/>
    <col min="16134" max="16134" width="17.66" customWidth="1" hidden="0"/>
    <col min="16135" max="16135" width="18.03" customWidth="1" hidden="0"/>
  </cols>
  <sheetData>
    <row r="2" ht="21.00" customHeight="true">
      <c r="A2" s="60">
        <f>=+ER!B9</f>
      </c>
      <c r="B2" s="61"/>
      <c r="C2" s="61"/>
      <c r="D2" s="62" t="s">
        <v>48</v>
      </c>
      <c r="E2" s="61"/>
      <c r="F2" s="63"/>
      <c r="G2" s="63"/>
      <c r="H2" s="63"/>
      <c r="I2" s="61"/>
      <c r="J2" s="61"/>
      <c r="K2" s="61"/>
      <c r="L2" s="61"/>
      <c r="M2" s="61"/>
      <c r="N2" s="61"/>
    </row>
    <row r="3" ht="17.25" customHeight="true">
      <c r="A3" s="64"/>
      <c r="B3" s="65"/>
      <c r="C3" s="65"/>
      <c r="D3" s="65" t="s">
        <v>49</v>
      </c>
      <c r="E3" s="65"/>
      <c r="F3" s="66"/>
      <c r="G3" s="66"/>
      <c r="H3" s="66"/>
      <c r="I3" s="65"/>
      <c r="J3" s="65"/>
      <c r="K3" s="65"/>
      <c r="L3" s="65"/>
      <c r="M3" s="65"/>
      <c r="N3" s="65"/>
    </row>
    <row r="4" ht="17.25" customHeight="true">
      <c r="A4" s="64" t="s">
        <v>50</v>
      </c>
      <c r="B4" s="65"/>
      <c r="C4" s="65"/>
      <c r="D4" s="65">
        <f>=+ER!H70</f>
      </c>
      <c r="E4" s="65">
        <f>=+C17-C48-D4</f>
      </c>
      <c r="F4" s="66"/>
      <c r="G4" s="66"/>
      <c r="H4" s="66"/>
      <c r="I4" s="65"/>
      <c r="J4" s="65"/>
      <c r="K4" s="65"/>
      <c r="L4" s="65"/>
      <c r="M4" s="65"/>
      <c r="N4" s="65"/>
    </row>
    <row r="6" ht="17.25" customHeight="true">
      <c r="A6" s="67" t="s">
        <v>51</v>
      </c>
      <c r="B6" s="65"/>
      <c r="C6" s="65"/>
      <c r="D6" s="65"/>
      <c r="E6" s="65"/>
      <c r="F6" s="66"/>
      <c r="G6" s="66"/>
      <c r="H6" s="66"/>
      <c r="I6" s="65"/>
      <c r="J6" s="65"/>
      <c r="K6" s="65"/>
      <c r="L6" s="65"/>
      <c r="M6" s="65"/>
      <c r="N6" s="65"/>
    </row>
    <row r="7" ht="17.25" customHeight="true">
      <c r="A7" s="64"/>
      <c r="B7" s="65"/>
      <c r="C7" s="65"/>
      <c r="D7" s="65"/>
      <c r="E7" s="65"/>
      <c r="F7" s="66"/>
      <c r="G7" s="66"/>
      <c r="H7" s="66"/>
      <c r="I7" s="65"/>
      <c r="J7" s="65"/>
      <c r="K7" s="65"/>
      <c r="L7" s="65"/>
      <c r="M7" s="65"/>
      <c r="N7" s="65"/>
    </row>
    <row r="8" ht="17.25" customHeight="true">
      <c r="A8" s="64" t="s">
        <v>52</v>
      </c>
      <c r="B8" s="65">
        <f>=+ER!H18</f>
      </c>
      <c r="C8" s="64"/>
      <c r="D8" s="65"/>
      <c r="E8" s="65"/>
      <c r="F8" s="66"/>
      <c r="G8" s="66"/>
      <c r="H8" s="66"/>
      <c r="I8" s="65"/>
      <c r="J8" s="65"/>
      <c r="K8" s="65"/>
      <c r="L8" s="65"/>
      <c r="M8" s="65"/>
      <c r="N8" s="65"/>
    </row>
    <row r="9" hidden="1" ht="17.25" customHeight="true">
      <c r="A9" s="64" t="s">
        <v>53</v>
      </c>
      <c r="B9" s="65">
        <v>0</v>
      </c>
      <c r="C9" s="64"/>
      <c r="D9" s="65"/>
      <c r="E9" s="65"/>
      <c r="F9" s="66"/>
      <c r="G9" s="66"/>
      <c r="H9" s="66"/>
      <c r="I9" s="65"/>
      <c r="J9" s="65"/>
      <c r="K9" s="65"/>
      <c r="L9" s="65"/>
      <c r="M9" s="65"/>
      <c r="N9" s="65"/>
    </row>
    <row r="10" hidden="1" ht="17.25" customHeight="true">
      <c r="A10" s="64" t="s">
        <v>54</v>
      </c>
      <c r="B10" s="65">
        <v>0</v>
      </c>
      <c r="C10" s="64"/>
      <c r="D10" s="65"/>
      <c r="E10" s="65"/>
      <c r="F10" s="66"/>
      <c r="G10" s="66"/>
      <c r="H10" s="66"/>
      <c r="I10" s="65"/>
      <c r="J10" s="65"/>
      <c r="K10" s="65"/>
      <c r="L10" s="65"/>
      <c r="M10" s="65"/>
      <c r="N10" s="65"/>
    </row>
    <row r="11" hidden="1" ht="17.25" customHeight="true">
      <c r="A11" s="64" t="s">
        <v>55</v>
      </c>
      <c r="B11" s="65">
        <v>0</v>
      </c>
      <c r="C11" s="64"/>
      <c r="D11" s="65"/>
      <c r="E11" s="65"/>
      <c r="F11" s="66"/>
      <c r="G11" s="66"/>
      <c r="H11" s="66"/>
      <c r="I11" s="65"/>
      <c r="J11" s="65"/>
      <c r="K11" s="65"/>
      <c r="L11" s="65"/>
      <c r="M11" s="65"/>
      <c r="N11" s="65"/>
    </row>
    <row r="12" ht="17.25" customHeight="true">
      <c r="A12" s="64" t="s">
        <v>56</v>
      </c>
      <c r="B12" s="65">
        <f>=+ER!H61</f>
      </c>
      <c r="C12" s="64"/>
      <c r="D12" s="65"/>
      <c r="E12" s="65"/>
      <c r="F12" s="66"/>
      <c r="G12" s="66"/>
      <c r="H12" s="66"/>
      <c r="I12" s="65"/>
      <c r="J12" s="65"/>
      <c r="K12" s="65"/>
      <c r="L12" s="65"/>
      <c r="M12" s="65"/>
      <c r="N12" s="65"/>
    </row>
    <row r="13" ht="17.25" customHeight="true">
      <c r="A13" s="64" t="s">
        <v>57</v>
      </c>
      <c r="B13" s="65">
        <v>0</v>
      </c>
      <c r="C13" s="64"/>
      <c r="D13" s="65"/>
      <c r="E13" s="65"/>
      <c r="F13" s="66"/>
      <c r="G13" s="66"/>
      <c r="H13" s="66"/>
      <c r="I13" s="65"/>
      <c r="J13" s="65"/>
      <c r="K13" s="65"/>
      <c r="L13" s="65"/>
      <c r="M13" s="65"/>
      <c r="N13" s="65"/>
    </row>
    <row r="14" ht="17.25" customHeight="true">
      <c r="A14" s="64" t="s">
        <v>58</v>
      </c>
      <c r="B14" s="65">
        <f>=+ER!H56</f>
      </c>
      <c r="C14" s="64"/>
      <c r="D14" s="65"/>
      <c r="E14" s="65"/>
      <c r="F14" s="66"/>
      <c r="G14" s="66"/>
      <c r="H14" s="66"/>
      <c r="I14" s="65"/>
      <c r="J14" s="65"/>
      <c r="K14" s="65"/>
      <c r="L14" s="65"/>
      <c r="M14" s="65"/>
      <c r="N14" s="65"/>
    </row>
    <row r="15" ht="17.25" customHeight="true">
      <c r="A15" s="64" t="s">
        <v>59</v>
      </c>
      <c r="B15" s="68">
        <v>0</v>
      </c>
      <c r="C15" s="64"/>
      <c r="D15" s="65"/>
      <c r="E15" s="65"/>
      <c r="F15" s="66"/>
      <c r="G15" s="66"/>
      <c r="H15" s="66"/>
      <c r="I15" s="65"/>
      <c r="J15" s="65"/>
      <c r="K15" s="65"/>
      <c r="L15" s="65"/>
      <c r="M15" s="65"/>
      <c r="N15" s="65"/>
    </row>
    <row r="16" ht="17.25" customHeight="true">
      <c r="A16" s="64"/>
      <c r="B16" s="65"/>
      <c r="C16" s="68"/>
      <c r="D16" s="65"/>
      <c r="E16" s="65"/>
      <c r="F16" s="66"/>
      <c r="G16" s="66"/>
      <c r="H16" s="66"/>
      <c r="I16" s="65"/>
      <c r="J16" s="65"/>
      <c r="K16" s="65"/>
      <c r="L16" s="65"/>
      <c r="M16" s="65"/>
      <c r="N16" s="65"/>
    </row>
    <row r="17" ht="17.25" customHeight="true">
      <c r="A17" s="64" t="s">
        <v>60</v>
      </c>
      <c r="B17" s="65"/>
      <c r="C17" s="65">
        <f>=SUM(B7:B16)</f>
      </c>
      <c r="D17" s="69"/>
      <c r="E17" s="69"/>
      <c r="F17" s="70"/>
      <c r="G17" s="70">
        <v>8777497</v>
      </c>
      <c r="H17" s="6">
        <f>=+C17-G17</f>
      </c>
    </row>
    <row r="19" ht="17.25" customHeight="true">
      <c r="A19" s="67" t="s">
        <v>61</v>
      </c>
      <c r="B19" s="65"/>
      <c r="C19" s="65"/>
      <c r="D19" s="69"/>
      <c r="E19" s="69"/>
      <c r="F19" s="70"/>
      <c r="G19" s="70"/>
    </row>
    <row r="21" ht="17.25" customHeight="true">
      <c r="A21" s="64" t="s">
        <v>62</v>
      </c>
      <c r="B21" s="65">
        <f>=+BAL!#REF!</f>
      </c>
      <c r="C21" s="65"/>
      <c r="D21" s="69"/>
      <c r="E21" s="69"/>
      <c r="F21" s="70"/>
      <c r="G21" s="70"/>
    </row>
    <row r="22" ht="17.25" customHeight="true">
      <c r="A22" s="64" t="s">
        <v>63</v>
      </c>
      <c r="B22" s="65">
        <v>0</v>
      </c>
      <c r="C22" s="65"/>
      <c r="D22" s="69"/>
      <c r="E22" s="69"/>
      <c r="F22" s="70"/>
      <c r="G22" s="70"/>
    </row>
    <row r="23" ht="17.25" customHeight="true">
      <c r="A23" s="64" t="s">
        <v>64</v>
      </c>
      <c r="B23" s="65">
        <f>=272809*0</f>
      </c>
      <c r="C23" s="65"/>
      <c r="D23" s="69"/>
      <c r="E23" s="69"/>
      <c r="F23" s="70"/>
      <c r="G23" s="70"/>
    </row>
    <row r="24" ht="17.25" customHeight="true">
      <c r="A24" s="64" t="s">
        <v>65</v>
      </c>
      <c r="B24" s="68"/>
      <c r="C24" s="65"/>
      <c r="D24" s="69"/>
      <c r="E24" s="69"/>
      <c r="F24" s="70"/>
      <c r="G24" s="70"/>
    </row>
    <row r="25" ht="17.25" customHeight="true">
      <c r="A25" s="64"/>
      <c r="B25" s="65"/>
      <c r="C25" s="65">
        <f>=SUM(B20:B24)</f>
      </c>
      <c r="D25" s="69"/>
      <c r="E25" s="69"/>
      <c r="F25" s="70"/>
      <c r="G25" s="70">
        <f>=+B14-C25</f>
      </c>
    </row>
    <row r="26" ht="17.25" customHeight="true">
      <c r="A26" s="67" t="s">
        <v>66</v>
      </c>
      <c r="B26" s="65"/>
      <c r="C26" s="65"/>
      <c r="D26" s="69"/>
      <c r="E26" s="69"/>
      <c r="F26" s="70"/>
      <c r="G26" s="70"/>
    </row>
    <row r="28" ht="17.25" customHeight="true">
      <c r="A28" s="64" t="s">
        <v>67</v>
      </c>
      <c r="B28" s="65">
        <v>0</v>
      </c>
      <c r="C28" s="65"/>
      <c r="D28" s="69"/>
      <c r="E28" s="69"/>
      <c r="F28" s="70"/>
      <c r="G28" s="70"/>
    </row>
    <row r="29" ht="17.25" customHeight="true">
      <c r="A29" s="64" t="s">
        <v>68</v>
      </c>
      <c r="B29" s="65">
        <v>172725</v>
      </c>
      <c r="C29" s="65"/>
      <c r="D29" s="69"/>
      <c r="E29" s="69"/>
      <c r="F29" s="70"/>
      <c r="G29" s="70"/>
    </row>
    <row r="30" ht="17.25" customHeight="true">
      <c r="A30" s="64" t="s">
        <v>69</v>
      </c>
      <c r="B30" s="65">
        <f>=+BAL!G79</f>
      </c>
      <c r="C30" s="65"/>
      <c r="D30" s="69"/>
      <c r="E30" s="69"/>
      <c r="F30" s="70"/>
      <c r="G30" s="70">
        <f>=+D36-B29</f>
      </c>
    </row>
    <row r="31" ht="17.25" customHeight="true">
      <c r="A31" s="64" t="s">
        <v>70</v>
      </c>
      <c r="B31" s="65">
        <f>=+B22</f>
      </c>
      <c r="C31" s="65"/>
      <c r="D31" s="69"/>
      <c r="E31" s="69"/>
      <c r="F31" s="70"/>
      <c r="G31" s="70">
        <v>8777496.74</v>
      </c>
    </row>
    <row r="32" hidden="1" ht="17.25" customHeight="true">
      <c r="A32" s="64" t="s">
        <v>71</v>
      </c>
      <c r="B32" s="65">
        <v>0</v>
      </c>
      <c r="C32" s="65"/>
      <c r="D32" s="69"/>
      <c r="E32" s="69"/>
      <c r="F32" s="70"/>
      <c r="G32" s="70"/>
    </row>
    <row r="33" ht="17.25" customHeight="true">
      <c r="A33" s="64" t="s">
        <v>71</v>
      </c>
      <c r="B33" s="68">
        <v>0</v>
      </c>
      <c r="C33" s="65"/>
      <c r="D33" s="65"/>
      <c r="E33" s="69"/>
      <c r="F33" s="70"/>
      <c r="G33" s="70">
        <f>=+G31-G30</f>
      </c>
    </row>
    <row r="34" ht="17.25" customHeight="true">
      <c r="A34" s="64"/>
      <c r="B34" s="65"/>
      <c r="C34" s="71">
        <f>=SUM(B28:B34)</f>
      </c>
      <c r="D34" s="65"/>
      <c r="E34" s="69"/>
      <c r="F34" s="70"/>
      <c r="G34" s="70"/>
    </row>
    <row r="35" ht="17.25" customHeight="true">
      <c r="A35" s="64"/>
      <c r="B35" s="65"/>
      <c r="C35" s="65"/>
      <c r="D35" s="65"/>
      <c r="E35" s="69"/>
      <c r="F35" s="70"/>
      <c r="G35" s="70">
        <v>10963446</v>
      </c>
    </row>
    <row r="36" ht="17.25" customHeight="true">
      <c r="A36" s="64" t="s">
        <v>72</v>
      </c>
      <c r="B36" s="65"/>
      <c r="C36" s="65"/>
      <c r="D36" s="72">
        <f>=C17-C25+C34</f>
      </c>
      <c r="E36" s="69"/>
      <c r="F36" s="70"/>
      <c r="G36" s="70">
        <f>=+D36-C34</f>
      </c>
      <c r="H36" s="6"/>
      <c r="I36" s="6">
        <v>11150829</v>
      </c>
      <c r="J36" s="6">
        <f>=+D36-I36</f>
      </c>
    </row>
    <row r="37" ht="13.50" customHeight="true">
      <c r="G37" s="6">
        <f>=+G35-G36</f>
      </c>
    </row>
    <row r="38" ht="17.25" customHeight="true">
      <c r="A38" s="67" t="s">
        <v>73</v>
      </c>
      <c r="B38" s="65"/>
      <c r="C38" s="65"/>
      <c r="D38" s="65"/>
      <c r="E38" s="69"/>
      <c r="F38" s="70"/>
      <c r="G38" s="70"/>
    </row>
    <row r="40" ht="17.25" customHeight="true">
      <c r="A40" s="64" t="s">
        <v>74</v>
      </c>
      <c r="B40" s="65">
        <f>=+ER!H23</f>
      </c>
      <c r="C40" s="65"/>
      <c r="D40" s="65"/>
      <c r="E40" s="69"/>
      <c r="F40" s="70"/>
      <c r="G40" s="70">
        <v>11916261</v>
      </c>
    </row>
    <row r="41" ht="17.25" customHeight="true">
      <c r="A41" s="64" t="s">
        <v>75</v>
      </c>
      <c r="B41" s="65">
        <f>=+ER!H51</f>
      </c>
      <c r="C41" s="65"/>
      <c r="D41" s="65"/>
      <c r="E41" s="69"/>
      <c r="F41" s="70"/>
      <c r="G41" s="70">
        <f>=+G36-G40</f>
      </c>
    </row>
    <row r="42" ht="17.25" customHeight="true">
      <c r="A42" s="64" t="s">
        <v>76</v>
      </c>
      <c r="B42" s="65">
        <f>=-ER!H62</f>
      </c>
      <c r="C42" s="65"/>
      <c r="D42" s="65"/>
      <c r="E42" s="69"/>
      <c r="F42" s="70"/>
      <c r="G42" s="70"/>
    </row>
    <row r="43" ht="17.25" customHeight="true">
      <c r="A43" s="64" t="s">
        <v>77</v>
      </c>
      <c r="B43" s="65">
        <v>0</v>
      </c>
      <c r="C43" s="65"/>
      <c r="D43" s="65"/>
      <c r="E43" s="69"/>
      <c r="F43" s="70"/>
      <c r="G43" s="70"/>
    </row>
    <row r="44" ht="17.25" customHeight="true">
      <c r="A44" s="64" t="s">
        <v>78</v>
      </c>
      <c r="B44" s="65">
        <v>0</v>
      </c>
      <c r="C44" s="65"/>
      <c r="D44" s="65"/>
      <c r="E44" s="69"/>
      <c r="F44" s="70"/>
      <c r="G44" s="70"/>
    </row>
    <row r="45" ht="17.25" customHeight="true">
      <c r="A45" s="64" t="s">
        <v>79</v>
      </c>
      <c r="B45" s="65">
        <v>0</v>
      </c>
      <c r="C45" s="65"/>
      <c r="D45" s="65"/>
      <c r="E45" s="69"/>
      <c r="F45" s="70"/>
      <c r="G45" s="70"/>
    </row>
    <row r="46" ht="17.25" customHeight="true">
      <c r="A46" s="64" t="s">
        <v>71</v>
      </c>
      <c r="B46" s="68">
        <v>0</v>
      </c>
      <c r="C46" s="65"/>
      <c r="D46" s="65"/>
      <c r="E46" s="69"/>
      <c r="F46" s="70"/>
      <c r="G46" s="70"/>
    </row>
    <row r="48" ht="17.25" customHeight="true">
      <c r="A48" s="64" t="s">
        <v>80</v>
      </c>
      <c r="B48" s="65"/>
      <c r="C48" s="65">
        <f>=SUM(B40:B47)</f>
      </c>
      <c r="D48" s="65"/>
      <c r="E48" s="69">
        <f>=+C17-C48-D4</f>
      </c>
      <c r="F48" s="70"/>
      <c r="G48" s="70"/>
    </row>
    <row r="50" ht="17.25" customHeight="true">
      <c r="A50" s="67" t="s">
        <v>81</v>
      </c>
      <c r="B50" s="65"/>
      <c r="C50" s="65"/>
      <c r="D50" s="65"/>
      <c r="E50" s="65"/>
      <c r="F50" s="66"/>
      <c r="G50" s="70"/>
      <c r="H50" s="70"/>
    </row>
    <row r="52" ht="17.25" customHeight="true">
      <c r="A52" s="64" t="s">
        <v>82</v>
      </c>
      <c r="B52" s="73">
        <f>=+ER!H44</f>
      </c>
      <c r="C52" s="65"/>
      <c r="D52" s="65"/>
      <c r="E52" s="65">
        <f>=+B52-B70</f>
      </c>
      <c r="F52" s="66"/>
      <c r="G52" s="70"/>
      <c r="H52" s="70"/>
    </row>
    <row r="53" ht="17.25" customHeight="true">
      <c r="A53" s="64">
        <f>=+A40</f>
      </c>
      <c r="B53" s="73">
        <f>=+B40</f>
      </c>
      <c r="C53" s="65"/>
      <c r="D53" s="65"/>
      <c r="E53" s="65"/>
      <c r="F53" s="66"/>
      <c r="G53" s="70"/>
      <c r="H53" s="70"/>
    </row>
    <row r="54" ht="17.25" customHeight="true">
      <c r="A54" s="64" t="s">
        <v>83</v>
      </c>
      <c r="B54" s="65"/>
      <c r="C54" s="65"/>
      <c r="D54" s="65"/>
      <c r="E54" s="65"/>
      <c r="F54" s="66"/>
      <c r="G54" s="70"/>
      <c r="H54" s="70"/>
    </row>
    <row r="55" ht="17.25" customHeight="true">
      <c r="A55" s="64" t="s">
        <v>28</v>
      </c>
      <c r="B55" s="73">
        <f>=+ER!H50</f>
      </c>
      <c r="C55" s="65"/>
      <c r="D55" s="65"/>
      <c r="E55" s="65"/>
      <c r="F55" s="66"/>
      <c r="G55" s="70"/>
      <c r="H55" s="70"/>
    </row>
    <row r="56" ht="17.25" customHeight="true">
      <c r="A56" s="64" t="s">
        <v>84</v>
      </c>
      <c r="B56" s="65">
        <v>0</v>
      </c>
      <c r="C56" s="65"/>
      <c r="D56" s="65"/>
      <c r="E56" s="65"/>
      <c r="F56" s="66"/>
      <c r="G56" s="70"/>
      <c r="H56" s="70"/>
    </row>
    <row r="57" ht="17.25" customHeight="true">
      <c r="A57" s="74" t="s">
        <v>85</v>
      </c>
      <c r="B57" s="75">
        <f>=+B45</f>
      </c>
      <c r="C57" s="65"/>
      <c r="D57" s="65"/>
      <c r="E57" s="65"/>
      <c r="F57" s="66"/>
      <c r="G57" s="70"/>
      <c r="H57" s="70"/>
    </row>
    <row r="58" ht="17.25" customHeight="true">
      <c r="A58" s="76" t="s">
        <v>86</v>
      </c>
      <c r="B58" s="77">
        <v>260103</v>
      </c>
      <c r="C58" s="65">
        <f>=+B58*0.3</f>
      </c>
      <c r="D58" s="65"/>
      <c r="E58" s="65"/>
      <c r="F58" s="66"/>
      <c r="G58" s="70"/>
      <c r="H58" s="70"/>
    </row>
    <row r="59" ht="17.25" customHeight="true">
      <c r="A59" s="64" t="s">
        <v>87</v>
      </c>
      <c r="B59" s="77"/>
      <c r="C59" s="65"/>
      <c r="D59" s="65"/>
      <c r="E59" s="65"/>
      <c r="F59" s="66"/>
      <c r="G59" s="70"/>
      <c r="H59" s="70"/>
      <c r="M59" s="6"/>
      <c r="N59" s="6"/>
      <c r="O59" s="6"/>
    </row>
    <row r="60" ht="17.25" customHeight="true">
      <c r="A60" s="64" t="s">
        <v>88</v>
      </c>
      <c r="B60" s="65">
        <v>0</v>
      </c>
      <c r="C60" s="65"/>
      <c r="D60" s="65"/>
      <c r="E60" s="65"/>
      <c r="F60" s="66"/>
      <c r="G60" s="70"/>
      <c r="H60" s="70"/>
    </row>
    <row r="61" ht="17.25" customHeight="true">
      <c r="A61" s="64" t="s">
        <v>89</v>
      </c>
      <c r="B61" s="65">
        <v>0</v>
      </c>
      <c r="C61" s="78"/>
      <c r="D61" s="65"/>
      <c r="E61" s="65"/>
      <c r="F61" s="66"/>
      <c r="G61" s="70"/>
      <c r="H61" s="70"/>
    </row>
    <row r="62" ht="17.25" customHeight="true">
      <c r="A62" s="64" t="s">
        <v>90</v>
      </c>
      <c r="B62" s="68">
        <v>0</v>
      </c>
      <c r="C62" s="65"/>
      <c r="D62" s="65"/>
      <c r="E62" s="65"/>
      <c r="F62" s="66"/>
      <c r="G62" s="70"/>
      <c r="H62" s="70"/>
    </row>
    <row r="63" ht="17.25" customHeight="true">
      <c r="A63" s="64"/>
      <c r="B63" s="65"/>
      <c r="C63" s="79">
        <f>=SUM(B52:B62)</f>
      </c>
      <c r="D63" s="65"/>
      <c r="E63" s="65"/>
      <c r="F63" s="66"/>
      <c r="G63" s="70"/>
      <c r="H63" s="70"/>
    </row>
    <row r="64" ht="17.25" customHeight="true">
      <c r="A64" s="64"/>
      <c r="B64" s="65"/>
      <c r="C64" s="65"/>
      <c r="D64" s="65"/>
      <c r="E64" s="65"/>
      <c r="F64" s="66"/>
      <c r="G64" s="70"/>
      <c r="H64" s="70"/>
    </row>
    <row r="65" ht="17.25" customHeight="true">
      <c r="A65" s="67" t="s">
        <v>91</v>
      </c>
      <c r="B65" s="65"/>
      <c r="C65" s="65"/>
      <c r="D65" s="65"/>
      <c r="E65" s="65"/>
      <c r="F65" s="66"/>
      <c r="G65" s="66"/>
      <c r="H65" s="70"/>
    </row>
    <row r="66" ht="17.25" customHeight="true">
      <c r="A66" s="64"/>
      <c r="B66" s="65"/>
      <c r="C66" s="65"/>
      <c r="D66" s="65"/>
      <c r="E66" s="65"/>
      <c r="F66" s="66"/>
      <c r="G66" s="66"/>
      <c r="H66" s="70"/>
    </row>
    <row r="67" ht="17.25" customHeight="true">
      <c r="A67" s="64" t="s">
        <v>92</v>
      </c>
      <c r="B67" s="73">
        <f>=+B53+0</f>
      </c>
      <c r="C67" s="65"/>
      <c r="D67" s="65"/>
      <c r="E67" s="65"/>
      <c r="F67" s="66"/>
      <c r="G67" s="66"/>
      <c r="H67" s="70"/>
    </row>
    <row r="68" ht="17.25" customHeight="true">
      <c r="A68" s="64" t="s">
        <v>93</v>
      </c>
      <c r="B68" s="65">
        <v>0</v>
      </c>
      <c r="C68" s="65"/>
      <c r="D68" s="65"/>
      <c r="E68" s="65"/>
      <c r="F68" s="66">
        <f>=14228+13990</f>
      </c>
      <c r="G68" s="66"/>
      <c r="H68" s="70"/>
    </row>
    <row r="69" ht="17.25" customHeight="true">
      <c r="A69" s="64" t="s">
        <v>94</v>
      </c>
      <c r="B69" s="65">
        <f>=600000*H69</f>
      </c>
      <c r="C69" s="65"/>
      <c r="D69" s="65"/>
      <c r="E69" s="65"/>
      <c r="F69" s="66"/>
      <c r="G69" s="66"/>
      <c r="H69" s="70"/>
    </row>
    <row r="70" ht="17.25" customHeight="true">
      <c r="A70" s="64" t="s">
        <v>95</v>
      </c>
      <c r="B70" s="73">
        <v>112539</v>
      </c>
      <c r="C70" s="65"/>
      <c r="D70" s="65"/>
      <c r="E70" s="65"/>
      <c r="F70" s="66"/>
      <c r="G70" s="66"/>
      <c r="H70" s="70"/>
    </row>
    <row r="71" ht="17.25" customHeight="true">
      <c r="A71" s="64" t="s">
        <v>96</v>
      </c>
      <c r="B71" s="65">
        <f>=2905000*H69</f>
      </c>
      <c r="C71" s="65"/>
      <c r="D71" s="65"/>
      <c r="E71" s="65"/>
      <c r="F71" s="66"/>
      <c r="G71" s="66"/>
      <c r="H71" s="70"/>
    </row>
    <row r="72" ht="17.25" customHeight="true">
      <c r="A72" s="64" t="s">
        <v>97</v>
      </c>
      <c r="B72" s="65">
        <v>0</v>
      </c>
      <c r="C72" s="65"/>
      <c r="D72" s="65"/>
      <c r="E72" s="65"/>
      <c r="F72" s="66"/>
      <c r="G72" s="66"/>
      <c r="H72" s="70"/>
    </row>
    <row r="73" ht="17.25" customHeight="true">
      <c r="A73" s="64" t="s">
        <v>98</v>
      </c>
      <c r="B73" s="65">
        <v>0</v>
      </c>
      <c r="C73" s="65"/>
      <c r="D73" s="65"/>
      <c r="E73" s="65"/>
      <c r="F73" s="66"/>
      <c r="G73" s="66">
        <v>3191195</v>
      </c>
      <c r="H73" s="70">
        <f>=+G73-G74</f>
      </c>
    </row>
    <row r="74" ht="17.25" customHeight="true">
      <c r="A74" s="64" t="s">
        <v>99</v>
      </c>
      <c r="B74" s="65">
        <v>0</v>
      </c>
      <c r="C74" s="78"/>
      <c r="D74" s="65"/>
      <c r="E74" s="65"/>
      <c r="F74" s="66"/>
      <c r="G74" s="66">
        <f>=+G86</f>
      </c>
      <c r="H74" s="70"/>
    </row>
    <row r="75" ht="17.25" customHeight="true">
      <c r="A75" s="64" t="s">
        <v>100</v>
      </c>
      <c r="B75" s="68">
        <v>0</v>
      </c>
      <c r="C75" s="65"/>
      <c r="D75" s="65"/>
      <c r="E75" s="65"/>
      <c r="F75" s="66"/>
      <c r="G75" s="66">
        <v>1925988</v>
      </c>
      <c r="H75" s="70"/>
    </row>
    <row r="76" ht="17.25" customHeight="true">
      <c r="A76" s="64"/>
      <c r="B76" s="65"/>
      <c r="C76" s="79">
        <f>=SUM(B67:B75)</f>
      </c>
      <c r="D76" s="65"/>
      <c r="E76" s="65"/>
      <c r="F76" s="66"/>
      <c r="G76" s="66">
        <f>=+G74-G75</f>
      </c>
      <c r="H76" s="70">
        <f>=+F78+G76</f>
      </c>
    </row>
    <row r="77" ht="17.25" customHeight="true">
      <c r="A77" s="64"/>
      <c r="B77" s="65"/>
      <c r="C77" s="65"/>
      <c r="D77" s="65"/>
      <c r="E77" s="65"/>
      <c r="F77" s="66">
        <v>10783912</v>
      </c>
      <c r="G77" s="66"/>
      <c r="H77" s="70"/>
    </row>
    <row r="78" ht="17.25" customHeight="true">
      <c r="A78" s="80" t="s">
        <v>101</v>
      </c>
      <c r="B78" s="65"/>
      <c r="C78" s="65"/>
      <c r="D78" s="65">
        <f>=+C48+C76-C63</f>
      </c>
      <c r="E78" s="65"/>
      <c r="F78" s="66">
        <f>=+D78-F77</f>
      </c>
      <c r="G78" s="66">
        <f>=+D78</f>
      </c>
      <c r="H78" s="70" t="s">
        <v>102</v>
      </c>
      <c r="J78" s="6"/>
    </row>
    <row r="79" ht="17.25" customHeight="true">
      <c r="A79" s="64"/>
      <c r="B79" s="65"/>
      <c r="C79" s="65"/>
      <c r="D79" s="68"/>
      <c r="E79" s="65"/>
      <c r="F79" s="66"/>
      <c r="G79" s="81">
        <f>=-B53</f>
      </c>
      <c r="H79" s="82" t="s">
        <v>103</v>
      </c>
    </row>
    <row r="80" ht="17.25" customHeight="true">
      <c r="A80" s="65" t="s">
        <v>104</v>
      </c>
      <c r="B80" s="65"/>
      <c r="C80" s="65"/>
      <c r="D80" s="77">
        <f>=+D36-D78</f>
      </c>
      <c r="E80" s="65">
        <f>=+TRUNC((D80-B58)*0.1,0)*1</f>
      </c>
      <c r="F80" s="66"/>
      <c r="G80" s="81">
        <f>=-ER!M30</f>
      </c>
      <c r="H80" s="83" t="s">
        <v>105</v>
      </c>
    </row>
    <row r="81" ht="18.00" customHeight="true">
      <c r="A81" s="65" t="s">
        <v>106</v>
      </c>
      <c r="B81" s="65"/>
      <c r="C81" s="65"/>
      <c r="D81" s="84">
        <v>9659</v>
      </c>
      <c r="E81" s="65"/>
      <c r="F81" s="70"/>
      <c r="G81" s="85">
        <f>=-BAL!G136-BAL!G137-BAL!G138-BAL!G139</f>
      </c>
      <c r="H81" s="86" t="s">
        <v>107</v>
      </c>
    </row>
    <row r="82" ht="17.25" customHeight="true">
      <c r="A82" s="65" t="s">
        <v>108</v>
      </c>
      <c r="B82" s="65"/>
      <c r="C82" s="65"/>
      <c r="D82" s="65">
        <f>=+D80-D81</f>
      </c>
      <c r="E82" s="65">
        <f>=+D82/D36</f>
      </c>
      <c r="F82" s="70"/>
    </row>
    <row r="83" ht="18.00" customHeight="true">
      <c r="A83" s="87" t="s">
        <v>109</v>
      </c>
      <c r="B83" s="87"/>
      <c r="C83" s="87"/>
      <c r="D83" s="88">
        <f>=+D82</f>
      </c>
      <c r="E83" s="65"/>
      <c r="F83" s="70"/>
      <c r="G83" s="85">
        <f>=-B70</f>
      </c>
      <c r="H83" s="89" t="s">
        <v>110</v>
      </c>
    </row>
    <row r="84" ht="17.25" customHeight="true">
      <c r="A84" s="65" t="s">
        <v>111</v>
      </c>
      <c r="B84" s="65"/>
      <c r="C84" s="65"/>
      <c r="D84" s="65">
        <f>=+D82-D83</f>
      </c>
      <c r="E84" s="65">
        <v>0.0257</v>
      </c>
      <c r="F84" s="70"/>
      <c r="G84" s="70">
        <f>=SUM(G78:G83)</f>
      </c>
    </row>
    <row r="85" ht="18.00" customHeight="true">
      <c r="A85" s="65" t="s">
        <v>112</v>
      </c>
      <c r="B85" s="65"/>
      <c r="C85" s="65"/>
      <c r="D85" s="84">
        <v>0.3</v>
      </c>
      <c r="E85" s="65"/>
      <c r="F85" s="70"/>
      <c r="G85" s="90">
        <f>=-BAL!G164-131644</f>
      </c>
      <c r="H85" s="6" t="s">
        <v>113</v>
      </c>
    </row>
    <row r="86" ht="15.75" customHeight="true">
      <c r="G86" s="70">
        <f>=+G84+G85</f>
      </c>
    </row>
    <row r="87" ht="17.25" customHeight="true">
      <c r="A87" s="65" t="s">
        <v>114</v>
      </c>
      <c r="B87" s="65"/>
      <c r="C87" s="65"/>
      <c r="D87" s="65">
        <f>=D84*D85*0</f>
      </c>
      <c r="E87" s="65"/>
      <c r="F87" s="70"/>
      <c r="G87" s="91">
        <f>=-ER!H38</f>
      </c>
      <c r="H87" s="6" t="s">
        <v>115</v>
      </c>
    </row>
    <row r="88" ht="17.25" customHeight="true">
      <c r="A88" s="64"/>
      <c r="B88" s="65"/>
      <c r="C88" s="65"/>
      <c r="D88" s="65"/>
      <c r="E88" s="65"/>
      <c r="F88" s="70"/>
      <c r="G88" s="91">
        <f>=-BAL!G140</f>
      </c>
      <c r="H88" s="6" t="s">
        <v>116</v>
      </c>
    </row>
    <row r="89" ht="17.25" customHeight="true">
      <c r="A89" s="65" t="s">
        <v>117</v>
      </c>
      <c r="B89" s="65"/>
      <c r="C89" s="65">
        <v>0</v>
      </c>
      <c r="D89" s="65"/>
      <c r="E89" s="65"/>
      <c r="F89" s="70"/>
      <c r="G89" s="91">
        <v>0</v>
      </c>
      <c r="H89" s="6" t="s">
        <v>118</v>
      </c>
    </row>
    <row r="90" ht="18.00" customHeight="true">
      <c r="A90" s="65"/>
      <c r="B90" s="65"/>
      <c r="C90" s="65"/>
      <c r="D90" s="84">
        <f>=+C89</f>
      </c>
      <c r="E90" s="65"/>
      <c r="F90" s="70"/>
      <c r="G90" s="91">
        <f>=-ER!H35</f>
      </c>
      <c r="H90" s="6" t="s">
        <v>119</v>
      </c>
    </row>
    <row r="91" ht="17.25" customHeight="true">
      <c r="A91" s="92" t="s">
        <v>120</v>
      </c>
      <c r="B91" s="92"/>
      <c r="C91" s="92"/>
      <c r="D91" s="68">
        <f>=+D87-D90</f>
      </c>
      <c r="E91" s="65"/>
      <c r="F91" s="70"/>
      <c r="G91" s="91">
        <f>=-BAL!G177</f>
      </c>
      <c r="H91" s="6" t="s">
        <v>121</v>
      </c>
    </row>
    <row r="92" ht="17.25" customHeight="true">
      <c r="A92" s="64"/>
      <c r="B92" s="65"/>
      <c r="C92" s="65"/>
      <c r="D92" s="65"/>
      <c r="E92" s="65"/>
      <c r="F92" s="70"/>
      <c r="G92" s="91">
        <f>=-BAL!G176</f>
      </c>
      <c r="H92" s="6" t="s">
        <v>122</v>
      </c>
    </row>
    <row r="93" ht="17.25" customHeight="true">
      <c r="A93" s="64"/>
      <c r="B93" s="65"/>
      <c r="C93" s="65"/>
      <c r="D93" s="65"/>
      <c r="E93" s="65"/>
      <c r="G93" s="91">
        <f>=-ER!H32</f>
      </c>
      <c r="H93" s="6" t="s">
        <v>123</v>
      </c>
    </row>
    <row r="94" ht="17.25" customHeight="true">
      <c r="A94" s="64"/>
      <c r="B94" s="65"/>
      <c r="G94" s="91">
        <f>=-ER!H39</f>
      </c>
      <c r="H94" s="6" t="s">
        <v>124</v>
      </c>
    </row>
    <row r="95" ht="15.75" customHeight="true">
      <c r="A95" s="69"/>
      <c r="B95" s="69"/>
      <c r="G95" s="91">
        <f>=-ER!H43</f>
      </c>
      <c r="H95" s="6" t="s">
        <v>125</v>
      </c>
    </row>
    <row r="96" ht="15.75" customHeight="true">
      <c r="G96" s="91">
        <v>0</v>
      </c>
      <c r="H96" s="6" t="s">
        <v>126</v>
      </c>
    </row>
    <row r="97" ht="15.75" customHeight="true">
      <c r="G97" s="91">
        <f>=-ER!H37</f>
      </c>
      <c r="H97" s="6" t="s">
        <v>127</v>
      </c>
    </row>
    <row r="98" ht="15.75" customHeight="true">
      <c r="F98" s="91">
        <f>=-G98</f>
      </c>
      <c r="G98" s="91">
        <f>=SUM(G86:G97)</f>
      </c>
    </row>
  </sheetData>
  <mergeCells count="10">
    <mergeCell ref="A87:C87"/>
    <mergeCell ref="A89:B89"/>
    <mergeCell ref="A90:B90"/>
    <mergeCell ref="A91:C91"/>
    <mergeCell ref="A80:C80"/>
    <mergeCell ref="A81:C81"/>
    <mergeCell ref="A82:C82"/>
    <mergeCell ref="A83:C83"/>
    <mergeCell ref="A84:C84"/>
    <mergeCell ref="A85:C85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34"/>
  <cols>
    <col min="1" max="1" width="5.40" customWidth="1" hidden="0"/>
    <col min="2" max="2" width="3.92" customWidth="1" hidden="0"/>
    <col min="3" max="3" width="15.33" customWidth="1" hidden="0"/>
    <col min="4" max="4" width="9.69" customWidth="1" hidden="0"/>
    <col min="5" max="6" width="15.21" customWidth="1" hidden="0"/>
    <col min="7" max="7" width="3.19" customWidth="1" hidden="0"/>
    <col min="8" max="8" width="4.54" customWidth="1" hidden="0"/>
    <col min="9" max="9" width="18.52" customWidth="1" hidden="0"/>
    <col min="10" max="10" width="6.50" customWidth="1" hidden="0"/>
    <col min="11" max="12" width="15.21" customWidth="1" hidden="0"/>
    <col min="13" max="13" width="4.17" customWidth="1" hidden="0"/>
    <col min="14" max="14" width="11.16" customWidth="1" hidden="0"/>
    <col min="15" max="16384" width="10.55" customWidth="1" hidden="0"/>
  </cols>
  <sheetData>
    <row r="5" ht="15.00" customHeight="true">
      <c r="A5" s="93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3"/>
    </row>
    <row r="6" ht="15.00" customHeight="true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3"/>
    </row>
    <row r="7" ht="15.00" customHeight="true">
      <c r="A7" s="93"/>
      <c r="B7" s="94" t="s">
        <v>128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3"/>
    </row>
    <row r="8" ht="17.25" customHeight="true">
      <c r="B8" s="95" t="s">
        <v>129</v>
      </c>
      <c r="C8" s="95"/>
      <c r="D8" s="95"/>
      <c r="E8" s="95"/>
      <c r="F8" s="95"/>
      <c r="G8" s="95"/>
      <c r="H8" s="95"/>
      <c r="I8" s="95"/>
      <c r="J8" s="95"/>
      <c r="K8" s="95"/>
      <c r="L8" s="95"/>
    </row>
    <row r="9" ht="13.50" customHeight="true">
      <c r="B9" s="44" t="s">
        <v>130</v>
      </c>
      <c r="C9" s="44"/>
      <c r="D9" s="44"/>
      <c r="E9" s="44"/>
      <c r="F9" s="44"/>
      <c r="G9" s="44"/>
      <c r="H9" s="44"/>
      <c r="I9" s="44"/>
      <c r="J9" s="44"/>
      <c r="K9" s="44"/>
      <c r="L9" s="44"/>
    </row>
    <row r="10" ht="13.50" customHeight="true">
      <c r="B10" s="44" t="s">
        <v>131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3" ht="13.50" customHeight="true">
      <c r="C13" s="96" t="s">
        <v>132</v>
      </c>
      <c r="I13" s="96" t="s">
        <v>133</v>
      </c>
    </row>
    <row r="14" ht="13.50" customHeight="true">
      <c r="C14" s="96" t="s">
        <v>134</v>
      </c>
      <c r="I14" s="96" t="s">
        <v>134</v>
      </c>
    </row>
    <row r="16" ht="13.50" customHeight="true">
      <c r="B16" s="97" t="s">
        <v>135</v>
      </c>
      <c r="C16" s="97"/>
      <c r="E16" s="52">
        <f>=+BAL!G7</f>
      </c>
      <c r="H16" s="97" t="s">
        <v>136</v>
      </c>
      <c r="I16" s="97"/>
      <c r="K16" s="52">
        <f>=+BAL!G61</f>
      </c>
    </row>
    <row r="17" ht="13.50" customHeight="true">
      <c r="B17" s="97" t="s">
        <v>137</v>
      </c>
      <c r="C17" s="97"/>
      <c r="E17" s="52">
        <f>=+BAL!G9</f>
      </c>
      <c r="H17" s="97" t="s">
        <v>138</v>
      </c>
      <c r="I17" s="97"/>
      <c r="K17" s="52">
        <f>=+(BAL!G62/4)</f>
      </c>
      <c r="N17" s="52"/>
    </row>
    <row r="18" ht="13.50" customHeight="true">
      <c r="B18" s="97" t="s">
        <v>139</v>
      </c>
      <c r="E18" s="52">
        <f>=+BAL!G17</f>
      </c>
      <c r="H18" s="97" t="s">
        <v>140</v>
      </c>
      <c r="I18" s="97"/>
      <c r="K18" s="52">
        <f>=+BAL!G79</f>
      </c>
      <c r="M18" s="52"/>
    </row>
    <row r="19" ht="13.50" customHeight="true">
      <c r="B19" s="97" t="s">
        <v>141</v>
      </c>
      <c r="C19" s="97"/>
      <c r="E19" s="52">
        <f>=+BAL!G23</f>
      </c>
      <c r="H19" s="97" t="s">
        <v>142</v>
      </c>
      <c r="I19" s="97"/>
      <c r="K19" s="52">
        <f>=+BAL!G81</f>
      </c>
      <c r="M19" s="52"/>
    </row>
    <row r="20" ht="13.50" customHeight="true">
      <c r="B20" s="97" t="s">
        <v>143</v>
      </c>
      <c r="C20" s="97"/>
      <c r="E20" s="52">
        <f>=+BAL!G38+BAL!G35+BAL!G32+BAL!G31</f>
      </c>
      <c r="H20" s="97" t="s">
        <v>144</v>
      </c>
      <c r="I20" s="97"/>
      <c r="K20" s="98">
        <f>=+BAL!G90</f>
      </c>
    </row>
    <row r="21" ht="13.50" customHeight="true">
      <c r="B21" s="97" t="s">
        <v>145</v>
      </c>
      <c r="C21" s="97"/>
      <c r="E21" s="52">
        <f>=+BAL!G33</f>
      </c>
      <c r="K21" s="52">
        <f>=SUM(K16:K20)</f>
      </c>
    </row>
    <row r="22" ht="13.50" customHeight="true">
      <c r="B22" s="97" t="s">
        <v>146</v>
      </c>
      <c r="C22" s="97"/>
      <c r="E22" s="52">
        <f>=+BAL!G28</f>
      </c>
      <c r="K22" s="52"/>
    </row>
    <row r="23" ht="13.50" customHeight="true">
      <c r="B23" s="97" t="s">
        <v>147</v>
      </c>
      <c r="C23" s="97"/>
      <c r="E23" s="52">
        <f>=+BAL!G45</f>
      </c>
      <c r="I23" s="96" t="s">
        <v>148</v>
      </c>
    </row>
    <row r="24" ht="13.50" customHeight="true">
      <c r="B24" s="97" t="s">
        <v>149</v>
      </c>
      <c r="C24" s="97"/>
      <c r="E24" s="98">
        <f>=+BAL!G43</f>
      </c>
      <c r="H24" s="97" t="s">
        <v>138</v>
      </c>
      <c r="I24" s="97"/>
      <c r="K24" s="52">
        <f>=+K17*4-K17-0.03</f>
      </c>
    </row>
    <row r="25" ht="13.50" customHeight="true">
      <c r="B25" s="97"/>
      <c r="C25" s="97"/>
      <c r="E25" s="52"/>
      <c r="Q25" s="52"/>
      <c r="S25" s="52"/>
    </row>
    <row r="26" ht="13.50" customHeight="true">
      <c r="B26" s="96" t="s">
        <v>150</v>
      </c>
      <c r="D26" s="52"/>
      <c r="F26" s="52">
        <f>=SUM(E16:E24)</f>
      </c>
      <c r="H26" s="96" t="s">
        <v>151</v>
      </c>
      <c r="L26" s="52">
        <f>=SUM(K15:K20)+K24</f>
      </c>
      <c r="M26" s="52"/>
    </row>
    <row r="27" ht="15.00" customHeight="true">
      <c r="D27" s="99"/>
      <c r="L27" s="52"/>
      <c r="M27" s="52"/>
    </row>
    <row r="28" ht="13.50" customHeight="true">
      <c r="C28" s="96" t="s">
        <v>152</v>
      </c>
      <c r="D28" s="48"/>
      <c r="I28" s="96"/>
      <c r="M28" s="52"/>
    </row>
    <row r="29" ht="13.50" customHeight="true">
      <c r="B29" s="97" t="s">
        <v>153</v>
      </c>
      <c r="E29" s="52">
        <v>0</v>
      </c>
      <c r="F29" s="52"/>
      <c r="I29" s="96" t="s">
        <v>154</v>
      </c>
      <c r="M29" s="52"/>
    </row>
    <row r="30" ht="13.50" customHeight="true">
      <c r="B30" s="97" t="s">
        <v>155</v>
      </c>
      <c r="E30" s="52">
        <f>=+BAL!G48</f>
      </c>
      <c r="I30" s="96" t="s">
        <v>156</v>
      </c>
      <c r="M30" s="52"/>
    </row>
    <row r="31" ht="13.50" customHeight="true">
      <c r="B31" s="97" t="s">
        <v>157</v>
      </c>
      <c r="E31" s="52">
        <f>=+BAL!G51</f>
      </c>
      <c r="H31" s="97" t="s">
        <v>158</v>
      </c>
      <c r="K31" s="52">
        <f>=+BAL!G91</f>
      </c>
      <c r="M31" s="52"/>
    </row>
    <row r="32" ht="13.50" customHeight="true">
      <c r="B32" s="97" t="s">
        <v>159</v>
      </c>
      <c r="E32" s="52">
        <f>=+BAL!G54</f>
      </c>
      <c r="H32" s="97" t="s">
        <v>160</v>
      </c>
      <c r="K32" s="52">
        <f>=+BAL!G94</f>
      </c>
      <c r="M32" s="52"/>
    </row>
    <row r="33" ht="13.50" customHeight="true">
      <c r="B33" s="97" t="s">
        <v>161</v>
      </c>
      <c r="E33" s="52">
        <f>=+BAL!G58</f>
      </c>
      <c r="H33" s="97" t="s">
        <v>162</v>
      </c>
      <c r="K33" s="52">
        <f>=+BAL!G95</f>
      </c>
      <c r="M33" s="52"/>
    </row>
    <row r="34" ht="13.50" customHeight="true">
      <c r="B34" s="97" t="s">
        <v>163</v>
      </c>
      <c r="E34" s="98">
        <f>=-BAL!G50-BAL!G53-BAL!G57-BAL!G60</f>
      </c>
      <c r="H34" s="97" t="s">
        <v>164</v>
      </c>
      <c r="K34" s="98">
        <f>=+ER!H70</f>
      </c>
    </row>
    <row r="35" ht="15.00" customHeight="true">
      <c r="B35" s="97"/>
      <c r="E35" s="99"/>
      <c r="M35" s="52"/>
    </row>
    <row r="36" ht="13.50" customHeight="true">
      <c r="B36" s="96" t="s">
        <v>165</v>
      </c>
      <c r="F36" s="52">
        <f>=SUM(E29:E34)</f>
      </c>
      <c r="H36" s="96" t="s">
        <v>166</v>
      </c>
      <c r="L36" s="52">
        <f>=SUM(K31:K34)</f>
      </c>
    </row>
    <row r="37" ht="13.50" customHeight="true">
      <c r="B37" s="96"/>
      <c r="F37" s="52"/>
      <c r="K37" s="52"/>
    </row>
    <row r="38" hidden="1" ht="13.50" customHeight="true">
      <c r="C38" s="100" t="s">
        <v>167</v>
      </c>
      <c r="D38" s="48"/>
      <c r="F38" s="52"/>
    </row>
    <row r="39" hidden="1" ht="13.50" customHeight="true">
      <c r="B39" s="97" t="s">
        <v>168</v>
      </c>
      <c r="E39" s="52">
        <v>0</v>
      </c>
      <c r="F39" s="52"/>
    </row>
    <row r="40" hidden="1" ht="13.50" customHeight="true">
      <c r="B40" s="97" t="s">
        <v>169</v>
      </c>
      <c r="E40" s="98">
        <v>0</v>
      </c>
      <c r="F40" s="52"/>
    </row>
    <row r="41" hidden="1" ht="13.50" customHeight="true">
      <c r="B41" s="97"/>
      <c r="E41" s="52"/>
      <c r="F41" s="52"/>
    </row>
    <row r="42" hidden="1" ht="13.50" customHeight="true">
      <c r="B42" s="96" t="s">
        <v>170</v>
      </c>
      <c r="F42" s="98">
        <f>=SUM(E39:E40)</f>
      </c>
    </row>
    <row r="43" hidden="1" ht="13.50" customHeight="true">
      <c r="B43" s="96"/>
      <c r="F43" s="52"/>
    </row>
    <row r="45" ht="13.50" customHeight="true">
      <c r="B45" s="96" t="s">
        <v>171</v>
      </c>
      <c r="C45" s="96"/>
      <c r="F45" s="101">
        <f>=F26+F36+F42</f>
      </c>
      <c r="H45" s="96" t="s">
        <v>172</v>
      </c>
      <c r="L45" s="101">
        <f>=L26+L36-0</f>
      </c>
    </row>
    <row r="47" ht="13.50" customHeight="true">
      <c r="I47" s="52"/>
      <c r="L47" s="52">
        <f>=+F45-L45</f>
      </c>
    </row>
    <row r="48" ht="15.75" customHeight="true">
      <c r="F48" s="102">
        <f>=+F45-L45</f>
      </c>
      <c r="G48" s="103"/>
    </row>
    <row r="49" ht="13.50" customHeight="true"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</row>
    <row r="50" ht="13.50" customHeight="true"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ht="13.50" customHeight="true"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</row>
    <row r="52" ht="13.50" customHeight="true"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ht="13.50" customHeight="true"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</row>
    <row r="54" ht="13.50" customHeight="true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</row>
    <row r="55" ht="13.50" customHeight="true">
      <c r="B55" s="105"/>
      <c r="C55" s="105"/>
      <c r="D55" s="105"/>
      <c r="E55" s="105"/>
      <c r="F55" s="105"/>
      <c r="G55" s="106"/>
      <c r="H55" s="105"/>
    </row>
    <row r="56" ht="13.50" customHeight="true">
      <c r="B56" s="106"/>
      <c r="C56" s="106"/>
      <c r="D56" s="106"/>
      <c r="E56" s="106"/>
      <c r="F56" s="106"/>
      <c r="G56" s="107"/>
      <c r="H56" s="108"/>
      <c r="I56" s="108"/>
      <c r="J56" s="108"/>
      <c r="K56" s="108"/>
      <c r="L56" s="108"/>
    </row>
    <row r="57" ht="13.50" customHeight="true">
      <c r="B57" s="107"/>
      <c r="C57" s="107"/>
      <c r="D57" s="107"/>
      <c r="E57" s="107"/>
      <c r="F57" s="107"/>
      <c r="G57" s="107"/>
      <c r="H57" s="108"/>
      <c r="I57" s="108"/>
      <c r="J57" s="108"/>
      <c r="K57" s="108"/>
      <c r="L57" s="108"/>
    </row>
    <row r="58" ht="13.50" customHeight="true">
      <c r="B58" s="109" t="s">
        <v>173</v>
      </c>
      <c r="C58" s="109"/>
      <c r="D58" s="109"/>
      <c r="E58" s="109"/>
      <c r="F58" s="108"/>
      <c r="G58" s="110"/>
      <c r="H58" s="108"/>
      <c r="I58" s="108"/>
      <c r="J58" s="111" t="s">
        <v>174</v>
      </c>
      <c r="K58" s="112"/>
      <c r="L58" s="108"/>
    </row>
    <row r="59" ht="13.50" customHeight="true">
      <c r="B59" s="111" t="s">
        <v>175</v>
      </c>
      <c r="C59" s="111"/>
      <c r="D59" s="111"/>
      <c r="E59" s="111"/>
      <c r="F59" s="113"/>
      <c r="G59" s="107"/>
      <c r="H59" s="108"/>
      <c r="I59" s="112"/>
      <c r="J59" s="111" t="s">
        <v>176</v>
      </c>
      <c r="K59" s="112"/>
      <c r="L59" s="108"/>
    </row>
    <row r="60" ht="13.50" customHeight="true">
      <c r="B60" s="111" t="s">
        <v>177</v>
      </c>
      <c r="C60" s="111" t="s">
        <v>178</v>
      </c>
      <c r="D60" s="111"/>
      <c r="E60" s="111"/>
      <c r="F60" s="107"/>
      <c r="H60" s="108"/>
      <c r="I60" s="108"/>
      <c r="J60" s="108"/>
      <c r="K60" s="108"/>
      <c r="L60" s="108"/>
    </row>
  </sheetData>
  <mergeCells count="8">
    <mergeCell ref="B58:E58"/>
    <mergeCell ref="B59:E59"/>
    <mergeCell ref="B60:E60"/>
    <mergeCell ref="B5:L5"/>
    <mergeCell ref="B7:L7"/>
    <mergeCell ref="B8:L8"/>
    <mergeCell ref="B9:L9"/>
    <mergeCell ref="B10:L10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34"/>
  <cols>
    <col min="1" max="1" width="3.92" customWidth="1" hidden="0"/>
    <col min="2" max="2" width="11.77" customWidth="1" hidden="0"/>
    <col min="3" max="3" width="22.57" customWidth="1" hidden="0"/>
    <col min="4" max="4" width="16.93" customWidth="1" hidden="1"/>
    <col min="5" max="5" width="2.45" customWidth="1" hidden="1"/>
    <col min="6" max="6" width="1.72" customWidth="1" hidden="1"/>
    <col min="7" max="7" width="2.45" customWidth="1" hidden="0"/>
    <col min="8" max="8" width="16.93" customWidth="1" hidden="0"/>
    <col min="9" max="9" width="2.45" customWidth="1" hidden="0"/>
    <col min="10" max="10" width="10.55" customWidth="1" hidden="0"/>
    <col min="11" max="11" width="2.45" customWidth="1" hidden="0"/>
    <col min="12" max="12" width="8.34" customWidth="1" hidden="0"/>
    <col min="13" max="13" width="13.12" customWidth="1" hidden="0"/>
    <col min="14" max="14" width="10.43" customWidth="1" hidden="0"/>
    <col min="15" max="16" width="8.34" customWidth="1" hidden="0"/>
    <col min="17" max="17" width="13.61" customWidth="1" hidden="0"/>
    <col min="18" max="18" width="12.02" customWidth="1" hidden="0"/>
    <col min="19" max="20" width="8.34" customWidth="1" hidden="0"/>
    <col min="21" max="21" width="11.90" customWidth="1" hidden="0"/>
    <col min="22" max="256" width="8.34" customWidth="1" hidden="0"/>
    <col min="257" max="257" width="3.92" customWidth="1" hidden="0"/>
    <col min="258" max="258" width="11.77" customWidth="1" hidden="0"/>
    <col min="259" max="259" width="22.57" customWidth="1" hidden="0"/>
    <col min="260" max="262" width="2.21" customWidth="1" hidden="1"/>
    <col min="263" max="263" width="2.45" customWidth="1" hidden="0"/>
    <col min="264" max="264" width="16.93" customWidth="1" hidden="0"/>
    <col min="265" max="265" width="2.45" customWidth="1" hidden="0"/>
    <col min="266" max="266" width="10.55" customWidth="1" hidden="0"/>
    <col min="267" max="267" width="2.45" customWidth="1" hidden="0"/>
    <col min="268" max="268" width="8.34" customWidth="1" hidden="0"/>
    <col min="269" max="269" width="11.53" customWidth="1" hidden="0"/>
    <col min="270" max="512" width="8.34" customWidth="1" hidden="0"/>
    <col min="513" max="513" width="3.92" customWidth="1" hidden="0"/>
    <col min="514" max="514" width="11.77" customWidth="1" hidden="0"/>
    <col min="515" max="515" width="22.57" customWidth="1" hidden="0"/>
    <col min="516" max="518" width="2.21" customWidth="1" hidden="1"/>
    <col min="519" max="519" width="2.45" customWidth="1" hidden="0"/>
    <col min="520" max="520" width="16.93" customWidth="1" hidden="0"/>
    <col min="521" max="521" width="2.45" customWidth="1" hidden="0"/>
    <col min="522" max="522" width="10.55" customWidth="1" hidden="0"/>
    <col min="523" max="523" width="2.45" customWidth="1" hidden="0"/>
    <col min="524" max="524" width="8.34" customWidth="1" hidden="0"/>
    <col min="525" max="525" width="11.53" customWidth="1" hidden="0"/>
    <col min="526" max="768" width="8.34" customWidth="1" hidden="0"/>
    <col min="769" max="769" width="3.92" customWidth="1" hidden="0"/>
    <col min="770" max="770" width="11.77" customWidth="1" hidden="0"/>
    <col min="771" max="771" width="22.57" customWidth="1" hidden="0"/>
    <col min="772" max="774" width="2.21" customWidth="1" hidden="1"/>
    <col min="775" max="775" width="2.45" customWidth="1" hidden="0"/>
    <col min="776" max="776" width="16.93" customWidth="1" hidden="0"/>
    <col min="777" max="777" width="2.45" customWidth="1" hidden="0"/>
    <col min="778" max="778" width="10.55" customWidth="1" hidden="0"/>
    <col min="779" max="779" width="2.45" customWidth="1" hidden="0"/>
    <col min="780" max="780" width="8.34" customWidth="1" hidden="0"/>
    <col min="781" max="781" width="11.53" customWidth="1" hidden="0"/>
    <col min="782" max="1024" width="8.34" customWidth="1" hidden="0"/>
    <col min="1025" max="1025" width="3.92" customWidth="1" hidden="0"/>
    <col min="1026" max="1026" width="11.77" customWidth="1" hidden="0"/>
    <col min="1027" max="1027" width="22.57" customWidth="1" hidden="0"/>
    <col min="1028" max="1030" width="2.21" customWidth="1" hidden="1"/>
    <col min="1031" max="1031" width="2.45" customWidth="1" hidden="0"/>
    <col min="1032" max="1032" width="16.93" customWidth="1" hidden="0"/>
    <col min="1033" max="1033" width="2.45" customWidth="1" hidden="0"/>
    <col min="1034" max="1034" width="10.55" customWidth="1" hidden="0"/>
    <col min="1035" max="1035" width="2.45" customWidth="1" hidden="0"/>
    <col min="1036" max="1036" width="8.34" customWidth="1" hidden="0"/>
    <col min="1037" max="1037" width="11.53" customWidth="1" hidden="0"/>
    <col min="1038" max="1280" width="8.34" customWidth="1" hidden="0"/>
    <col min="1281" max="1281" width="3.92" customWidth="1" hidden="0"/>
    <col min="1282" max="1282" width="11.77" customWidth="1" hidden="0"/>
    <col min="1283" max="1283" width="22.57" customWidth="1" hidden="0"/>
    <col min="1284" max="1286" width="2.21" customWidth="1" hidden="1"/>
    <col min="1287" max="1287" width="2.45" customWidth="1" hidden="0"/>
    <col min="1288" max="1288" width="16.93" customWidth="1" hidden="0"/>
    <col min="1289" max="1289" width="2.45" customWidth="1" hidden="0"/>
    <col min="1290" max="1290" width="10.55" customWidth="1" hidden="0"/>
    <col min="1291" max="1291" width="2.45" customWidth="1" hidden="0"/>
    <col min="1292" max="1292" width="8.34" customWidth="1" hidden="0"/>
    <col min="1293" max="1293" width="11.53" customWidth="1" hidden="0"/>
    <col min="1294" max="1536" width="8.34" customWidth="1" hidden="0"/>
    <col min="1537" max="1537" width="3.92" customWidth="1" hidden="0"/>
    <col min="1538" max="1538" width="11.77" customWidth="1" hidden="0"/>
    <col min="1539" max="1539" width="22.57" customWidth="1" hidden="0"/>
    <col min="1540" max="1542" width="2.21" customWidth="1" hidden="1"/>
    <col min="1543" max="1543" width="2.45" customWidth="1" hidden="0"/>
    <col min="1544" max="1544" width="16.93" customWidth="1" hidden="0"/>
    <col min="1545" max="1545" width="2.45" customWidth="1" hidden="0"/>
    <col min="1546" max="1546" width="10.55" customWidth="1" hidden="0"/>
    <col min="1547" max="1547" width="2.45" customWidth="1" hidden="0"/>
    <col min="1548" max="1548" width="8.34" customWidth="1" hidden="0"/>
    <col min="1549" max="1549" width="11.53" customWidth="1" hidden="0"/>
    <col min="1550" max="1792" width="8.34" customWidth="1" hidden="0"/>
    <col min="1793" max="1793" width="3.92" customWidth="1" hidden="0"/>
    <col min="1794" max="1794" width="11.77" customWidth="1" hidden="0"/>
    <col min="1795" max="1795" width="22.57" customWidth="1" hidden="0"/>
    <col min="1796" max="1798" width="2.21" customWidth="1" hidden="1"/>
    <col min="1799" max="1799" width="2.45" customWidth="1" hidden="0"/>
    <col min="1800" max="1800" width="16.93" customWidth="1" hidden="0"/>
    <col min="1801" max="1801" width="2.45" customWidth="1" hidden="0"/>
    <col min="1802" max="1802" width="10.55" customWidth="1" hidden="0"/>
    <col min="1803" max="1803" width="2.45" customWidth="1" hidden="0"/>
    <col min="1804" max="1804" width="8.34" customWidth="1" hidden="0"/>
    <col min="1805" max="1805" width="11.53" customWidth="1" hidden="0"/>
    <col min="1806" max="2048" width="8.34" customWidth="1" hidden="0"/>
    <col min="2049" max="2049" width="3.92" customWidth="1" hidden="0"/>
    <col min="2050" max="2050" width="11.77" customWidth="1" hidden="0"/>
    <col min="2051" max="2051" width="22.57" customWidth="1" hidden="0"/>
    <col min="2052" max="2054" width="2.21" customWidth="1" hidden="1"/>
    <col min="2055" max="2055" width="2.45" customWidth="1" hidden="0"/>
    <col min="2056" max="2056" width="16.93" customWidth="1" hidden="0"/>
    <col min="2057" max="2057" width="2.45" customWidth="1" hidden="0"/>
    <col min="2058" max="2058" width="10.55" customWidth="1" hidden="0"/>
    <col min="2059" max="2059" width="2.45" customWidth="1" hidden="0"/>
    <col min="2060" max="2060" width="8.34" customWidth="1" hidden="0"/>
    <col min="2061" max="2061" width="11.53" customWidth="1" hidden="0"/>
    <col min="2062" max="2304" width="8.34" customWidth="1" hidden="0"/>
    <col min="2305" max="2305" width="3.92" customWidth="1" hidden="0"/>
    <col min="2306" max="2306" width="11.77" customWidth="1" hidden="0"/>
    <col min="2307" max="2307" width="22.57" customWidth="1" hidden="0"/>
    <col min="2308" max="2310" width="2.21" customWidth="1" hidden="1"/>
    <col min="2311" max="2311" width="2.45" customWidth="1" hidden="0"/>
    <col min="2312" max="2312" width="16.93" customWidth="1" hidden="0"/>
    <col min="2313" max="2313" width="2.45" customWidth="1" hidden="0"/>
    <col min="2314" max="2314" width="10.55" customWidth="1" hidden="0"/>
    <col min="2315" max="2315" width="2.45" customWidth="1" hidden="0"/>
    <col min="2316" max="2316" width="8.34" customWidth="1" hidden="0"/>
    <col min="2317" max="2317" width="11.53" customWidth="1" hidden="0"/>
    <col min="2318" max="2560" width="8.34" customWidth="1" hidden="0"/>
    <col min="2561" max="2561" width="3.92" customWidth="1" hidden="0"/>
    <col min="2562" max="2562" width="11.77" customWidth="1" hidden="0"/>
    <col min="2563" max="2563" width="22.57" customWidth="1" hidden="0"/>
    <col min="2564" max="2566" width="2.21" customWidth="1" hidden="1"/>
    <col min="2567" max="2567" width="2.45" customWidth="1" hidden="0"/>
    <col min="2568" max="2568" width="16.93" customWidth="1" hidden="0"/>
    <col min="2569" max="2569" width="2.45" customWidth="1" hidden="0"/>
    <col min="2570" max="2570" width="10.55" customWidth="1" hidden="0"/>
    <col min="2571" max="2571" width="2.45" customWidth="1" hidden="0"/>
    <col min="2572" max="2572" width="8.34" customWidth="1" hidden="0"/>
    <col min="2573" max="2573" width="11.53" customWidth="1" hidden="0"/>
    <col min="2574" max="2816" width="8.34" customWidth="1" hidden="0"/>
    <col min="2817" max="2817" width="3.92" customWidth="1" hidden="0"/>
    <col min="2818" max="2818" width="11.77" customWidth="1" hidden="0"/>
    <col min="2819" max="2819" width="22.57" customWidth="1" hidden="0"/>
    <col min="2820" max="2822" width="2.21" customWidth="1" hidden="1"/>
    <col min="2823" max="2823" width="2.45" customWidth="1" hidden="0"/>
    <col min="2824" max="2824" width="16.93" customWidth="1" hidden="0"/>
    <col min="2825" max="2825" width="2.45" customWidth="1" hidden="0"/>
    <col min="2826" max="2826" width="10.55" customWidth="1" hidden="0"/>
    <col min="2827" max="2827" width="2.45" customWidth="1" hidden="0"/>
    <col min="2828" max="2828" width="8.34" customWidth="1" hidden="0"/>
    <col min="2829" max="2829" width="11.53" customWidth="1" hidden="0"/>
    <col min="2830" max="3072" width="8.34" customWidth="1" hidden="0"/>
    <col min="3073" max="3073" width="3.92" customWidth="1" hidden="0"/>
    <col min="3074" max="3074" width="11.77" customWidth="1" hidden="0"/>
    <col min="3075" max="3075" width="22.57" customWidth="1" hidden="0"/>
    <col min="3076" max="3078" width="2.21" customWidth="1" hidden="1"/>
    <col min="3079" max="3079" width="2.45" customWidth="1" hidden="0"/>
    <col min="3080" max="3080" width="16.93" customWidth="1" hidden="0"/>
    <col min="3081" max="3081" width="2.45" customWidth="1" hidden="0"/>
    <col min="3082" max="3082" width="10.55" customWidth="1" hidden="0"/>
    <col min="3083" max="3083" width="2.45" customWidth="1" hidden="0"/>
    <col min="3084" max="3084" width="8.34" customWidth="1" hidden="0"/>
    <col min="3085" max="3085" width="11.53" customWidth="1" hidden="0"/>
    <col min="3086" max="3328" width="8.34" customWidth="1" hidden="0"/>
    <col min="3329" max="3329" width="3.92" customWidth="1" hidden="0"/>
    <col min="3330" max="3330" width="11.77" customWidth="1" hidden="0"/>
    <col min="3331" max="3331" width="22.57" customWidth="1" hidden="0"/>
    <col min="3332" max="3334" width="2.21" customWidth="1" hidden="1"/>
    <col min="3335" max="3335" width="2.45" customWidth="1" hidden="0"/>
    <col min="3336" max="3336" width="16.93" customWidth="1" hidden="0"/>
    <col min="3337" max="3337" width="2.45" customWidth="1" hidden="0"/>
    <col min="3338" max="3338" width="10.55" customWidth="1" hidden="0"/>
    <col min="3339" max="3339" width="2.45" customWidth="1" hidden="0"/>
    <col min="3340" max="3340" width="8.34" customWidth="1" hidden="0"/>
    <col min="3341" max="3341" width="11.53" customWidth="1" hidden="0"/>
    <col min="3342" max="3584" width="8.34" customWidth="1" hidden="0"/>
    <col min="3585" max="3585" width="3.92" customWidth="1" hidden="0"/>
    <col min="3586" max="3586" width="11.77" customWidth="1" hidden="0"/>
    <col min="3587" max="3587" width="22.57" customWidth="1" hidden="0"/>
    <col min="3588" max="3590" width="2.21" customWidth="1" hidden="1"/>
    <col min="3591" max="3591" width="2.45" customWidth="1" hidden="0"/>
    <col min="3592" max="3592" width="16.93" customWidth="1" hidden="0"/>
    <col min="3593" max="3593" width="2.45" customWidth="1" hidden="0"/>
    <col min="3594" max="3594" width="10.55" customWidth="1" hidden="0"/>
    <col min="3595" max="3595" width="2.45" customWidth="1" hidden="0"/>
    <col min="3596" max="3596" width="8.34" customWidth="1" hidden="0"/>
    <col min="3597" max="3597" width="11.53" customWidth="1" hidden="0"/>
    <col min="3598" max="3840" width="8.34" customWidth="1" hidden="0"/>
    <col min="3841" max="3841" width="3.92" customWidth="1" hidden="0"/>
    <col min="3842" max="3842" width="11.77" customWidth="1" hidden="0"/>
    <col min="3843" max="3843" width="22.57" customWidth="1" hidden="0"/>
    <col min="3844" max="3846" width="2.21" customWidth="1" hidden="1"/>
    <col min="3847" max="3847" width="2.45" customWidth="1" hidden="0"/>
    <col min="3848" max="3848" width="16.93" customWidth="1" hidden="0"/>
    <col min="3849" max="3849" width="2.45" customWidth="1" hidden="0"/>
    <col min="3850" max="3850" width="10.55" customWidth="1" hidden="0"/>
    <col min="3851" max="3851" width="2.45" customWidth="1" hidden="0"/>
    <col min="3852" max="3852" width="8.34" customWidth="1" hidden="0"/>
    <col min="3853" max="3853" width="11.53" customWidth="1" hidden="0"/>
    <col min="3854" max="4096" width="8.34" customWidth="1" hidden="0"/>
    <col min="4097" max="4097" width="3.92" customWidth="1" hidden="0"/>
    <col min="4098" max="4098" width="11.77" customWidth="1" hidden="0"/>
    <col min="4099" max="4099" width="22.57" customWidth="1" hidden="0"/>
    <col min="4100" max="4102" width="2.21" customWidth="1" hidden="1"/>
    <col min="4103" max="4103" width="2.45" customWidth="1" hidden="0"/>
    <col min="4104" max="4104" width="16.93" customWidth="1" hidden="0"/>
    <col min="4105" max="4105" width="2.45" customWidth="1" hidden="0"/>
    <col min="4106" max="4106" width="10.55" customWidth="1" hidden="0"/>
    <col min="4107" max="4107" width="2.45" customWidth="1" hidden="0"/>
    <col min="4108" max="4108" width="8.34" customWidth="1" hidden="0"/>
    <col min="4109" max="4109" width="11.53" customWidth="1" hidden="0"/>
    <col min="4110" max="4352" width="8.34" customWidth="1" hidden="0"/>
    <col min="4353" max="4353" width="3.92" customWidth="1" hidden="0"/>
    <col min="4354" max="4354" width="11.77" customWidth="1" hidden="0"/>
    <col min="4355" max="4355" width="22.57" customWidth="1" hidden="0"/>
    <col min="4356" max="4358" width="2.21" customWidth="1" hidden="1"/>
    <col min="4359" max="4359" width="2.45" customWidth="1" hidden="0"/>
    <col min="4360" max="4360" width="16.93" customWidth="1" hidden="0"/>
    <col min="4361" max="4361" width="2.45" customWidth="1" hidden="0"/>
    <col min="4362" max="4362" width="10.55" customWidth="1" hidden="0"/>
    <col min="4363" max="4363" width="2.45" customWidth="1" hidden="0"/>
    <col min="4364" max="4364" width="8.34" customWidth="1" hidden="0"/>
    <col min="4365" max="4365" width="11.53" customWidth="1" hidden="0"/>
    <col min="4366" max="4608" width="8.34" customWidth="1" hidden="0"/>
    <col min="4609" max="4609" width="3.92" customWidth="1" hidden="0"/>
    <col min="4610" max="4610" width="11.77" customWidth="1" hidden="0"/>
    <col min="4611" max="4611" width="22.57" customWidth="1" hidden="0"/>
    <col min="4612" max="4614" width="2.21" customWidth="1" hidden="1"/>
    <col min="4615" max="4615" width="2.45" customWidth="1" hidden="0"/>
    <col min="4616" max="4616" width="16.93" customWidth="1" hidden="0"/>
    <col min="4617" max="4617" width="2.45" customWidth="1" hidden="0"/>
    <col min="4618" max="4618" width="10.55" customWidth="1" hidden="0"/>
    <col min="4619" max="4619" width="2.45" customWidth="1" hidden="0"/>
    <col min="4620" max="4620" width="8.34" customWidth="1" hidden="0"/>
    <col min="4621" max="4621" width="11.53" customWidth="1" hidden="0"/>
    <col min="4622" max="4864" width="8.34" customWidth="1" hidden="0"/>
    <col min="4865" max="4865" width="3.92" customWidth="1" hidden="0"/>
    <col min="4866" max="4866" width="11.77" customWidth="1" hidden="0"/>
    <col min="4867" max="4867" width="22.57" customWidth="1" hidden="0"/>
    <col min="4868" max="4870" width="2.21" customWidth="1" hidden="1"/>
    <col min="4871" max="4871" width="2.45" customWidth="1" hidden="0"/>
    <col min="4872" max="4872" width="16.93" customWidth="1" hidden="0"/>
    <col min="4873" max="4873" width="2.45" customWidth="1" hidden="0"/>
    <col min="4874" max="4874" width="10.55" customWidth="1" hidden="0"/>
    <col min="4875" max="4875" width="2.45" customWidth="1" hidden="0"/>
    <col min="4876" max="4876" width="8.34" customWidth="1" hidden="0"/>
    <col min="4877" max="4877" width="11.53" customWidth="1" hidden="0"/>
    <col min="4878" max="5120" width="8.34" customWidth="1" hidden="0"/>
    <col min="5121" max="5121" width="3.92" customWidth="1" hidden="0"/>
    <col min="5122" max="5122" width="11.77" customWidth="1" hidden="0"/>
    <col min="5123" max="5123" width="22.57" customWidth="1" hidden="0"/>
    <col min="5124" max="5126" width="2.21" customWidth="1" hidden="1"/>
    <col min="5127" max="5127" width="2.45" customWidth="1" hidden="0"/>
    <col min="5128" max="5128" width="16.93" customWidth="1" hidden="0"/>
    <col min="5129" max="5129" width="2.45" customWidth="1" hidden="0"/>
    <col min="5130" max="5130" width="10.55" customWidth="1" hidden="0"/>
    <col min="5131" max="5131" width="2.45" customWidth="1" hidden="0"/>
    <col min="5132" max="5132" width="8.34" customWidth="1" hidden="0"/>
    <col min="5133" max="5133" width="11.53" customWidth="1" hidden="0"/>
    <col min="5134" max="5376" width="8.34" customWidth="1" hidden="0"/>
    <col min="5377" max="5377" width="3.92" customWidth="1" hidden="0"/>
    <col min="5378" max="5378" width="11.77" customWidth="1" hidden="0"/>
    <col min="5379" max="5379" width="22.57" customWidth="1" hidden="0"/>
    <col min="5380" max="5382" width="2.21" customWidth="1" hidden="1"/>
    <col min="5383" max="5383" width="2.45" customWidth="1" hidden="0"/>
    <col min="5384" max="5384" width="16.93" customWidth="1" hidden="0"/>
    <col min="5385" max="5385" width="2.45" customWidth="1" hidden="0"/>
    <col min="5386" max="5386" width="10.55" customWidth="1" hidden="0"/>
    <col min="5387" max="5387" width="2.45" customWidth="1" hidden="0"/>
    <col min="5388" max="5388" width="8.34" customWidth="1" hidden="0"/>
    <col min="5389" max="5389" width="11.53" customWidth="1" hidden="0"/>
    <col min="5390" max="5632" width="8.34" customWidth="1" hidden="0"/>
    <col min="5633" max="5633" width="3.92" customWidth="1" hidden="0"/>
    <col min="5634" max="5634" width="11.77" customWidth="1" hidden="0"/>
    <col min="5635" max="5635" width="22.57" customWidth="1" hidden="0"/>
    <col min="5636" max="5638" width="2.21" customWidth="1" hidden="1"/>
    <col min="5639" max="5639" width="2.45" customWidth="1" hidden="0"/>
    <col min="5640" max="5640" width="16.93" customWidth="1" hidden="0"/>
    <col min="5641" max="5641" width="2.45" customWidth="1" hidden="0"/>
    <col min="5642" max="5642" width="10.55" customWidth="1" hidden="0"/>
    <col min="5643" max="5643" width="2.45" customWidth="1" hidden="0"/>
    <col min="5644" max="5644" width="8.34" customWidth="1" hidden="0"/>
    <col min="5645" max="5645" width="11.53" customWidth="1" hidden="0"/>
    <col min="5646" max="5888" width="8.34" customWidth="1" hidden="0"/>
    <col min="5889" max="5889" width="3.92" customWidth="1" hidden="0"/>
    <col min="5890" max="5890" width="11.77" customWidth="1" hidden="0"/>
    <col min="5891" max="5891" width="22.57" customWidth="1" hidden="0"/>
    <col min="5892" max="5894" width="2.21" customWidth="1" hidden="1"/>
    <col min="5895" max="5895" width="2.45" customWidth="1" hidden="0"/>
    <col min="5896" max="5896" width="16.93" customWidth="1" hidden="0"/>
    <col min="5897" max="5897" width="2.45" customWidth="1" hidden="0"/>
    <col min="5898" max="5898" width="10.55" customWidth="1" hidden="0"/>
    <col min="5899" max="5899" width="2.45" customWidth="1" hidden="0"/>
    <col min="5900" max="5900" width="8.34" customWidth="1" hidden="0"/>
    <col min="5901" max="5901" width="11.53" customWidth="1" hidden="0"/>
    <col min="5902" max="6144" width="8.34" customWidth="1" hidden="0"/>
    <col min="6145" max="6145" width="3.92" customWidth="1" hidden="0"/>
    <col min="6146" max="6146" width="11.77" customWidth="1" hidden="0"/>
    <col min="6147" max="6147" width="22.57" customWidth="1" hidden="0"/>
    <col min="6148" max="6150" width="2.21" customWidth="1" hidden="1"/>
    <col min="6151" max="6151" width="2.45" customWidth="1" hidden="0"/>
    <col min="6152" max="6152" width="16.93" customWidth="1" hidden="0"/>
    <col min="6153" max="6153" width="2.45" customWidth="1" hidden="0"/>
    <col min="6154" max="6154" width="10.55" customWidth="1" hidden="0"/>
    <col min="6155" max="6155" width="2.45" customWidth="1" hidden="0"/>
    <col min="6156" max="6156" width="8.34" customWidth="1" hidden="0"/>
    <col min="6157" max="6157" width="11.53" customWidth="1" hidden="0"/>
    <col min="6158" max="6400" width="8.34" customWidth="1" hidden="0"/>
    <col min="6401" max="6401" width="3.92" customWidth="1" hidden="0"/>
    <col min="6402" max="6402" width="11.77" customWidth="1" hidden="0"/>
    <col min="6403" max="6403" width="22.57" customWidth="1" hidden="0"/>
    <col min="6404" max="6406" width="2.21" customWidth="1" hidden="1"/>
    <col min="6407" max="6407" width="2.45" customWidth="1" hidden="0"/>
    <col min="6408" max="6408" width="16.93" customWidth="1" hidden="0"/>
    <col min="6409" max="6409" width="2.45" customWidth="1" hidden="0"/>
    <col min="6410" max="6410" width="10.55" customWidth="1" hidden="0"/>
    <col min="6411" max="6411" width="2.45" customWidth="1" hidden="0"/>
    <col min="6412" max="6412" width="8.34" customWidth="1" hidden="0"/>
    <col min="6413" max="6413" width="11.53" customWidth="1" hidden="0"/>
    <col min="6414" max="6656" width="8.34" customWidth="1" hidden="0"/>
    <col min="6657" max="6657" width="3.92" customWidth="1" hidden="0"/>
    <col min="6658" max="6658" width="11.77" customWidth="1" hidden="0"/>
    <col min="6659" max="6659" width="22.57" customWidth="1" hidden="0"/>
    <col min="6660" max="6662" width="2.21" customWidth="1" hidden="1"/>
    <col min="6663" max="6663" width="2.45" customWidth="1" hidden="0"/>
    <col min="6664" max="6664" width="16.93" customWidth="1" hidden="0"/>
    <col min="6665" max="6665" width="2.45" customWidth="1" hidden="0"/>
    <col min="6666" max="6666" width="10.55" customWidth="1" hidden="0"/>
    <col min="6667" max="6667" width="2.45" customWidth="1" hidden="0"/>
    <col min="6668" max="6668" width="8.34" customWidth="1" hidden="0"/>
    <col min="6669" max="6669" width="11.53" customWidth="1" hidden="0"/>
    <col min="6670" max="6912" width="8.34" customWidth="1" hidden="0"/>
    <col min="6913" max="6913" width="3.92" customWidth="1" hidden="0"/>
    <col min="6914" max="6914" width="11.77" customWidth="1" hidden="0"/>
    <col min="6915" max="6915" width="22.57" customWidth="1" hidden="0"/>
    <col min="6916" max="6918" width="2.21" customWidth="1" hidden="1"/>
    <col min="6919" max="6919" width="2.45" customWidth="1" hidden="0"/>
    <col min="6920" max="6920" width="16.93" customWidth="1" hidden="0"/>
    <col min="6921" max="6921" width="2.45" customWidth="1" hidden="0"/>
    <col min="6922" max="6922" width="10.55" customWidth="1" hidden="0"/>
    <col min="6923" max="6923" width="2.45" customWidth="1" hidden="0"/>
    <col min="6924" max="6924" width="8.34" customWidth="1" hidden="0"/>
    <col min="6925" max="6925" width="11.53" customWidth="1" hidden="0"/>
    <col min="6926" max="7168" width="8.34" customWidth="1" hidden="0"/>
    <col min="7169" max="7169" width="3.92" customWidth="1" hidden="0"/>
    <col min="7170" max="7170" width="11.77" customWidth="1" hidden="0"/>
    <col min="7171" max="7171" width="22.57" customWidth="1" hidden="0"/>
    <col min="7172" max="7174" width="2.21" customWidth="1" hidden="1"/>
    <col min="7175" max="7175" width="2.45" customWidth="1" hidden="0"/>
    <col min="7176" max="7176" width="16.93" customWidth="1" hidden="0"/>
    <col min="7177" max="7177" width="2.45" customWidth="1" hidden="0"/>
    <col min="7178" max="7178" width="10.55" customWidth="1" hidden="0"/>
    <col min="7179" max="7179" width="2.45" customWidth="1" hidden="0"/>
    <col min="7180" max="7180" width="8.34" customWidth="1" hidden="0"/>
    <col min="7181" max="7181" width="11.53" customWidth="1" hidden="0"/>
    <col min="7182" max="7424" width="8.34" customWidth="1" hidden="0"/>
    <col min="7425" max="7425" width="3.92" customWidth="1" hidden="0"/>
    <col min="7426" max="7426" width="11.77" customWidth="1" hidden="0"/>
    <col min="7427" max="7427" width="22.57" customWidth="1" hidden="0"/>
    <col min="7428" max="7430" width="2.21" customWidth="1" hidden="1"/>
    <col min="7431" max="7431" width="2.45" customWidth="1" hidden="0"/>
    <col min="7432" max="7432" width="16.93" customWidth="1" hidden="0"/>
    <col min="7433" max="7433" width="2.45" customWidth="1" hidden="0"/>
    <col min="7434" max="7434" width="10.55" customWidth="1" hidden="0"/>
    <col min="7435" max="7435" width="2.45" customWidth="1" hidden="0"/>
    <col min="7436" max="7436" width="8.34" customWidth="1" hidden="0"/>
    <col min="7437" max="7437" width="11.53" customWidth="1" hidden="0"/>
    <col min="7438" max="7680" width="8.34" customWidth="1" hidden="0"/>
    <col min="7681" max="7681" width="3.92" customWidth="1" hidden="0"/>
    <col min="7682" max="7682" width="11.77" customWidth="1" hidden="0"/>
    <col min="7683" max="7683" width="22.57" customWidth="1" hidden="0"/>
    <col min="7684" max="7686" width="2.21" customWidth="1" hidden="1"/>
    <col min="7687" max="7687" width="2.45" customWidth="1" hidden="0"/>
    <col min="7688" max="7688" width="16.93" customWidth="1" hidden="0"/>
    <col min="7689" max="7689" width="2.45" customWidth="1" hidden="0"/>
    <col min="7690" max="7690" width="10.55" customWidth="1" hidden="0"/>
    <col min="7691" max="7691" width="2.45" customWidth="1" hidden="0"/>
    <col min="7692" max="7692" width="8.34" customWidth="1" hidden="0"/>
    <col min="7693" max="7693" width="11.53" customWidth="1" hidden="0"/>
    <col min="7694" max="7936" width="8.34" customWidth="1" hidden="0"/>
    <col min="7937" max="7937" width="3.92" customWidth="1" hidden="0"/>
    <col min="7938" max="7938" width="11.77" customWidth="1" hidden="0"/>
    <col min="7939" max="7939" width="22.57" customWidth="1" hidden="0"/>
    <col min="7940" max="7942" width="2.21" customWidth="1" hidden="1"/>
    <col min="7943" max="7943" width="2.45" customWidth="1" hidden="0"/>
    <col min="7944" max="7944" width="16.93" customWidth="1" hidden="0"/>
    <col min="7945" max="7945" width="2.45" customWidth="1" hidden="0"/>
    <col min="7946" max="7946" width="10.55" customWidth="1" hidden="0"/>
    <col min="7947" max="7947" width="2.45" customWidth="1" hidden="0"/>
    <col min="7948" max="7948" width="8.34" customWidth="1" hidden="0"/>
    <col min="7949" max="7949" width="11.53" customWidth="1" hidden="0"/>
    <col min="7950" max="8192" width="8.34" customWidth="1" hidden="0"/>
    <col min="8193" max="8193" width="3.92" customWidth="1" hidden="0"/>
    <col min="8194" max="8194" width="11.77" customWidth="1" hidden="0"/>
    <col min="8195" max="8195" width="22.57" customWidth="1" hidden="0"/>
    <col min="8196" max="8198" width="2.21" customWidth="1" hidden="1"/>
    <col min="8199" max="8199" width="2.45" customWidth="1" hidden="0"/>
    <col min="8200" max="8200" width="16.93" customWidth="1" hidden="0"/>
    <col min="8201" max="8201" width="2.45" customWidth="1" hidden="0"/>
    <col min="8202" max="8202" width="10.55" customWidth="1" hidden="0"/>
    <col min="8203" max="8203" width="2.45" customWidth="1" hidden="0"/>
    <col min="8204" max="8204" width="8.34" customWidth="1" hidden="0"/>
    <col min="8205" max="8205" width="11.53" customWidth="1" hidden="0"/>
    <col min="8206" max="8448" width="8.34" customWidth="1" hidden="0"/>
    <col min="8449" max="8449" width="3.92" customWidth="1" hidden="0"/>
    <col min="8450" max="8450" width="11.77" customWidth="1" hidden="0"/>
    <col min="8451" max="8451" width="22.57" customWidth="1" hidden="0"/>
    <col min="8452" max="8454" width="2.21" customWidth="1" hidden="1"/>
    <col min="8455" max="8455" width="2.45" customWidth="1" hidden="0"/>
    <col min="8456" max="8456" width="16.93" customWidth="1" hidden="0"/>
    <col min="8457" max="8457" width="2.45" customWidth="1" hidden="0"/>
    <col min="8458" max="8458" width="10.55" customWidth="1" hidden="0"/>
    <col min="8459" max="8459" width="2.45" customWidth="1" hidden="0"/>
    <col min="8460" max="8460" width="8.34" customWidth="1" hidden="0"/>
    <col min="8461" max="8461" width="11.53" customWidth="1" hidden="0"/>
    <col min="8462" max="8704" width="8.34" customWidth="1" hidden="0"/>
    <col min="8705" max="8705" width="3.92" customWidth="1" hidden="0"/>
    <col min="8706" max="8706" width="11.77" customWidth="1" hidden="0"/>
    <col min="8707" max="8707" width="22.57" customWidth="1" hidden="0"/>
    <col min="8708" max="8710" width="2.21" customWidth="1" hidden="1"/>
    <col min="8711" max="8711" width="2.45" customWidth="1" hidden="0"/>
    <col min="8712" max="8712" width="16.93" customWidth="1" hidden="0"/>
    <col min="8713" max="8713" width="2.45" customWidth="1" hidden="0"/>
    <col min="8714" max="8714" width="10.55" customWidth="1" hidden="0"/>
    <col min="8715" max="8715" width="2.45" customWidth="1" hidden="0"/>
    <col min="8716" max="8716" width="8.34" customWidth="1" hidden="0"/>
    <col min="8717" max="8717" width="11.53" customWidth="1" hidden="0"/>
    <col min="8718" max="8960" width="8.34" customWidth="1" hidden="0"/>
    <col min="8961" max="8961" width="3.92" customWidth="1" hidden="0"/>
    <col min="8962" max="8962" width="11.77" customWidth="1" hidden="0"/>
    <col min="8963" max="8963" width="22.57" customWidth="1" hidden="0"/>
    <col min="8964" max="8966" width="2.21" customWidth="1" hidden="1"/>
    <col min="8967" max="8967" width="2.45" customWidth="1" hidden="0"/>
    <col min="8968" max="8968" width="16.93" customWidth="1" hidden="0"/>
    <col min="8969" max="8969" width="2.45" customWidth="1" hidden="0"/>
    <col min="8970" max="8970" width="10.55" customWidth="1" hidden="0"/>
    <col min="8971" max="8971" width="2.45" customWidth="1" hidden="0"/>
    <col min="8972" max="8972" width="8.34" customWidth="1" hidden="0"/>
    <col min="8973" max="8973" width="11.53" customWidth="1" hidden="0"/>
    <col min="8974" max="9216" width="8.34" customWidth="1" hidden="0"/>
    <col min="9217" max="9217" width="3.92" customWidth="1" hidden="0"/>
    <col min="9218" max="9218" width="11.77" customWidth="1" hidden="0"/>
    <col min="9219" max="9219" width="22.57" customWidth="1" hidden="0"/>
    <col min="9220" max="9222" width="2.21" customWidth="1" hidden="1"/>
    <col min="9223" max="9223" width="2.45" customWidth="1" hidden="0"/>
    <col min="9224" max="9224" width="16.93" customWidth="1" hidden="0"/>
    <col min="9225" max="9225" width="2.45" customWidth="1" hidden="0"/>
    <col min="9226" max="9226" width="10.55" customWidth="1" hidden="0"/>
    <col min="9227" max="9227" width="2.45" customWidth="1" hidden="0"/>
    <col min="9228" max="9228" width="8.34" customWidth="1" hidden="0"/>
    <col min="9229" max="9229" width="11.53" customWidth="1" hidden="0"/>
    <col min="9230" max="9472" width="8.34" customWidth="1" hidden="0"/>
    <col min="9473" max="9473" width="3.92" customWidth="1" hidden="0"/>
    <col min="9474" max="9474" width="11.77" customWidth="1" hidden="0"/>
    <col min="9475" max="9475" width="22.57" customWidth="1" hidden="0"/>
    <col min="9476" max="9478" width="2.21" customWidth="1" hidden="1"/>
    <col min="9479" max="9479" width="2.45" customWidth="1" hidden="0"/>
    <col min="9480" max="9480" width="16.93" customWidth="1" hidden="0"/>
    <col min="9481" max="9481" width="2.45" customWidth="1" hidden="0"/>
    <col min="9482" max="9482" width="10.55" customWidth="1" hidden="0"/>
    <col min="9483" max="9483" width="2.45" customWidth="1" hidden="0"/>
    <col min="9484" max="9484" width="8.34" customWidth="1" hidden="0"/>
    <col min="9485" max="9485" width="11.53" customWidth="1" hidden="0"/>
    <col min="9486" max="9728" width="8.34" customWidth="1" hidden="0"/>
    <col min="9729" max="9729" width="3.92" customWidth="1" hidden="0"/>
    <col min="9730" max="9730" width="11.77" customWidth="1" hidden="0"/>
    <col min="9731" max="9731" width="22.57" customWidth="1" hidden="0"/>
    <col min="9732" max="9734" width="2.21" customWidth="1" hidden="1"/>
    <col min="9735" max="9735" width="2.45" customWidth="1" hidden="0"/>
    <col min="9736" max="9736" width="16.93" customWidth="1" hidden="0"/>
    <col min="9737" max="9737" width="2.45" customWidth="1" hidden="0"/>
    <col min="9738" max="9738" width="10.55" customWidth="1" hidden="0"/>
    <col min="9739" max="9739" width="2.45" customWidth="1" hidden="0"/>
    <col min="9740" max="9740" width="8.34" customWidth="1" hidden="0"/>
    <col min="9741" max="9741" width="11.53" customWidth="1" hidden="0"/>
    <col min="9742" max="9984" width="8.34" customWidth="1" hidden="0"/>
    <col min="9985" max="9985" width="3.92" customWidth="1" hidden="0"/>
    <col min="9986" max="9986" width="11.77" customWidth="1" hidden="0"/>
    <col min="9987" max="9987" width="22.57" customWidth="1" hidden="0"/>
    <col min="9988" max="9990" width="2.21" customWidth="1" hidden="1"/>
    <col min="9991" max="9991" width="2.45" customWidth="1" hidden="0"/>
    <col min="9992" max="9992" width="16.93" customWidth="1" hidden="0"/>
    <col min="9993" max="9993" width="2.45" customWidth="1" hidden="0"/>
    <col min="9994" max="9994" width="10.55" customWidth="1" hidden="0"/>
    <col min="9995" max="9995" width="2.45" customWidth="1" hidden="0"/>
    <col min="9996" max="9996" width="8.34" customWidth="1" hidden="0"/>
    <col min="9997" max="9997" width="11.53" customWidth="1" hidden="0"/>
    <col min="9998" max="10240" width="8.34" customWidth="1" hidden="0"/>
    <col min="10241" max="10241" width="3.92" customWidth="1" hidden="0"/>
    <col min="10242" max="10242" width="11.77" customWidth="1" hidden="0"/>
    <col min="10243" max="10243" width="22.57" customWidth="1" hidden="0"/>
    <col min="10244" max="10246" width="2.21" customWidth="1" hidden="1"/>
    <col min="10247" max="10247" width="2.45" customWidth="1" hidden="0"/>
    <col min="10248" max="10248" width="16.93" customWidth="1" hidden="0"/>
    <col min="10249" max="10249" width="2.45" customWidth="1" hidden="0"/>
    <col min="10250" max="10250" width="10.55" customWidth="1" hidden="0"/>
    <col min="10251" max="10251" width="2.45" customWidth="1" hidden="0"/>
    <col min="10252" max="10252" width="8.34" customWidth="1" hidden="0"/>
    <col min="10253" max="10253" width="11.53" customWidth="1" hidden="0"/>
    <col min="10254" max="10496" width="8.34" customWidth="1" hidden="0"/>
    <col min="10497" max="10497" width="3.92" customWidth="1" hidden="0"/>
    <col min="10498" max="10498" width="11.77" customWidth="1" hidden="0"/>
    <col min="10499" max="10499" width="22.57" customWidth="1" hidden="0"/>
    <col min="10500" max="10502" width="2.21" customWidth="1" hidden="1"/>
    <col min="10503" max="10503" width="2.45" customWidth="1" hidden="0"/>
    <col min="10504" max="10504" width="16.93" customWidth="1" hidden="0"/>
    <col min="10505" max="10505" width="2.45" customWidth="1" hidden="0"/>
    <col min="10506" max="10506" width="10.55" customWidth="1" hidden="0"/>
    <col min="10507" max="10507" width="2.45" customWidth="1" hidden="0"/>
    <col min="10508" max="10508" width="8.34" customWidth="1" hidden="0"/>
    <col min="10509" max="10509" width="11.53" customWidth="1" hidden="0"/>
    <col min="10510" max="10752" width="8.34" customWidth="1" hidden="0"/>
    <col min="10753" max="10753" width="3.92" customWidth="1" hidden="0"/>
    <col min="10754" max="10754" width="11.77" customWidth="1" hidden="0"/>
    <col min="10755" max="10755" width="22.57" customWidth="1" hidden="0"/>
    <col min="10756" max="10758" width="2.21" customWidth="1" hidden="1"/>
    <col min="10759" max="10759" width="2.45" customWidth="1" hidden="0"/>
    <col min="10760" max="10760" width="16.93" customWidth="1" hidden="0"/>
    <col min="10761" max="10761" width="2.45" customWidth="1" hidden="0"/>
    <col min="10762" max="10762" width="10.55" customWidth="1" hidden="0"/>
    <col min="10763" max="10763" width="2.45" customWidth="1" hidden="0"/>
    <col min="10764" max="10764" width="8.34" customWidth="1" hidden="0"/>
    <col min="10765" max="10765" width="11.53" customWidth="1" hidden="0"/>
    <col min="10766" max="11008" width="8.34" customWidth="1" hidden="0"/>
    <col min="11009" max="11009" width="3.92" customWidth="1" hidden="0"/>
    <col min="11010" max="11010" width="11.77" customWidth="1" hidden="0"/>
    <col min="11011" max="11011" width="22.57" customWidth="1" hidden="0"/>
    <col min="11012" max="11014" width="2.21" customWidth="1" hidden="1"/>
    <col min="11015" max="11015" width="2.45" customWidth="1" hidden="0"/>
    <col min="11016" max="11016" width="16.93" customWidth="1" hidden="0"/>
    <col min="11017" max="11017" width="2.45" customWidth="1" hidden="0"/>
    <col min="11018" max="11018" width="10.55" customWidth="1" hidden="0"/>
    <col min="11019" max="11019" width="2.45" customWidth="1" hidden="0"/>
    <col min="11020" max="11020" width="8.34" customWidth="1" hidden="0"/>
    <col min="11021" max="11021" width="11.53" customWidth="1" hidden="0"/>
    <col min="11022" max="11264" width="8.34" customWidth="1" hidden="0"/>
    <col min="11265" max="11265" width="3.92" customWidth="1" hidden="0"/>
    <col min="11266" max="11266" width="11.77" customWidth="1" hidden="0"/>
    <col min="11267" max="11267" width="22.57" customWidth="1" hidden="0"/>
    <col min="11268" max="11270" width="2.21" customWidth="1" hidden="1"/>
    <col min="11271" max="11271" width="2.45" customWidth="1" hidden="0"/>
    <col min="11272" max="11272" width="16.93" customWidth="1" hidden="0"/>
    <col min="11273" max="11273" width="2.45" customWidth="1" hidden="0"/>
    <col min="11274" max="11274" width="10.55" customWidth="1" hidden="0"/>
    <col min="11275" max="11275" width="2.45" customWidth="1" hidden="0"/>
    <col min="11276" max="11276" width="8.34" customWidth="1" hidden="0"/>
    <col min="11277" max="11277" width="11.53" customWidth="1" hidden="0"/>
    <col min="11278" max="11520" width="8.34" customWidth="1" hidden="0"/>
    <col min="11521" max="11521" width="3.92" customWidth="1" hidden="0"/>
    <col min="11522" max="11522" width="11.77" customWidth="1" hidden="0"/>
    <col min="11523" max="11523" width="22.57" customWidth="1" hidden="0"/>
    <col min="11524" max="11526" width="2.21" customWidth="1" hidden="1"/>
    <col min="11527" max="11527" width="2.45" customWidth="1" hidden="0"/>
    <col min="11528" max="11528" width="16.93" customWidth="1" hidden="0"/>
    <col min="11529" max="11529" width="2.45" customWidth="1" hidden="0"/>
    <col min="11530" max="11530" width="10.55" customWidth="1" hidden="0"/>
    <col min="11531" max="11531" width="2.45" customWidth="1" hidden="0"/>
    <col min="11532" max="11532" width="8.34" customWidth="1" hidden="0"/>
    <col min="11533" max="11533" width="11.53" customWidth="1" hidden="0"/>
    <col min="11534" max="11776" width="8.34" customWidth="1" hidden="0"/>
    <col min="11777" max="11777" width="3.92" customWidth="1" hidden="0"/>
    <col min="11778" max="11778" width="11.77" customWidth="1" hidden="0"/>
    <col min="11779" max="11779" width="22.57" customWidth="1" hidden="0"/>
    <col min="11780" max="11782" width="2.21" customWidth="1" hidden="1"/>
    <col min="11783" max="11783" width="2.45" customWidth="1" hidden="0"/>
    <col min="11784" max="11784" width="16.93" customWidth="1" hidden="0"/>
    <col min="11785" max="11785" width="2.45" customWidth="1" hidden="0"/>
    <col min="11786" max="11786" width="10.55" customWidth="1" hidden="0"/>
    <col min="11787" max="11787" width="2.45" customWidth="1" hidden="0"/>
    <col min="11788" max="11788" width="8.34" customWidth="1" hidden="0"/>
    <col min="11789" max="11789" width="11.53" customWidth="1" hidden="0"/>
    <col min="11790" max="12032" width="8.34" customWidth="1" hidden="0"/>
    <col min="12033" max="12033" width="3.92" customWidth="1" hidden="0"/>
    <col min="12034" max="12034" width="11.77" customWidth="1" hidden="0"/>
    <col min="12035" max="12035" width="22.57" customWidth="1" hidden="0"/>
    <col min="12036" max="12038" width="2.21" customWidth="1" hidden="1"/>
    <col min="12039" max="12039" width="2.45" customWidth="1" hidden="0"/>
    <col min="12040" max="12040" width="16.93" customWidth="1" hidden="0"/>
    <col min="12041" max="12041" width="2.45" customWidth="1" hidden="0"/>
    <col min="12042" max="12042" width="10.55" customWidth="1" hidden="0"/>
    <col min="12043" max="12043" width="2.45" customWidth="1" hidden="0"/>
    <col min="12044" max="12044" width="8.34" customWidth="1" hidden="0"/>
    <col min="12045" max="12045" width="11.53" customWidth="1" hidden="0"/>
    <col min="12046" max="12288" width="8.34" customWidth="1" hidden="0"/>
    <col min="12289" max="12289" width="3.92" customWidth="1" hidden="0"/>
    <col min="12290" max="12290" width="11.77" customWidth="1" hidden="0"/>
    <col min="12291" max="12291" width="22.57" customWidth="1" hidden="0"/>
    <col min="12292" max="12294" width="2.21" customWidth="1" hidden="1"/>
    <col min="12295" max="12295" width="2.45" customWidth="1" hidden="0"/>
    <col min="12296" max="12296" width="16.93" customWidth="1" hidden="0"/>
    <col min="12297" max="12297" width="2.45" customWidth="1" hidden="0"/>
    <col min="12298" max="12298" width="10.55" customWidth="1" hidden="0"/>
    <col min="12299" max="12299" width="2.45" customWidth="1" hidden="0"/>
    <col min="12300" max="12300" width="8.34" customWidth="1" hidden="0"/>
    <col min="12301" max="12301" width="11.53" customWidth="1" hidden="0"/>
    <col min="12302" max="12544" width="8.34" customWidth="1" hidden="0"/>
    <col min="12545" max="12545" width="3.92" customWidth="1" hidden="0"/>
    <col min="12546" max="12546" width="11.77" customWidth="1" hidden="0"/>
    <col min="12547" max="12547" width="22.57" customWidth="1" hidden="0"/>
    <col min="12548" max="12550" width="2.21" customWidth="1" hidden="1"/>
    <col min="12551" max="12551" width="2.45" customWidth="1" hidden="0"/>
    <col min="12552" max="12552" width="16.93" customWidth="1" hidden="0"/>
    <col min="12553" max="12553" width="2.45" customWidth="1" hidden="0"/>
    <col min="12554" max="12554" width="10.55" customWidth="1" hidden="0"/>
    <col min="12555" max="12555" width="2.45" customWidth="1" hidden="0"/>
    <col min="12556" max="12556" width="8.34" customWidth="1" hidden="0"/>
    <col min="12557" max="12557" width="11.53" customWidth="1" hidden="0"/>
    <col min="12558" max="12800" width="8.34" customWidth="1" hidden="0"/>
    <col min="12801" max="12801" width="3.92" customWidth="1" hidden="0"/>
    <col min="12802" max="12802" width="11.77" customWidth="1" hidden="0"/>
    <col min="12803" max="12803" width="22.57" customWidth="1" hidden="0"/>
    <col min="12804" max="12806" width="2.21" customWidth="1" hidden="1"/>
    <col min="12807" max="12807" width="2.45" customWidth="1" hidden="0"/>
    <col min="12808" max="12808" width="16.93" customWidth="1" hidden="0"/>
    <col min="12809" max="12809" width="2.45" customWidth="1" hidden="0"/>
    <col min="12810" max="12810" width="10.55" customWidth="1" hidden="0"/>
    <col min="12811" max="12811" width="2.45" customWidth="1" hidden="0"/>
    <col min="12812" max="12812" width="8.34" customWidth="1" hidden="0"/>
    <col min="12813" max="12813" width="11.53" customWidth="1" hidden="0"/>
    <col min="12814" max="13056" width="8.34" customWidth="1" hidden="0"/>
    <col min="13057" max="13057" width="3.92" customWidth="1" hidden="0"/>
    <col min="13058" max="13058" width="11.77" customWidth="1" hidden="0"/>
    <col min="13059" max="13059" width="22.57" customWidth="1" hidden="0"/>
    <col min="13060" max="13062" width="2.21" customWidth="1" hidden="1"/>
    <col min="13063" max="13063" width="2.45" customWidth="1" hidden="0"/>
    <col min="13064" max="13064" width="16.93" customWidth="1" hidden="0"/>
    <col min="13065" max="13065" width="2.45" customWidth="1" hidden="0"/>
    <col min="13066" max="13066" width="10.55" customWidth="1" hidden="0"/>
    <col min="13067" max="13067" width="2.45" customWidth="1" hidden="0"/>
    <col min="13068" max="13068" width="8.34" customWidth="1" hidden="0"/>
    <col min="13069" max="13069" width="11.53" customWidth="1" hidden="0"/>
    <col min="13070" max="13312" width="8.34" customWidth="1" hidden="0"/>
    <col min="13313" max="13313" width="3.92" customWidth="1" hidden="0"/>
    <col min="13314" max="13314" width="11.77" customWidth="1" hidden="0"/>
    <col min="13315" max="13315" width="22.57" customWidth="1" hidden="0"/>
    <col min="13316" max="13318" width="2.21" customWidth="1" hidden="1"/>
    <col min="13319" max="13319" width="2.45" customWidth="1" hidden="0"/>
    <col min="13320" max="13320" width="16.93" customWidth="1" hidden="0"/>
    <col min="13321" max="13321" width="2.45" customWidth="1" hidden="0"/>
    <col min="13322" max="13322" width="10.55" customWidth="1" hidden="0"/>
    <col min="13323" max="13323" width="2.45" customWidth="1" hidden="0"/>
    <col min="13324" max="13324" width="8.34" customWidth="1" hidden="0"/>
    <col min="13325" max="13325" width="11.53" customWidth="1" hidden="0"/>
    <col min="13326" max="13568" width="8.34" customWidth="1" hidden="0"/>
    <col min="13569" max="13569" width="3.92" customWidth="1" hidden="0"/>
    <col min="13570" max="13570" width="11.77" customWidth="1" hidden="0"/>
    <col min="13571" max="13571" width="22.57" customWidth="1" hidden="0"/>
    <col min="13572" max="13574" width="2.21" customWidth="1" hidden="1"/>
    <col min="13575" max="13575" width="2.45" customWidth="1" hidden="0"/>
    <col min="13576" max="13576" width="16.93" customWidth="1" hidden="0"/>
    <col min="13577" max="13577" width="2.45" customWidth="1" hidden="0"/>
    <col min="13578" max="13578" width="10.55" customWidth="1" hidden="0"/>
    <col min="13579" max="13579" width="2.45" customWidth="1" hidden="0"/>
    <col min="13580" max="13580" width="8.34" customWidth="1" hidden="0"/>
    <col min="13581" max="13581" width="11.53" customWidth="1" hidden="0"/>
    <col min="13582" max="13824" width="8.34" customWidth="1" hidden="0"/>
    <col min="13825" max="13825" width="3.92" customWidth="1" hidden="0"/>
    <col min="13826" max="13826" width="11.77" customWidth="1" hidden="0"/>
    <col min="13827" max="13827" width="22.57" customWidth="1" hidden="0"/>
    <col min="13828" max="13830" width="2.21" customWidth="1" hidden="1"/>
    <col min="13831" max="13831" width="2.45" customWidth="1" hidden="0"/>
    <col min="13832" max="13832" width="16.93" customWidth="1" hidden="0"/>
    <col min="13833" max="13833" width="2.45" customWidth="1" hidden="0"/>
    <col min="13834" max="13834" width="10.55" customWidth="1" hidden="0"/>
    <col min="13835" max="13835" width="2.45" customWidth="1" hidden="0"/>
    <col min="13836" max="13836" width="8.34" customWidth="1" hidden="0"/>
    <col min="13837" max="13837" width="11.53" customWidth="1" hidden="0"/>
    <col min="13838" max="14080" width="8.34" customWidth="1" hidden="0"/>
    <col min="14081" max="14081" width="3.92" customWidth="1" hidden="0"/>
    <col min="14082" max="14082" width="11.77" customWidth="1" hidden="0"/>
    <col min="14083" max="14083" width="22.57" customWidth="1" hidden="0"/>
    <col min="14084" max="14086" width="2.21" customWidth="1" hidden="1"/>
    <col min="14087" max="14087" width="2.45" customWidth="1" hidden="0"/>
    <col min="14088" max="14088" width="16.93" customWidth="1" hidden="0"/>
    <col min="14089" max="14089" width="2.45" customWidth="1" hidden="0"/>
    <col min="14090" max="14090" width="10.55" customWidth="1" hidden="0"/>
    <col min="14091" max="14091" width="2.45" customWidth="1" hidden="0"/>
    <col min="14092" max="14092" width="8.34" customWidth="1" hidden="0"/>
    <col min="14093" max="14093" width="11.53" customWidth="1" hidden="0"/>
    <col min="14094" max="14336" width="8.34" customWidth="1" hidden="0"/>
    <col min="14337" max="14337" width="3.92" customWidth="1" hidden="0"/>
    <col min="14338" max="14338" width="11.77" customWidth="1" hidden="0"/>
    <col min="14339" max="14339" width="22.57" customWidth="1" hidden="0"/>
    <col min="14340" max="14342" width="2.21" customWidth="1" hidden="1"/>
    <col min="14343" max="14343" width="2.45" customWidth="1" hidden="0"/>
    <col min="14344" max="14344" width="16.93" customWidth="1" hidden="0"/>
    <col min="14345" max="14345" width="2.45" customWidth="1" hidden="0"/>
    <col min="14346" max="14346" width="10.55" customWidth="1" hidden="0"/>
    <col min="14347" max="14347" width="2.45" customWidth="1" hidden="0"/>
    <col min="14348" max="14348" width="8.34" customWidth="1" hidden="0"/>
    <col min="14349" max="14349" width="11.53" customWidth="1" hidden="0"/>
    <col min="14350" max="14592" width="8.34" customWidth="1" hidden="0"/>
    <col min="14593" max="14593" width="3.92" customWidth="1" hidden="0"/>
    <col min="14594" max="14594" width="11.77" customWidth="1" hidden="0"/>
    <col min="14595" max="14595" width="22.57" customWidth="1" hidden="0"/>
    <col min="14596" max="14598" width="2.21" customWidth="1" hidden="1"/>
    <col min="14599" max="14599" width="2.45" customWidth="1" hidden="0"/>
    <col min="14600" max="14600" width="16.93" customWidth="1" hidden="0"/>
    <col min="14601" max="14601" width="2.45" customWidth="1" hidden="0"/>
    <col min="14602" max="14602" width="10.55" customWidth="1" hidden="0"/>
    <col min="14603" max="14603" width="2.45" customWidth="1" hidden="0"/>
    <col min="14604" max="14604" width="8.34" customWidth="1" hidden="0"/>
    <col min="14605" max="14605" width="11.53" customWidth="1" hidden="0"/>
    <col min="14606" max="14848" width="8.34" customWidth="1" hidden="0"/>
    <col min="14849" max="14849" width="3.92" customWidth="1" hidden="0"/>
    <col min="14850" max="14850" width="11.77" customWidth="1" hidden="0"/>
    <col min="14851" max="14851" width="22.57" customWidth="1" hidden="0"/>
    <col min="14852" max="14854" width="2.21" customWidth="1" hidden="1"/>
    <col min="14855" max="14855" width="2.45" customWidth="1" hidden="0"/>
    <col min="14856" max="14856" width="16.93" customWidth="1" hidden="0"/>
    <col min="14857" max="14857" width="2.45" customWidth="1" hidden="0"/>
    <col min="14858" max="14858" width="10.55" customWidth="1" hidden="0"/>
    <col min="14859" max="14859" width="2.45" customWidth="1" hidden="0"/>
    <col min="14860" max="14860" width="8.34" customWidth="1" hidden="0"/>
    <col min="14861" max="14861" width="11.53" customWidth="1" hidden="0"/>
    <col min="14862" max="15104" width="8.34" customWidth="1" hidden="0"/>
    <col min="15105" max="15105" width="3.92" customWidth="1" hidden="0"/>
    <col min="15106" max="15106" width="11.77" customWidth="1" hidden="0"/>
    <col min="15107" max="15107" width="22.57" customWidth="1" hidden="0"/>
    <col min="15108" max="15110" width="2.21" customWidth="1" hidden="1"/>
    <col min="15111" max="15111" width="2.45" customWidth="1" hidden="0"/>
    <col min="15112" max="15112" width="16.93" customWidth="1" hidden="0"/>
    <col min="15113" max="15113" width="2.45" customWidth="1" hidden="0"/>
    <col min="15114" max="15114" width="10.55" customWidth="1" hidden="0"/>
    <col min="15115" max="15115" width="2.45" customWidth="1" hidden="0"/>
    <col min="15116" max="15116" width="8.34" customWidth="1" hidden="0"/>
    <col min="15117" max="15117" width="11.53" customWidth="1" hidden="0"/>
    <col min="15118" max="15360" width="8.34" customWidth="1" hidden="0"/>
    <col min="15361" max="15361" width="3.92" customWidth="1" hidden="0"/>
    <col min="15362" max="15362" width="11.77" customWidth="1" hidden="0"/>
    <col min="15363" max="15363" width="22.57" customWidth="1" hidden="0"/>
    <col min="15364" max="15366" width="2.21" customWidth="1" hidden="1"/>
    <col min="15367" max="15367" width="2.45" customWidth="1" hidden="0"/>
    <col min="15368" max="15368" width="16.93" customWidth="1" hidden="0"/>
    <col min="15369" max="15369" width="2.45" customWidth="1" hidden="0"/>
    <col min="15370" max="15370" width="10.55" customWidth="1" hidden="0"/>
    <col min="15371" max="15371" width="2.45" customWidth="1" hidden="0"/>
    <col min="15372" max="15372" width="8.34" customWidth="1" hidden="0"/>
    <col min="15373" max="15373" width="11.53" customWidth="1" hidden="0"/>
    <col min="15374" max="15616" width="8.34" customWidth="1" hidden="0"/>
    <col min="15617" max="15617" width="3.92" customWidth="1" hidden="0"/>
    <col min="15618" max="15618" width="11.77" customWidth="1" hidden="0"/>
    <col min="15619" max="15619" width="22.57" customWidth="1" hidden="0"/>
    <col min="15620" max="15622" width="2.21" customWidth="1" hidden="1"/>
    <col min="15623" max="15623" width="2.45" customWidth="1" hidden="0"/>
    <col min="15624" max="15624" width="16.93" customWidth="1" hidden="0"/>
    <col min="15625" max="15625" width="2.45" customWidth="1" hidden="0"/>
    <col min="15626" max="15626" width="10.55" customWidth="1" hidden="0"/>
    <col min="15627" max="15627" width="2.45" customWidth="1" hidden="0"/>
    <col min="15628" max="15628" width="8.34" customWidth="1" hidden="0"/>
    <col min="15629" max="15629" width="11.53" customWidth="1" hidden="0"/>
    <col min="15630" max="15872" width="8.34" customWidth="1" hidden="0"/>
    <col min="15873" max="15873" width="3.92" customWidth="1" hidden="0"/>
    <col min="15874" max="15874" width="11.77" customWidth="1" hidden="0"/>
    <col min="15875" max="15875" width="22.57" customWidth="1" hidden="0"/>
    <col min="15876" max="15878" width="2.21" customWidth="1" hidden="1"/>
    <col min="15879" max="15879" width="2.45" customWidth="1" hidden="0"/>
    <col min="15880" max="15880" width="16.93" customWidth="1" hidden="0"/>
    <col min="15881" max="15881" width="2.45" customWidth="1" hidden="0"/>
    <col min="15882" max="15882" width="10.55" customWidth="1" hidden="0"/>
    <col min="15883" max="15883" width="2.45" customWidth="1" hidden="0"/>
    <col min="15884" max="15884" width="8.34" customWidth="1" hidden="0"/>
    <col min="15885" max="15885" width="11.53" customWidth="1" hidden="0"/>
    <col min="15886" max="16128" width="8.34" customWidth="1" hidden="0"/>
    <col min="16129" max="16129" width="3.92" customWidth="1" hidden="0"/>
    <col min="16130" max="16130" width="11.77" customWidth="1" hidden="0"/>
    <col min="16131" max="16131" width="22.57" customWidth="1" hidden="0"/>
    <col min="16132" max="16134" width="2.21" customWidth="1" hidden="1"/>
    <col min="16135" max="16135" width="2.45" customWidth="1" hidden="0"/>
    <col min="16136" max="16136" width="16.93" customWidth="1" hidden="0"/>
    <col min="16137" max="16137" width="2.45" customWidth="1" hidden="0"/>
    <col min="16138" max="16138" width="10.55" customWidth="1" hidden="0"/>
    <col min="16139" max="16139" width="2.45" customWidth="1" hidden="0"/>
    <col min="16140" max="16140" width="8.34" customWidth="1" hidden="0"/>
    <col min="16141" max="16141" width="11.53" customWidth="1" hidden="0"/>
    <col min="16142" max="16384" width="8.34" customWidth="1" hidden="0"/>
  </cols>
  <sheetData>
    <row r="9" ht="22.50" customHeight="true">
      <c r="A9" s="114"/>
      <c r="B9" s="44" t="s">
        <v>128</v>
      </c>
      <c r="C9" s="44"/>
      <c r="D9" s="44"/>
      <c r="E9" s="44"/>
      <c r="F9" s="44"/>
      <c r="G9" s="44"/>
      <c r="H9" s="44"/>
      <c r="I9" s="44"/>
      <c r="J9" s="44"/>
    </row>
    <row r="10" ht="14.25" customHeight="true">
      <c r="A10" s="115"/>
      <c r="B10" s="116" t="s">
        <v>179</v>
      </c>
      <c r="C10" s="116"/>
      <c r="D10" s="116"/>
      <c r="E10" s="116"/>
      <c r="F10" s="116"/>
      <c r="G10" s="116"/>
      <c r="H10" s="116"/>
      <c r="I10" s="116"/>
      <c r="J10" s="116"/>
      <c r="K10" s="117"/>
    </row>
    <row r="11" ht="12.75" customHeight="true">
      <c r="A11" s="52"/>
      <c r="B11" s="44" t="s">
        <v>180</v>
      </c>
      <c r="C11" s="44"/>
      <c r="D11" s="44"/>
      <c r="E11" s="44"/>
      <c r="F11" s="44"/>
      <c r="G11" s="44"/>
      <c r="H11" s="44"/>
      <c r="I11" s="44"/>
      <c r="J11" s="44"/>
      <c r="K11" s="52"/>
    </row>
    <row r="12" ht="12.75" customHeight="true">
      <c r="A12" s="44"/>
      <c r="B12" s="44" t="s">
        <v>131</v>
      </c>
      <c r="C12" s="44"/>
      <c r="D12" s="44"/>
      <c r="E12" s="44"/>
      <c r="F12" s="44"/>
      <c r="G12" s="44"/>
      <c r="H12" s="44"/>
      <c r="I12" s="44"/>
      <c r="J12" s="44"/>
      <c r="K12" s="52"/>
    </row>
    <row r="13" ht="12.75" customHeight="true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</row>
    <row r="14" ht="12.75" customHeight="true">
      <c r="B14" s="44"/>
      <c r="C14" s="44"/>
      <c r="D14" s="44"/>
      <c r="E14" s="44"/>
      <c r="F14" s="44"/>
      <c r="G14" s="44"/>
      <c r="H14" s="44"/>
      <c r="I14" s="44"/>
      <c r="J14" s="44"/>
      <c r="K14" s="44"/>
    </row>
    <row r="15" ht="12.75" customHeight="true">
      <c r="A15" s="118"/>
      <c r="B15" s="48"/>
      <c r="C15" s="119"/>
      <c r="D15" s="119" t="s">
        <v>181</v>
      </c>
      <c r="E15" s="119"/>
      <c r="F15" s="119" t="s">
        <v>182</v>
      </c>
      <c r="G15" s="44"/>
      <c r="H15" s="119" t="s">
        <v>183</v>
      </c>
      <c r="J15" s="119" t="s">
        <v>182</v>
      </c>
    </row>
    <row r="17" ht="13.50" customHeight="true">
      <c r="B17" s="120" t="s">
        <v>184</v>
      </c>
      <c r="C17" s="120"/>
    </row>
    <row r="18" ht="13.50" customHeight="true">
      <c r="A18" s="97"/>
      <c r="B18" s="121" t="s">
        <v>185</v>
      </c>
      <c r="C18" s="121"/>
      <c r="D18" s="98" t="s">
        <v>186</v>
      </c>
      <c r="E18" s="52"/>
      <c r="F18" s="44">
        <v>1.0001</v>
      </c>
      <c r="H18" s="52">
        <f>=+BAL!G105-H56</f>
      </c>
      <c r="J18" s="44">
        <v>1.0001</v>
      </c>
      <c r="M18" s="52"/>
    </row>
    <row r="19" ht="13.50" customHeight="true">
      <c r="A19" s="97"/>
      <c r="B19" s="121" t="s">
        <v>187</v>
      </c>
      <c r="C19" s="121"/>
      <c r="D19" s="97"/>
      <c r="E19" s="52"/>
      <c r="F19" s="44"/>
      <c r="H19" s="98">
        <v>0</v>
      </c>
      <c r="J19" s="44">
        <v>0</v>
      </c>
    </row>
    <row r="20" ht="13.50" customHeight="true">
      <c r="A20" s="97"/>
      <c r="B20" s="120" t="s">
        <v>188</v>
      </c>
      <c r="C20" s="120"/>
      <c r="D20" s="97"/>
      <c r="E20" s="52"/>
      <c r="F20" s="44"/>
      <c r="H20" s="52">
        <f>=SUM(H18:H19)</f>
      </c>
      <c r="J20" s="44">
        <f>=IF($H$18=0,0,H20/$H$18)</f>
      </c>
    </row>
    <row r="21" ht="13.50" customHeight="true">
      <c r="B21" s="96"/>
      <c r="D21" s="52"/>
      <c r="E21" s="52"/>
      <c r="F21" s="52"/>
      <c r="G21" s="52"/>
      <c r="H21" s="52"/>
    </row>
    <row r="22" ht="13.50" customHeight="true">
      <c r="B22" s="120" t="s">
        <v>189</v>
      </c>
      <c r="C22" s="120"/>
      <c r="D22" s="52"/>
      <c r="E22" s="52"/>
      <c r="F22" s="52"/>
      <c r="G22" s="52"/>
      <c r="H22" s="52"/>
    </row>
    <row r="23" ht="13.50" customHeight="true">
      <c r="B23" s="97" t="s">
        <v>190</v>
      </c>
      <c r="D23" s="98">
        <v>0</v>
      </c>
      <c r="E23" s="52"/>
      <c r="F23" s="44" t="s">
        <v>186</v>
      </c>
      <c r="H23" s="98">
        <f>=+BAL!G110+BAL!G119</f>
      </c>
      <c r="J23" s="44">
        <f>=IF($H$18=0,0,H23/$H$18)</f>
      </c>
    </row>
    <row r="24" ht="13.50" customHeight="true">
      <c r="B24" s="96"/>
      <c r="D24" s="52"/>
      <c r="E24" s="52"/>
      <c r="F24" s="52"/>
      <c r="G24" s="52"/>
      <c r="H24" s="52"/>
    </row>
    <row r="25" ht="13.50" customHeight="true">
      <c r="B25" s="120" t="s">
        <v>191</v>
      </c>
      <c r="C25" s="120"/>
      <c r="D25" s="52" t="s">
        <v>186</v>
      </c>
      <c r="E25" s="52"/>
      <c r="F25" s="44" t="s">
        <v>186</v>
      </c>
      <c r="G25" s="52"/>
      <c r="H25" s="52">
        <f>=+H20-H23</f>
      </c>
      <c r="J25" s="44">
        <f>=IF($H$18=0,0,H25/$H$18)</f>
      </c>
      <c r="M25" s="52"/>
    </row>
    <row r="26" ht="13.50" customHeight="true">
      <c r="D26" s="52"/>
      <c r="E26" s="52"/>
      <c r="F26" s="52"/>
      <c r="H26" s="52"/>
    </row>
    <row r="27" ht="13.50" customHeight="true">
      <c r="B27" s="120" t="s">
        <v>192</v>
      </c>
      <c r="C27" s="120"/>
      <c r="D27" s="52"/>
      <c r="E27" s="52"/>
      <c r="F27" s="52"/>
      <c r="H27" s="52"/>
    </row>
    <row r="28" ht="13.50" customHeight="true">
      <c r="A28" s="97"/>
      <c r="B28" s="97" t="s">
        <v>193</v>
      </c>
      <c r="C28" s="52"/>
      <c r="D28" s="52" t="s">
        <v>186</v>
      </c>
      <c r="E28" s="52"/>
      <c r="F28" s="44" t="s">
        <v>186</v>
      </c>
      <c r="G28" s="52"/>
      <c r="H28" s="52">
        <f>=+BAL!G120</f>
      </c>
      <c r="J28" s="44">
        <f ref="J28:J50" t="shared" si="3">=IF($H$18=0,0,H28/$H$18)</f>
      </c>
      <c r="M28" s="52"/>
      <c r="N28" s="52"/>
    </row>
    <row r="29" ht="13.50" customHeight="true">
      <c r="A29" s="97"/>
      <c r="B29" s="97" t="s">
        <v>194</v>
      </c>
      <c r="C29" s="52"/>
      <c r="D29" s="52"/>
      <c r="E29" s="52"/>
      <c r="F29" s="44"/>
      <c r="G29" s="52"/>
      <c r="H29" s="52">
        <f>=+BAL!G135</f>
      </c>
      <c r="J29" s="44">
        <f t="shared" si="3"/>
      </c>
      <c r="M29" s="52"/>
    </row>
    <row r="30" ht="16.50" customHeight="true">
      <c r="A30" s="97"/>
      <c r="B30" s="97" t="s">
        <v>195</v>
      </c>
      <c r="C30" s="99"/>
      <c r="D30" s="52" t="s">
        <v>186</v>
      </c>
      <c r="E30" s="52"/>
      <c r="F30" s="44" t="s">
        <v>186</v>
      </c>
      <c r="G30" s="52"/>
      <c r="H30" s="52">
        <f>=+BAL!G141</f>
      </c>
      <c r="J30" s="44">
        <f t="shared" si="3"/>
      </c>
      <c r="M30" s="52"/>
    </row>
    <row r="31" ht="16.50" customHeight="true">
      <c r="A31" s="97"/>
      <c r="B31" s="97" t="s">
        <v>196</v>
      </c>
      <c r="C31" s="99"/>
      <c r="D31" s="52" t="s">
        <v>186</v>
      </c>
      <c r="E31" s="52"/>
      <c r="F31" s="44" t="s">
        <v>186</v>
      </c>
      <c r="G31" s="52"/>
      <c r="H31" s="52">
        <f>=+BAL!G144</f>
      </c>
      <c r="J31" s="44">
        <f t="shared" si="3"/>
      </c>
      <c r="M31" s="52"/>
    </row>
    <row r="32" ht="13.50" customHeight="true">
      <c r="A32" s="97"/>
      <c r="B32" s="97" t="s">
        <v>197</v>
      </c>
      <c r="C32" s="48"/>
      <c r="D32" s="52" t="s">
        <v>186</v>
      </c>
      <c r="E32" s="52"/>
      <c r="F32" s="44" t="s">
        <v>186</v>
      </c>
      <c r="H32" s="52">
        <f>=+BAL!G147</f>
      </c>
      <c r="J32" s="44">
        <f t="shared" si="3"/>
      </c>
      <c r="M32" s="52"/>
    </row>
    <row r="33" ht="13.50" customHeight="true">
      <c r="A33" s="97"/>
      <c r="B33" s="97" t="s">
        <v>198</v>
      </c>
      <c r="C33" s="48"/>
      <c r="D33" s="52" t="s">
        <v>186</v>
      </c>
      <c r="E33" s="52"/>
      <c r="F33" s="44" t="s">
        <v>186</v>
      </c>
      <c r="H33" s="52">
        <f>=+BAL!G148</f>
      </c>
      <c r="J33" s="44">
        <f t="shared" si="3"/>
      </c>
    </row>
    <row r="34" ht="13.50" customHeight="true">
      <c r="A34" s="97"/>
      <c r="B34" s="97" t="s">
        <v>199</v>
      </c>
      <c r="C34" s="48"/>
      <c r="D34" s="52" t="s">
        <v>186</v>
      </c>
      <c r="E34" s="52"/>
      <c r="F34" s="44" t="s">
        <v>186</v>
      </c>
      <c r="H34" s="52">
        <f>=+BAL!G152</f>
      </c>
      <c r="J34" s="44">
        <f t="shared" si="3"/>
      </c>
      <c r="M34" s="52"/>
      <c r="N34" s="52"/>
    </row>
    <row r="35" ht="13.50" customHeight="true">
      <c r="A35" s="97"/>
      <c r="B35" s="97" t="s">
        <v>200</v>
      </c>
      <c r="C35" s="48"/>
      <c r="D35" s="52" t="s">
        <v>186</v>
      </c>
      <c r="E35" s="52"/>
      <c r="F35" s="44" t="s">
        <v>186</v>
      </c>
      <c r="H35" s="52">
        <f>=+BAL!G153+BAL!G154</f>
      </c>
      <c r="J35" s="44">
        <f t="shared" si="3"/>
      </c>
    </row>
    <row r="36" ht="13.50" customHeight="true">
      <c r="A36" s="97"/>
      <c r="B36" s="97" t="s">
        <v>201</v>
      </c>
      <c r="C36" s="48"/>
      <c r="D36" s="52"/>
      <c r="E36" s="52"/>
      <c r="F36" s="44"/>
      <c r="H36" s="52">
        <f>=+BAL!G155</f>
      </c>
      <c r="J36" s="44">
        <f t="shared" si="3"/>
      </c>
    </row>
    <row r="37" ht="13.50" customHeight="true">
      <c r="A37" s="97"/>
      <c r="B37" s="97" t="s">
        <v>202</v>
      </c>
      <c r="C37" s="48"/>
      <c r="D37" s="52" t="s">
        <v>186</v>
      </c>
      <c r="E37" s="52"/>
      <c r="F37" s="44" t="s">
        <v>186</v>
      </c>
      <c r="H37" s="52">
        <f>=+BAL!G157</f>
      </c>
      <c r="J37" s="44">
        <f t="shared" si="3"/>
      </c>
    </row>
    <row r="38" ht="13.50" customHeight="true">
      <c r="A38" s="97"/>
      <c r="B38" s="97" t="s">
        <v>115</v>
      </c>
      <c r="C38" s="48"/>
      <c r="D38" s="52" t="s">
        <v>186</v>
      </c>
      <c r="E38" s="52"/>
      <c r="F38" s="44" t="s">
        <v>186</v>
      </c>
      <c r="H38" s="52">
        <f>=+BAL!G161</f>
      </c>
      <c r="J38" s="44">
        <f t="shared" si="3"/>
      </c>
    </row>
    <row r="39" ht="13.50" customHeight="true">
      <c r="A39" s="97"/>
      <c r="B39" s="97" t="s">
        <v>203</v>
      </c>
      <c r="C39" s="48"/>
      <c r="D39" s="52" t="s">
        <v>186</v>
      </c>
      <c r="E39" s="52"/>
      <c r="F39" s="44" t="s">
        <v>186</v>
      </c>
      <c r="H39" s="52">
        <f>=+BAL!G160</f>
      </c>
      <c r="J39" s="44">
        <f t="shared" si="3"/>
      </c>
    </row>
    <row r="40" ht="13.50" customHeight="true">
      <c r="A40" s="97"/>
      <c r="B40" s="97" t="s">
        <v>204</v>
      </c>
      <c r="D40" s="52" t="s">
        <v>186</v>
      </c>
      <c r="E40" s="52"/>
      <c r="F40" s="44" t="s">
        <v>186</v>
      </c>
      <c r="H40" s="52">
        <f>=+BAL!G163</f>
      </c>
      <c r="J40" s="44">
        <f t="shared" si="3"/>
      </c>
    </row>
    <row r="41" ht="13.50" customHeight="true">
      <c r="A41" s="97"/>
      <c r="B41" s="97" t="s">
        <v>205</v>
      </c>
      <c r="D41" s="52" t="s">
        <v>186</v>
      </c>
      <c r="E41" s="52"/>
      <c r="F41" s="44" t="s">
        <v>186</v>
      </c>
      <c r="G41" s="52"/>
      <c r="H41" s="52">
        <f>=+BAL!G164</f>
      </c>
      <c r="J41" s="44">
        <f t="shared" si="3"/>
      </c>
      <c r="Q41" s="52"/>
    </row>
    <row r="42" ht="13.50" customHeight="true">
      <c r="A42" s="97"/>
      <c r="B42" s="97" t="s">
        <v>206</v>
      </c>
      <c r="D42" s="52"/>
      <c r="E42" s="52"/>
      <c r="F42" s="44"/>
      <c r="G42" s="52"/>
      <c r="H42" s="52">
        <f>=+BAL!G166</f>
      </c>
      <c r="J42" s="44">
        <f t="shared" si="3"/>
      </c>
      <c r="Q42" s="52"/>
    </row>
    <row r="43" ht="13.50" customHeight="true">
      <c r="A43" s="97"/>
      <c r="B43" s="97" t="s">
        <v>207</v>
      </c>
      <c r="D43" s="52" t="s">
        <v>186</v>
      </c>
      <c r="E43" s="52"/>
      <c r="F43" s="44" t="s">
        <v>186</v>
      </c>
      <c r="G43" s="52"/>
      <c r="H43" s="52">
        <f>=+BAL!G162</f>
      </c>
      <c r="J43" s="44">
        <f t="shared" si="3"/>
      </c>
    </row>
    <row r="44" ht="13.50" customHeight="true">
      <c r="A44" s="97"/>
      <c r="B44" s="97" t="s">
        <v>208</v>
      </c>
      <c r="D44" s="52" t="s">
        <v>186</v>
      </c>
      <c r="E44" s="52"/>
      <c r="F44" s="44" t="s">
        <v>186</v>
      </c>
      <c r="G44" s="52"/>
      <c r="H44" s="52">
        <f>=+BAL!G167</f>
      </c>
      <c r="J44" s="44">
        <f t="shared" si="3"/>
      </c>
    </row>
    <row r="45" ht="13.50" customHeight="true">
      <c r="A45" s="97"/>
      <c r="B45" s="97" t="s">
        <v>209</v>
      </c>
      <c r="D45" s="52" t="s">
        <v>186</v>
      </c>
      <c r="E45" s="52"/>
      <c r="F45" s="44" t="s">
        <v>186</v>
      </c>
      <c r="G45" s="52"/>
      <c r="H45" s="52">
        <f>=+BAL!G168</f>
      </c>
      <c r="J45" s="44">
        <f t="shared" si="3"/>
      </c>
    </row>
    <row r="46" ht="13.50" customHeight="true">
      <c r="A46" s="97"/>
      <c r="B46" s="97" t="s">
        <v>210</v>
      </c>
      <c r="D46" s="52" t="s">
        <v>186</v>
      </c>
      <c r="E46" s="52"/>
      <c r="F46" s="44" t="s">
        <v>186</v>
      </c>
      <c r="G46" s="52"/>
      <c r="H46" s="52">
        <f>=+BAL!G169+BAL!G156+BAL!G165</f>
      </c>
      <c r="J46" s="44">
        <f t="shared" si="3"/>
      </c>
    </row>
    <row r="47" ht="13.50" customHeight="true">
      <c r="A47" s="97"/>
      <c r="B47" s="97" t="s">
        <v>211</v>
      </c>
      <c r="D47" s="52" t="s">
        <v>186</v>
      </c>
      <c r="E47" s="52"/>
      <c r="F47" s="44" t="s">
        <v>186</v>
      </c>
      <c r="G47" s="52"/>
      <c r="H47" s="52">
        <f>=+BAL!G170</f>
      </c>
      <c r="J47" s="44">
        <f t="shared" si="3"/>
      </c>
    </row>
    <row r="48" hidden="1" ht="13.50" customHeight="true">
      <c r="A48" s="97"/>
      <c r="B48" s="97"/>
      <c r="D48" s="52" t="s">
        <v>186</v>
      </c>
      <c r="E48" s="52"/>
      <c r="F48" s="44" t="s">
        <v>186</v>
      </c>
      <c r="G48" s="52"/>
      <c r="H48" s="52"/>
      <c r="J48" s="44">
        <f t="shared" si="3"/>
      </c>
    </row>
    <row r="49" hidden="1" ht="13.50" customHeight="true">
      <c r="A49" s="97"/>
      <c r="B49" s="97"/>
      <c r="D49" s="52" t="s">
        <v>186</v>
      </c>
      <c r="E49" s="52"/>
      <c r="F49" s="44" t="s">
        <v>186</v>
      </c>
      <c r="H49" s="52"/>
      <c r="J49" s="44">
        <f t="shared" si="3"/>
      </c>
    </row>
    <row r="50" ht="13.50" customHeight="true">
      <c r="A50" s="97"/>
      <c r="B50" s="97" t="s">
        <v>212</v>
      </c>
      <c r="D50" s="98" t="s">
        <v>186</v>
      </c>
      <c r="E50" s="98"/>
      <c r="F50" s="44" t="s">
        <v>186</v>
      </c>
      <c r="H50" s="98">
        <f>=+BAL!G171</f>
      </c>
      <c r="J50" s="44">
        <f t="shared" si="3"/>
      </c>
    </row>
    <row r="51" ht="13.50" customHeight="true">
      <c r="B51" s="120" t="s">
        <v>213</v>
      </c>
      <c r="C51" s="120"/>
      <c r="D51" s="52" t="s">
        <v>186</v>
      </c>
      <c r="E51" s="52"/>
      <c r="F51" s="44" t="s">
        <v>186</v>
      </c>
      <c r="H51" s="52">
        <f>=SUM(H28:H50)</f>
      </c>
      <c r="J51" s="44">
        <f>=IF($H$18=0,0,H51/$H$18)</f>
      </c>
      <c r="M51" s="52"/>
      <c r="R51" s="52"/>
      <c r="U51" s="52"/>
    </row>
    <row r="52" ht="13.50" customHeight="true">
      <c r="B52" s="96"/>
      <c r="D52" s="52"/>
      <c r="E52" s="52"/>
      <c r="F52" s="52"/>
      <c r="H52" s="52"/>
      <c r="J52" s="52"/>
    </row>
    <row r="53" ht="13.50" customHeight="true">
      <c r="B53" s="120" t="s">
        <v>214</v>
      </c>
      <c r="C53" s="120"/>
      <c r="D53" s="52" t="s">
        <v>186</v>
      </c>
      <c r="E53" s="52"/>
      <c r="F53" s="44" t="s">
        <v>186</v>
      </c>
      <c r="G53" s="52"/>
      <c r="H53" s="108">
        <f>=+H25-H51</f>
      </c>
      <c r="J53" s="44">
        <f>=IF($H$18=0,0,H53/$H$18)</f>
      </c>
    </row>
    <row r="54" ht="13.50" customHeight="true">
      <c r="F54" s="52"/>
      <c r="H54" s="52"/>
      <c r="J54" s="52"/>
    </row>
    <row r="55" ht="13.50" customHeight="true">
      <c r="B55" s="120" t="s">
        <v>215</v>
      </c>
      <c r="C55" s="120"/>
      <c r="F55" s="52"/>
      <c r="H55" s="52"/>
      <c r="J55" s="52"/>
    </row>
    <row r="56" ht="13.50" customHeight="true">
      <c r="A56" s="97"/>
      <c r="B56" s="97" t="s">
        <v>216</v>
      </c>
      <c r="D56" s="52" t="s">
        <v>186</v>
      </c>
      <c r="E56" s="52"/>
      <c r="F56" s="44" t="s">
        <v>186</v>
      </c>
      <c r="H56" s="52">
        <f>=+BAL!G109</f>
      </c>
      <c r="J56" s="44">
        <f ref="J56:J58" t="shared" si="5">=IF($H$18=0,0,H56/$H$18)</f>
      </c>
    </row>
    <row r="57" ht="13.50" customHeight="true">
      <c r="A57" s="97"/>
      <c r="B57" s="97" t="s">
        <v>217</v>
      </c>
      <c r="D57" s="99">
        <v>0</v>
      </c>
      <c r="E57" s="99"/>
      <c r="F57" s="44" t="s">
        <v>186</v>
      </c>
      <c r="H57" s="98">
        <v>0</v>
      </c>
      <c r="J57" s="44">
        <f t="shared" si="5"/>
      </c>
    </row>
    <row r="58" ht="13.50" customHeight="true">
      <c r="B58" s="120" t="s">
        <v>218</v>
      </c>
      <c r="C58" s="120"/>
      <c r="D58" s="52" t="s">
        <v>186</v>
      </c>
      <c r="E58" s="52"/>
      <c r="F58" s="44" t="s">
        <v>186</v>
      </c>
      <c r="H58" s="52">
        <f>=SUM(H56:H57)</f>
      </c>
      <c r="J58" s="44">
        <f t="shared" si="5"/>
      </c>
    </row>
    <row r="59" ht="13.50" customHeight="true">
      <c r="F59" s="52"/>
      <c r="H59" s="52"/>
      <c r="J59" s="52"/>
    </row>
    <row r="60" ht="13.50" customHeight="true">
      <c r="A60" s="96"/>
      <c r="B60" s="120" t="s">
        <v>219</v>
      </c>
      <c r="C60" s="120"/>
      <c r="F60" s="52"/>
      <c r="H60" s="52"/>
      <c r="J60" s="52"/>
    </row>
    <row r="61" ht="13.50" customHeight="true">
      <c r="A61" s="97"/>
      <c r="B61" s="97" t="s">
        <v>220</v>
      </c>
      <c r="D61" s="52">
        <v>0</v>
      </c>
      <c r="E61" s="52"/>
      <c r="F61" s="44" t="s">
        <v>186</v>
      </c>
      <c r="H61" s="52">
        <f>=+BAL!G181</f>
      </c>
      <c r="J61" s="44">
        <f ref="J61:J63" t="shared" si="4">=IF($H$18=0,0,H61/$H$18)</f>
      </c>
    </row>
    <row r="62" ht="13.50" customHeight="true">
      <c r="A62" s="97"/>
      <c r="B62" s="97" t="s">
        <v>221</v>
      </c>
      <c r="D62" s="99" t="s">
        <v>186</v>
      </c>
      <c r="E62" s="99"/>
      <c r="F62" s="44" t="s">
        <v>186</v>
      </c>
      <c r="H62" s="98">
        <f>=-BAL!G174</f>
      </c>
      <c r="J62" s="44">
        <f t="shared" si="4"/>
      </c>
    </row>
    <row r="63" ht="13.50" customHeight="true">
      <c r="A63" s="97"/>
      <c r="B63" s="120" t="s">
        <v>222</v>
      </c>
      <c r="C63" s="120"/>
      <c r="D63" s="52" t="s">
        <v>186</v>
      </c>
      <c r="E63" s="52"/>
      <c r="F63" s="44" t="s">
        <v>186</v>
      </c>
      <c r="H63" s="52">
        <f>=SUM(H61:H62)</f>
      </c>
      <c r="J63" s="44">
        <f t="shared" si="4"/>
      </c>
    </row>
    <row r="64" ht="13.50" customHeight="true">
      <c r="B64" s="97"/>
      <c r="F64" s="52"/>
      <c r="J64" s="52"/>
    </row>
    <row r="65" ht="13.50" customHeight="true">
      <c r="B65" s="120" t="s">
        <v>223</v>
      </c>
      <c r="C65" s="120"/>
      <c r="D65" s="52" t="s">
        <v>186</v>
      </c>
      <c r="E65" s="52"/>
      <c r="F65" s="44" t="s">
        <v>186</v>
      </c>
      <c r="H65" s="52">
        <f>=+H53+H58+H63</f>
      </c>
      <c r="J65" s="44">
        <f>=IF($H$18=0,0,H65/$H$18)</f>
      </c>
    </row>
    <row r="66" ht="13.50" customHeight="true">
      <c r="B66" s="97"/>
      <c r="F66" s="52"/>
      <c r="J66" s="52"/>
    </row>
    <row r="67" ht="12.75" customHeight="true">
      <c r="B67" s="120" t="s">
        <v>224</v>
      </c>
      <c r="C67" s="120"/>
      <c r="D67" s="52">
        <v>0</v>
      </c>
      <c r="E67" s="52"/>
      <c r="F67" s="44" t="s">
        <v>186</v>
      </c>
      <c r="H67" s="52">
        <v>0</v>
      </c>
      <c r="J67" s="44">
        <f ref="J67:J68" t="shared" si="6">=IF($H$18=0,0,H67/$H$18)</f>
      </c>
    </row>
    <row r="68" ht="13.50" customHeight="true">
      <c r="B68" s="120" t="s">
        <v>225</v>
      </c>
      <c r="C68" s="120"/>
      <c r="D68" s="52">
        <v>0</v>
      </c>
      <c r="E68" s="52"/>
      <c r="F68" s="44" t="s">
        <v>186</v>
      </c>
      <c r="H68" s="52">
        <f>=+BAL!G180</f>
      </c>
      <c r="J68" s="44">
        <f t="shared" si="6"/>
      </c>
    </row>
    <row r="69" ht="13.50" customHeight="true">
      <c r="B69" s="97"/>
      <c r="F69" s="52"/>
      <c r="J69" s="52"/>
      <c r="U69" s="52"/>
    </row>
    <row r="70" ht="13.50" customHeight="true">
      <c r="B70" s="120" t="s">
        <v>226</v>
      </c>
      <c r="C70" s="120"/>
      <c r="D70" s="101" t="s">
        <v>186</v>
      </c>
      <c r="E70" s="52"/>
      <c r="F70" s="44" t="s">
        <v>186</v>
      </c>
      <c r="H70" s="101">
        <f>=+H65-H67-H68</f>
      </c>
      <c r="J70" s="44">
        <f>=IF($H$18=0,0,H70/$H$18)</f>
      </c>
    </row>
    <row r="71" ht="13.50" customHeight="true">
      <c r="B71" s="97"/>
    </row>
    <row r="72" ht="12.75" customHeight="true">
      <c r="B72" s="97"/>
    </row>
    <row r="73" hidden="1" ht="12.75" customHeight="true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</row>
    <row r="74" hidden="1" ht="12.75" customHeight="true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</row>
    <row r="75" hidden="1" ht="12.75" customHeight="true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</row>
    <row r="76" hidden="1" ht="12.75" customHeight="true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</row>
    <row r="77" hidden="1" ht="12.75" customHeight="true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</row>
    <row r="78" hidden="1" ht="12.75" customHeight="true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</row>
    <row r="79" hidden="1" ht="18.00" customHeight="true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</row>
    <row r="80" hidden="1" ht="12.75" customHeight="true">
      <c r="A80" s="106"/>
      <c r="B80" s="106"/>
      <c r="C80" s="106"/>
      <c r="D80" s="106"/>
      <c r="E80" s="106"/>
      <c r="F80" s="106"/>
      <c r="G80" s="108"/>
      <c r="H80" s="108"/>
      <c r="I80" s="108"/>
      <c r="J80" s="108"/>
      <c r="K80" s="108"/>
    </row>
    <row r="81" hidden="1" ht="12.75" customHeight="true">
      <c r="A81" s="107"/>
      <c r="B81" s="107"/>
      <c r="C81" s="107"/>
      <c r="D81" s="107"/>
      <c r="E81" s="107"/>
      <c r="F81" s="107"/>
      <c r="G81" s="108"/>
      <c r="H81" s="108"/>
      <c r="I81" s="108"/>
      <c r="J81" s="108"/>
      <c r="K81" s="108"/>
    </row>
    <row r="82" hidden="1" ht="12.75" customHeight="true">
      <c r="A82" s="109"/>
      <c r="B82" s="109"/>
      <c r="C82" s="109"/>
      <c r="D82" s="109"/>
      <c r="E82" s="108"/>
      <c r="F82" s="107"/>
      <c r="G82" s="108"/>
      <c r="H82" s="108"/>
      <c r="I82" s="111"/>
      <c r="J82" s="112"/>
      <c r="K82" s="108"/>
    </row>
    <row r="83" hidden="1" ht="12.75" customHeight="true">
      <c r="A83" s="111"/>
      <c r="B83" s="111"/>
      <c r="C83" s="111"/>
      <c r="D83" s="111"/>
      <c r="E83" s="113"/>
      <c r="F83" s="110"/>
      <c r="G83" s="108"/>
      <c r="H83" s="112"/>
      <c r="I83" s="111"/>
      <c r="J83" s="112"/>
      <c r="K83" s="108"/>
    </row>
    <row r="84" hidden="1" ht="12.75" customHeight="true">
      <c r="A84" s="111"/>
      <c r="B84" s="111"/>
      <c r="C84" s="111"/>
      <c r="D84" s="111"/>
      <c r="E84" s="107"/>
      <c r="F84" s="107"/>
      <c r="G84" s="108"/>
      <c r="H84" s="108"/>
      <c r="I84" s="108"/>
      <c r="J84" s="108"/>
      <c r="K84" s="108"/>
    </row>
  </sheetData>
  <mergeCells count="25">
    <mergeCell ref="A84:D84"/>
    <mergeCell ref="B67:C67"/>
    <mergeCell ref="B68:C68"/>
    <mergeCell ref="B70:C70"/>
    <mergeCell ref="A73:K79"/>
    <mergeCell ref="A82:D82"/>
    <mergeCell ref="A83:D83"/>
    <mergeCell ref="B65:C65"/>
    <mergeCell ref="B19:C19"/>
    <mergeCell ref="B20:C20"/>
    <mergeCell ref="B22:C22"/>
    <mergeCell ref="B25:C25"/>
    <mergeCell ref="B27:C27"/>
    <mergeCell ref="B51:C51"/>
    <mergeCell ref="B53:C53"/>
    <mergeCell ref="B55:C55"/>
    <mergeCell ref="B58:C58"/>
    <mergeCell ref="B60:C60"/>
    <mergeCell ref="B63:C63"/>
    <mergeCell ref="B18:C18"/>
    <mergeCell ref="B9:J9"/>
    <mergeCell ref="B10:J10"/>
    <mergeCell ref="B11:J11"/>
    <mergeCell ref="B12:J12"/>
    <mergeCell ref="B17:C17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5" topLeftCell="A6" activePane="bottomRight" state="frozen"/>
      <selection activeCell="A1" sqref="A1"/>
    </sheetView>
  </sheetViews>
  <sheetFormatPr defaultRowHeight="13.50" customHeight="1" defaultColWidth="10.43"/>
  <cols>
    <col min="1" max="1" width="5.15" customWidth="1" hidden="0"/>
    <col min="2" max="2" width="3.19" customWidth="1" hidden="0"/>
    <col min="3" max="3" width="28.46" customWidth="1" hidden="0"/>
    <col min="4" max="7" width="15.70" customWidth="1" hidden="0"/>
    <col min="8" max="8" width="4.91" customWidth="1" hidden="0"/>
    <col min="10" max="10" width="13.25" customWidth="1" hidden="0"/>
    <col min="11" max="11" width="15.21" customWidth="1" hidden="0"/>
    <col min="12" max="12" width="13.12" customWidth="1" hidden="0"/>
    <col min="13" max="13" width="14.10" customWidth="1" hidden="0"/>
  </cols>
  <sheetData>
    <row r="1" ht="13.50" customHeight="true">
      <c r="C1" s="122" t="s">
        <v>227</v>
      </c>
      <c r="D1" s="122"/>
      <c r="E1" s="122"/>
      <c r="F1" s="122"/>
      <c r="G1" s="122"/>
    </row>
    <row r="2" ht="15.00" customHeight="true">
      <c r="C2" s="123" t="s">
        <v>228</v>
      </c>
      <c r="D2" s="123"/>
      <c r="E2" s="123"/>
      <c r="F2" s="123"/>
      <c r="G2" s="123"/>
    </row>
    <row r="3" ht="17.25" customHeight="true">
      <c r="A3" s="64"/>
      <c r="B3" s="64"/>
      <c r="C3" s="124" t="s">
        <v>229</v>
      </c>
      <c r="D3" s="124"/>
      <c r="E3" s="124"/>
      <c r="F3" s="124"/>
      <c r="G3" s="124"/>
    </row>
    <row r="4" ht="15.00" customHeight="true">
      <c r="A4" s="125"/>
      <c r="B4" s="125"/>
      <c r="C4" s="126" t="s">
        <v>230</v>
      </c>
      <c r="D4" s="126"/>
      <c r="E4" s="126"/>
      <c r="F4" s="126"/>
      <c r="G4" s="126"/>
      <c r="M4" s="6">
        <f>=+L5-K5</f>
      </c>
    </row>
    <row r="5" ht="17.25" customHeight="true">
      <c r="C5" s="127"/>
      <c r="D5" s="127"/>
      <c r="E5" s="127"/>
      <c r="F5" s="127"/>
      <c r="G5" s="127"/>
      <c r="K5" s="6">
        <f>=SUBTOTAL(9,K7:K215)</f>
      </c>
      <c r="L5" s="6">
        <f>=SUBTOTAL(9,L7:L247)</f>
      </c>
    </row>
    <row r="6" ht="13.50" customHeight="true">
      <c r="C6" s="128" t="s">
        <v>231</v>
      </c>
      <c r="D6" s="128" t="s">
        <v>232</v>
      </c>
      <c r="E6" s="128" t="s">
        <v>233</v>
      </c>
      <c r="F6" s="128" t="s">
        <v>234</v>
      </c>
      <c r="G6" s="128" t="s">
        <v>235</v>
      </c>
    </row>
    <row r="7" ht="13.50" customHeight="true">
      <c r="A7" s="6" t="s">
        <v>236</v>
      </c>
      <c r="B7" s="6">
        <v>1</v>
      </c>
      <c r="C7" s="129" t="s">
        <v>237</v>
      </c>
      <c r="D7" s="130">
        <v>1324.44</v>
      </c>
      <c r="E7" s="130">
        <v>0</v>
      </c>
      <c r="F7" s="130">
        <v>0</v>
      </c>
      <c r="G7" s="130">
        <v>1324.44</v>
      </c>
      <c r="H7" s="6">
        <f>=IF(I7=C7,"ok","REVISAR")</f>
      </c>
      <c r="I7" s="6" t="s">
        <v>237</v>
      </c>
      <c r="J7" s="6">
        <v>1324.44</v>
      </c>
      <c r="K7" s="6">
        <v>0</v>
      </c>
      <c r="L7" s="6">
        <v>0</v>
      </c>
      <c r="M7" s="6">
        <v>1324.44</v>
      </c>
    </row>
    <row r="8" ht="13.50" customHeight="true">
      <c r="B8" s="6">
        <v>2</v>
      </c>
      <c r="C8" s="131" t="s">
        <v>238</v>
      </c>
      <c r="D8" s="132">
        <v>1324.44</v>
      </c>
      <c r="E8" s="132"/>
      <c r="F8" s="132"/>
      <c r="G8" s="132">
        <v>1324.44</v>
      </c>
      <c r="H8" s="6">
        <f ref="H8:H71" t="shared" si="1">=IF(I8=C8,"ok","REVISAR")</f>
      </c>
      <c r="I8" s="6" t="s">
        <v>238</v>
      </c>
      <c r="J8" s="6">
        <v>1324.44</v>
      </c>
      <c r="M8" s="6">
        <v>1324.44</v>
      </c>
    </row>
    <row r="9" ht="13.50" customHeight="true">
      <c r="A9" s="6" t="s">
        <v>236</v>
      </c>
      <c r="B9" s="6">
        <v>1</v>
      </c>
      <c r="C9" s="129" t="s">
        <v>239</v>
      </c>
      <c r="D9" s="130">
        <v>-1008205.812061</v>
      </c>
      <c r="E9" s="130">
        <v>0</v>
      </c>
      <c r="F9" s="130">
        <v>584.639999999999</v>
      </c>
      <c r="G9" s="130">
        <v>-1008790.452061</v>
      </c>
      <c r="H9" s="6">
        <f t="shared" si="1"/>
      </c>
      <c r="I9" s="6" t="s">
        <v>239</v>
      </c>
      <c r="J9" s="6">
        <v>-1008205.812061</v>
      </c>
      <c r="K9" s="6">
        <v>0</v>
      </c>
      <c r="L9" s="6">
        <v>584.639999999999</v>
      </c>
      <c r="M9" s="6">
        <v>-1008790.452061</v>
      </c>
    </row>
    <row r="10" ht="13.50" customHeight="true">
      <c r="B10" s="6">
        <v>2</v>
      </c>
      <c r="C10" s="131" t="s">
        <v>240</v>
      </c>
      <c r="D10" s="132">
        <v>-1331003.0999609</v>
      </c>
      <c r="E10" s="132"/>
      <c r="F10" s="132">
        <v>584.639999999999</v>
      </c>
      <c r="G10" s="132">
        <v>-1331587.7399609</v>
      </c>
      <c r="H10" s="6">
        <f t="shared" si="1"/>
      </c>
      <c r="I10" s="6" t="s">
        <v>240</v>
      </c>
      <c r="J10" s="6">
        <v>-1331003.0999609</v>
      </c>
      <c r="L10" s="6">
        <v>584.639999999999</v>
      </c>
      <c r="M10" s="6">
        <v>-1331587.7399609</v>
      </c>
    </row>
    <row r="11" ht="13.50" customHeight="true">
      <c r="B11" s="6">
        <v>1</v>
      </c>
      <c r="C11" s="133" t="s">
        <v>241</v>
      </c>
      <c r="D11" s="134">
        <v>301648.176000003</v>
      </c>
      <c r="E11" s="134"/>
      <c r="F11" s="134"/>
      <c r="G11" s="134">
        <v>301648.175999999</v>
      </c>
      <c r="H11" s="6">
        <f t="shared" si="1"/>
      </c>
      <c r="I11" s="6" t="s">
        <v>241</v>
      </c>
      <c r="J11" s="6">
        <v>301648.176000003</v>
      </c>
      <c r="M11" s="6">
        <v>301648.175999999</v>
      </c>
    </row>
    <row r="12" ht="13.50" customHeight="true">
      <c r="B12" s="6">
        <v>2</v>
      </c>
      <c r="C12" s="131" t="s">
        <v>242</v>
      </c>
      <c r="D12" s="132">
        <v>244.4019</v>
      </c>
      <c r="E12" s="132">
        <v>0</v>
      </c>
      <c r="F12" s="132">
        <v>0</v>
      </c>
      <c r="G12" s="132">
        <v>244.4019</v>
      </c>
      <c r="H12" s="6">
        <f t="shared" si="1"/>
      </c>
      <c r="I12" s="6" t="s">
        <v>242</v>
      </c>
      <c r="J12" s="6">
        <v>244.4019</v>
      </c>
      <c r="K12" s="6">
        <v>0</v>
      </c>
      <c r="L12" s="6">
        <v>0</v>
      </c>
      <c r="M12" s="6">
        <v>244.4019</v>
      </c>
    </row>
    <row r="13" ht="13.50" customHeight="true">
      <c r="B13" s="6">
        <v>1</v>
      </c>
      <c r="C13" s="133" t="s">
        <v>243</v>
      </c>
      <c r="D13" s="134">
        <v>14.1099999999999</v>
      </c>
      <c r="E13" s="134"/>
      <c r="F13" s="134"/>
      <c r="G13" s="134">
        <v>14.1099999999999</v>
      </c>
      <c r="H13" s="6">
        <f t="shared" si="1"/>
      </c>
      <c r="I13" s="6" t="s">
        <v>243</v>
      </c>
      <c r="J13" s="6">
        <v>14.1099999999999</v>
      </c>
      <c r="M13" s="6">
        <v>14.1099999999999</v>
      </c>
    </row>
    <row r="14" ht="13.50" customHeight="true">
      <c r="B14" s="6">
        <v>2</v>
      </c>
      <c r="C14" s="131" t="s">
        <v>244</v>
      </c>
      <c r="D14" s="132">
        <v>230.291899999999</v>
      </c>
      <c r="E14" s="132"/>
      <c r="F14" s="132"/>
      <c r="G14" s="132">
        <v>230.291899999999</v>
      </c>
      <c r="H14" s="6">
        <f t="shared" si="1"/>
      </c>
      <c r="I14" s="6" t="s">
        <v>244</v>
      </c>
      <c r="J14" s="6">
        <v>230.291899999999</v>
      </c>
      <c r="M14" s="6">
        <v>230.291899999999</v>
      </c>
    </row>
    <row r="15" ht="13.50" customHeight="true">
      <c r="B15" s="6">
        <v>1</v>
      </c>
      <c r="C15" s="133" t="s">
        <v>245</v>
      </c>
      <c r="D15" s="134">
        <v>0.010000002</v>
      </c>
      <c r="E15" s="134"/>
      <c r="F15" s="134"/>
      <c r="G15" s="134">
        <v>0.01</v>
      </c>
      <c r="H15" s="6">
        <f t="shared" si="1"/>
      </c>
      <c r="I15" s="6" t="s">
        <v>245</v>
      </c>
      <c r="J15" s="6">
        <v>0.010000002</v>
      </c>
      <c r="M15" s="6">
        <v>0.01</v>
      </c>
    </row>
    <row r="16" ht="13.50" customHeight="true">
      <c r="B16" s="6">
        <v>2</v>
      </c>
      <c r="C16" s="131" t="s">
        <v>246</v>
      </c>
      <c r="D16" s="132">
        <v>20904.7</v>
      </c>
      <c r="E16" s="132"/>
      <c r="F16" s="132"/>
      <c r="G16" s="132">
        <v>20904.7</v>
      </c>
      <c r="H16" s="6">
        <f t="shared" si="1"/>
      </c>
      <c r="I16" s="6" t="s">
        <v>246</v>
      </c>
      <c r="J16" s="6">
        <v>20904.7</v>
      </c>
      <c r="M16" s="6">
        <v>20904.7</v>
      </c>
    </row>
    <row r="17" ht="13.50" customHeight="true">
      <c r="A17" s="6" t="s">
        <v>236</v>
      </c>
      <c r="B17" s="6">
        <v>1</v>
      </c>
      <c r="C17" s="129" t="s">
        <v>247</v>
      </c>
      <c r="D17" s="130">
        <v>479239.979999999</v>
      </c>
      <c r="E17" s="130">
        <v>0</v>
      </c>
      <c r="F17" s="130">
        <v>0</v>
      </c>
      <c r="G17" s="130">
        <v>479239.979999999</v>
      </c>
      <c r="H17" s="6">
        <f t="shared" si="1"/>
      </c>
      <c r="I17" s="6" t="s">
        <v>247</v>
      </c>
      <c r="J17" s="6">
        <v>479239.979999999</v>
      </c>
      <c r="K17" s="6">
        <v>0</v>
      </c>
      <c r="L17" s="6">
        <v>0</v>
      </c>
      <c r="M17" s="6">
        <v>479239.979999999</v>
      </c>
    </row>
    <row r="18" ht="13.50" customHeight="true">
      <c r="A18" s="6"/>
      <c r="C18" s="129" t="s">
        <v>248</v>
      </c>
      <c r="D18" s="130">
        <v>479230.969999999</v>
      </c>
      <c r="E18" s="130"/>
      <c r="F18" s="130"/>
      <c r="G18" s="130">
        <v>479230.969999999</v>
      </c>
      <c r="H18" s="6">
        <f t="shared" si="1"/>
      </c>
      <c r="I18" s="6" t="s">
        <v>248</v>
      </c>
      <c r="J18" s="6">
        <v>479230.969999999</v>
      </c>
      <c r="M18" s="6">
        <v>479230.969999999</v>
      </c>
    </row>
    <row r="19" ht="13.50" customHeight="true">
      <c r="B19" s="6">
        <v>2</v>
      </c>
      <c r="C19" s="131" t="s">
        <v>249</v>
      </c>
      <c r="D19" s="132">
        <v>9.01</v>
      </c>
      <c r="E19" s="132">
        <v>0</v>
      </c>
      <c r="F19" s="132">
        <v>0</v>
      </c>
      <c r="G19" s="132">
        <v>9.01</v>
      </c>
      <c r="H19" s="6">
        <f t="shared" si="1"/>
      </c>
      <c r="I19" s="6" t="s">
        <v>249</v>
      </c>
      <c r="J19" s="6">
        <v>9.01</v>
      </c>
      <c r="K19" s="6">
        <v>0</v>
      </c>
      <c r="L19" s="6">
        <v>0</v>
      </c>
      <c r="M19" s="6">
        <v>9.01</v>
      </c>
    </row>
    <row r="20" ht="13.50" customHeight="true">
      <c r="B20" s="6">
        <v>1</v>
      </c>
      <c r="C20" s="133" t="s">
        <v>250</v>
      </c>
      <c r="D20" s="134">
        <v>0.52</v>
      </c>
      <c r="E20" s="134"/>
      <c r="F20" s="134"/>
      <c r="G20" s="134">
        <v>0.52</v>
      </c>
      <c r="H20" s="6">
        <f t="shared" si="1"/>
      </c>
      <c r="I20" s="6" t="s">
        <v>250</v>
      </c>
      <c r="J20" s="6">
        <v>0.52</v>
      </c>
      <c r="M20" s="6">
        <v>0.52</v>
      </c>
    </row>
    <row r="21" ht="13.50" customHeight="true">
      <c r="B21" s="6">
        <v>2</v>
      </c>
      <c r="C21" s="131" t="s">
        <v>251</v>
      </c>
      <c r="D21" s="132">
        <v>8.5</v>
      </c>
      <c r="E21" s="132"/>
      <c r="F21" s="132"/>
      <c r="G21" s="132">
        <v>8.5</v>
      </c>
      <c r="H21" s="6">
        <f t="shared" si="1"/>
      </c>
      <c r="I21" s="6" t="s">
        <v>251</v>
      </c>
      <c r="J21" s="6">
        <v>8.5</v>
      </c>
      <c r="M21" s="6">
        <v>8.5</v>
      </c>
    </row>
    <row r="22" ht="13.50" customHeight="true">
      <c r="B22" s="6">
        <v>1</v>
      </c>
      <c r="C22" s="133" t="s">
        <v>252</v>
      </c>
      <c r="D22" s="134">
        <v>-0.01</v>
      </c>
      <c r="E22" s="134"/>
      <c r="F22" s="134"/>
      <c r="G22" s="134">
        <v>-0.01</v>
      </c>
      <c r="H22" s="6">
        <f t="shared" si="1"/>
      </c>
      <c r="I22" s="6" t="s">
        <v>252</v>
      </c>
      <c r="J22" s="6">
        <v>-0.01</v>
      </c>
      <c r="M22" s="6">
        <v>-0.01</v>
      </c>
    </row>
    <row r="23" ht="13.50" customHeight="true">
      <c r="A23" s="6" t="s">
        <v>236</v>
      </c>
      <c r="B23" s="6">
        <v>2</v>
      </c>
      <c r="C23" s="135" t="s">
        <v>253</v>
      </c>
      <c r="D23" s="132"/>
      <c r="E23" s="132"/>
      <c r="F23" s="132"/>
      <c r="G23" s="136"/>
      <c r="H23" s="6">
        <f t="shared" si="1"/>
      </c>
      <c r="I23" s="6" t="s">
        <v>253</v>
      </c>
    </row>
    <row r="24" ht="13.50" customHeight="true">
      <c r="A24" s="6"/>
      <c r="B24" s="6">
        <v>1</v>
      </c>
      <c r="C24" s="133" t="s">
        <v>254</v>
      </c>
      <c r="D24" s="134"/>
      <c r="E24" s="134"/>
      <c r="F24" s="134"/>
      <c r="G24" s="134"/>
      <c r="H24" s="6">
        <f t="shared" si="1"/>
      </c>
      <c r="I24" s="6" t="s">
        <v>254</v>
      </c>
    </row>
    <row r="25" ht="13.50" customHeight="true">
      <c r="A25" s="6"/>
      <c r="B25" s="6">
        <v>2</v>
      </c>
      <c r="C25" s="131" t="s">
        <v>255</v>
      </c>
      <c r="D25" s="132"/>
      <c r="E25" s="132"/>
      <c r="F25" s="132"/>
      <c r="G25" s="132"/>
      <c r="H25" s="6">
        <f t="shared" si="1"/>
      </c>
      <c r="I25" s="6" t="s">
        <v>255</v>
      </c>
    </row>
    <row r="26" ht="13.50" customHeight="true">
      <c r="A26" s="6"/>
      <c r="B26" s="6">
        <v>1</v>
      </c>
      <c r="C26" s="133" t="s">
        <v>256</v>
      </c>
      <c r="D26" s="134"/>
      <c r="E26" s="134"/>
      <c r="F26" s="134"/>
      <c r="G26" s="134"/>
      <c r="H26" s="6">
        <f t="shared" si="1"/>
      </c>
      <c r="I26" s="6" t="s">
        <v>256</v>
      </c>
    </row>
    <row r="27" ht="13.50" customHeight="true">
      <c r="A27" s="6"/>
      <c r="B27" s="6">
        <v>2</v>
      </c>
      <c r="C27" s="131" t="s">
        <v>257</v>
      </c>
      <c r="D27" s="132"/>
      <c r="E27" s="132"/>
      <c r="F27" s="132"/>
      <c r="G27" s="132"/>
      <c r="H27" s="6">
        <f t="shared" si="1"/>
      </c>
      <c r="I27" s="6" t="s">
        <v>257</v>
      </c>
    </row>
    <row r="28" ht="13.50" customHeight="true">
      <c r="A28" s="6" t="s">
        <v>236</v>
      </c>
      <c r="B28" s="6">
        <v>1</v>
      </c>
      <c r="C28" s="129" t="s">
        <v>258</v>
      </c>
      <c r="D28" s="130">
        <v>22890</v>
      </c>
      <c r="E28" s="130">
        <v>0</v>
      </c>
      <c r="F28" s="130">
        <v>0</v>
      </c>
      <c r="G28" s="130">
        <v>22890</v>
      </c>
      <c r="H28" s="6">
        <f t="shared" si="1"/>
      </c>
      <c r="I28" s="6" t="s">
        <v>258</v>
      </c>
      <c r="J28" s="6">
        <v>22890</v>
      </c>
      <c r="K28" s="6">
        <v>0</v>
      </c>
      <c r="L28" s="6">
        <v>0</v>
      </c>
      <c r="M28" s="6">
        <v>22890</v>
      </c>
    </row>
    <row r="29" ht="13.50" customHeight="true">
      <c r="B29" s="6">
        <v>2</v>
      </c>
      <c r="C29" s="135" t="s">
        <v>259</v>
      </c>
      <c r="D29" s="136">
        <v>-2110</v>
      </c>
      <c r="E29" s="136"/>
      <c r="F29" s="136"/>
      <c r="G29" s="136">
        <v>-2110</v>
      </c>
      <c r="H29" s="6">
        <f t="shared" si="1"/>
      </c>
      <c r="I29" s="6" t="s">
        <v>259</v>
      </c>
      <c r="J29" s="6">
        <v>-2110</v>
      </c>
      <c r="M29" s="6">
        <v>-2110</v>
      </c>
    </row>
    <row r="30" ht="13.50" customHeight="true">
      <c r="B30" s="6">
        <v>1</v>
      </c>
      <c r="C30" s="133" t="s">
        <v>260</v>
      </c>
      <c r="D30" s="134">
        <v>25000</v>
      </c>
      <c r="E30" s="134"/>
      <c r="F30" s="134"/>
      <c r="G30" s="134">
        <v>25000</v>
      </c>
      <c r="H30" s="6">
        <f t="shared" si="1"/>
      </c>
      <c r="I30" s="6" t="s">
        <v>260</v>
      </c>
      <c r="J30" s="6">
        <v>25000</v>
      </c>
      <c r="M30" s="6">
        <v>25000</v>
      </c>
    </row>
    <row r="31" ht="13.50" customHeight="true">
      <c r="A31" s="6" t="s">
        <v>236</v>
      </c>
      <c r="B31" s="6">
        <v>2</v>
      </c>
      <c r="C31" s="135" t="s">
        <v>261</v>
      </c>
      <c r="D31" s="136">
        <v>24042.2156559989</v>
      </c>
      <c r="E31" s="136">
        <v>80.64</v>
      </c>
      <c r="F31" s="136"/>
      <c r="G31" s="136">
        <v>24122.8556559999</v>
      </c>
      <c r="H31" s="6">
        <f t="shared" si="1"/>
      </c>
      <c r="I31" s="6" t="s">
        <v>261</v>
      </c>
      <c r="J31" s="6">
        <v>24042.2156559989</v>
      </c>
      <c r="K31" s="6">
        <v>80.64</v>
      </c>
      <c r="M31" s="6">
        <v>24122.8556559999</v>
      </c>
    </row>
    <row r="32" ht="13.50" customHeight="true">
      <c r="A32" s="6" t="s">
        <v>236</v>
      </c>
      <c r="B32" s="6">
        <v>1</v>
      </c>
      <c r="C32" s="129" t="s">
        <v>262</v>
      </c>
      <c r="D32" s="130">
        <v>110107.775533</v>
      </c>
      <c r="E32" s="130"/>
      <c r="F32" s="130"/>
      <c r="G32" s="130">
        <v>110107.775533</v>
      </c>
      <c r="H32" s="6">
        <f t="shared" si="1"/>
      </c>
      <c r="I32" s="6" t="s">
        <v>262</v>
      </c>
      <c r="J32" s="6">
        <v>110107.775533</v>
      </c>
      <c r="M32" s="6">
        <v>110107.775533</v>
      </c>
    </row>
    <row r="33" ht="13.50" customHeight="true">
      <c r="A33" s="6" t="s">
        <v>236</v>
      </c>
      <c r="B33" s="6">
        <v>2</v>
      </c>
      <c r="C33" s="135" t="s">
        <v>263</v>
      </c>
      <c r="D33" s="136"/>
      <c r="E33" s="136"/>
      <c r="F33" s="136"/>
      <c r="G33" s="136"/>
      <c r="H33" s="6">
        <f t="shared" si="1"/>
      </c>
      <c r="I33" s="6" t="s">
        <v>263</v>
      </c>
    </row>
    <row r="34" ht="13.50" customHeight="true">
      <c r="B34" s="6">
        <v>1</v>
      </c>
      <c r="C34" s="133" t="s">
        <v>264</v>
      </c>
      <c r="D34" s="134"/>
      <c r="E34" s="134"/>
      <c r="F34" s="134"/>
      <c r="G34" s="134"/>
      <c r="H34" s="6">
        <f t="shared" si="1"/>
      </c>
      <c r="I34" s="6" t="s">
        <v>264</v>
      </c>
    </row>
    <row r="35" ht="13.50" customHeight="true">
      <c r="A35" s="6" t="s">
        <v>236</v>
      </c>
      <c r="B35" s="6">
        <v>2</v>
      </c>
      <c r="C35" s="135" t="s">
        <v>265</v>
      </c>
      <c r="D35" s="136">
        <v>89386.94</v>
      </c>
      <c r="E35" s="136">
        <v>0</v>
      </c>
      <c r="F35" s="136">
        <v>0</v>
      </c>
      <c r="G35" s="136">
        <v>89386.94</v>
      </c>
      <c r="H35" s="6">
        <f t="shared" si="1"/>
      </c>
      <c r="I35" s="6" t="s">
        <v>265</v>
      </c>
      <c r="J35" s="6">
        <v>89386.94</v>
      </c>
      <c r="K35" s="6">
        <v>0</v>
      </c>
      <c r="L35" s="6">
        <v>0</v>
      </c>
      <c r="M35" s="6">
        <v>89386.94</v>
      </c>
    </row>
    <row r="36" ht="13.50" customHeight="true">
      <c r="B36" s="6">
        <v>1</v>
      </c>
      <c r="C36" s="133" t="s">
        <v>266</v>
      </c>
      <c r="D36" s="134">
        <v>88966</v>
      </c>
      <c r="E36" s="134"/>
      <c r="F36" s="134"/>
      <c r="G36" s="134">
        <v>88966</v>
      </c>
      <c r="H36" s="6">
        <f t="shared" si="1"/>
      </c>
      <c r="I36" s="6" t="s">
        <v>266</v>
      </c>
      <c r="J36" s="6">
        <v>88966</v>
      </c>
      <c r="M36" s="6">
        <v>88966</v>
      </c>
    </row>
    <row r="37" ht="13.50" customHeight="true">
      <c r="B37" s="6">
        <v>2</v>
      </c>
      <c r="C37" s="131" t="s">
        <v>267</v>
      </c>
      <c r="D37" s="132">
        <v>420.939999999999</v>
      </c>
      <c r="E37" s="132"/>
      <c r="F37" s="132"/>
      <c r="G37" s="132">
        <v>420.939999999999</v>
      </c>
      <c r="H37" s="6">
        <f t="shared" si="1"/>
      </c>
      <c r="I37" s="6" t="s">
        <v>267</v>
      </c>
      <c r="J37" s="6">
        <v>420.939999999999</v>
      </c>
      <c r="M37" s="6">
        <v>420.939999999999</v>
      </c>
    </row>
    <row r="38" ht="13.50" customHeight="true">
      <c r="A38" s="6" t="s">
        <v>236</v>
      </c>
      <c r="B38" s="6">
        <v>1</v>
      </c>
      <c r="C38" s="129" t="s">
        <v>268</v>
      </c>
      <c r="D38" s="130">
        <v>2701821.41</v>
      </c>
      <c r="E38" s="130">
        <v>0</v>
      </c>
      <c r="F38" s="130">
        <v>0</v>
      </c>
      <c r="G38" s="130">
        <v>2701821.41</v>
      </c>
      <c r="H38" s="6">
        <f t="shared" si="1"/>
      </c>
      <c r="I38" s="6" t="s">
        <v>268</v>
      </c>
      <c r="J38" s="6">
        <v>2701821.41</v>
      </c>
      <c r="K38" s="6">
        <v>0</v>
      </c>
      <c r="L38" s="6">
        <v>0</v>
      </c>
      <c r="M38" s="6">
        <v>2701821.41</v>
      </c>
    </row>
    <row r="39" ht="13.50" customHeight="true">
      <c r="B39" s="6">
        <v>2</v>
      </c>
      <c r="C39" s="131" t="s">
        <v>269</v>
      </c>
      <c r="D39" s="132">
        <v>2693178.27</v>
      </c>
      <c r="E39" s="132"/>
      <c r="F39" s="132"/>
      <c r="G39" s="132">
        <v>2693178.27</v>
      </c>
      <c r="H39" s="6">
        <f t="shared" si="1"/>
      </c>
      <c r="I39" s="6" t="s">
        <v>269</v>
      </c>
      <c r="J39" s="6">
        <v>2693178.27</v>
      </c>
      <c r="M39" s="6">
        <v>2693178.27</v>
      </c>
    </row>
    <row r="40" ht="13.50" customHeight="true">
      <c r="B40" s="6">
        <v>1</v>
      </c>
      <c r="C40" s="133" t="s">
        <v>270</v>
      </c>
      <c r="D40" s="134">
        <v>4653</v>
      </c>
      <c r="E40" s="134"/>
      <c r="F40" s="134"/>
      <c r="G40" s="134">
        <v>4653</v>
      </c>
      <c r="H40" s="6">
        <f t="shared" si="1"/>
      </c>
      <c r="I40" s="6" t="s">
        <v>270</v>
      </c>
      <c r="J40" s="6">
        <v>4653</v>
      </c>
      <c r="M40" s="6">
        <v>4653</v>
      </c>
    </row>
    <row r="41" ht="13.50" customHeight="true">
      <c r="B41" s="6">
        <v>2</v>
      </c>
      <c r="C41" s="131" t="s">
        <v>271</v>
      </c>
      <c r="D41" s="132">
        <v>0.14</v>
      </c>
      <c r="E41" s="132"/>
      <c r="F41" s="132"/>
      <c r="G41" s="132">
        <v>0.14</v>
      </c>
      <c r="H41" s="6">
        <f t="shared" si="1"/>
      </c>
      <c r="I41" s="6" t="s">
        <v>271</v>
      </c>
      <c r="J41" s="6">
        <v>0.14</v>
      </c>
      <c r="M41" s="6">
        <v>0.14</v>
      </c>
    </row>
    <row r="42" ht="13.50" customHeight="true">
      <c r="B42" s="6">
        <v>1</v>
      </c>
      <c r="C42" s="133" t="s">
        <v>272</v>
      </c>
      <c r="D42" s="134">
        <v>3990</v>
      </c>
      <c r="E42" s="134"/>
      <c r="F42" s="134"/>
      <c r="G42" s="134">
        <v>3990</v>
      </c>
      <c r="H42" s="6">
        <f t="shared" si="1"/>
      </c>
      <c r="I42" s="6" t="s">
        <v>272</v>
      </c>
      <c r="J42" s="6">
        <v>3990</v>
      </c>
      <c r="M42" s="6">
        <v>3990</v>
      </c>
    </row>
    <row r="43" ht="13.50" customHeight="true">
      <c r="A43" s="6" t="s">
        <v>236</v>
      </c>
      <c r="B43" s="6">
        <v>2</v>
      </c>
      <c r="C43" s="135" t="s">
        <v>273</v>
      </c>
      <c r="D43" s="132"/>
      <c r="E43" s="132"/>
      <c r="F43" s="132"/>
      <c r="G43" s="136"/>
      <c r="H43" s="6">
        <f t="shared" si="1"/>
      </c>
      <c r="I43" s="6" t="s">
        <v>273</v>
      </c>
    </row>
    <row r="44" ht="13.50" customHeight="true">
      <c r="B44" s="6">
        <v>1</v>
      </c>
      <c r="C44" s="133" t="s">
        <v>274</v>
      </c>
      <c r="D44" s="134"/>
      <c r="E44" s="134"/>
      <c r="F44" s="134"/>
      <c r="G44" s="134"/>
      <c r="H44" s="6">
        <f t="shared" si="1"/>
      </c>
      <c r="I44" s="6" t="s">
        <v>274</v>
      </c>
    </row>
    <row r="45" ht="13.50" customHeight="true">
      <c r="A45" s="6" t="s">
        <v>236</v>
      </c>
      <c r="B45" s="6">
        <v>2</v>
      </c>
      <c r="C45" s="135" t="s">
        <v>275</v>
      </c>
      <c r="D45" s="136">
        <v>122794.350699999</v>
      </c>
      <c r="E45" s="136">
        <v>0</v>
      </c>
      <c r="F45" s="136">
        <v>0</v>
      </c>
      <c r="G45" s="136">
        <v>122794.350699999</v>
      </c>
      <c r="H45" s="6">
        <f t="shared" si="1"/>
      </c>
      <c r="I45" s="6" t="s">
        <v>275</v>
      </c>
      <c r="J45" s="6">
        <v>122794.350699999</v>
      </c>
      <c r="K45" s="6">
        <v>0</v>
      </c>
      <c r="L45" s="6">
        <v>0</v>
      </c>
      <c r="M45" s="6">
        <v>122794.350699999</v>
      </c>
    </row>
    <row r="46" ht="13.50" customHeight="true">
      <c r="B46" s="6">
        <v>1</v>
      </c>
      <c r="C46" s="133" t="s">
        <v>276</v>
      </c>
      <c r="D46" s="134">
        <v>122641.8907</v>
      </c>
      <c r="E46" s="134"/>
      <c r="F46" s="134"/>
      <c r="G46" s="134">
        <v>122641.8907</v>
      </c>
      <c r="H46" s="6">
        <f t="shared" si="1"/>
      </c>
      <c r="I46" s="6" t="s">
        <v>276</v>
      </c>
      <c r="J46" s="6">
        <v>122641.8907</v>
      </c>
      <c r="M46" s="6">
        <v>122641.8907</v>
      </c>
    </row>
    <row r="47" ht="13.50" customHeight="true">
      <c r="B47" s="6">
        <v>2</v>
      </c>
      <c r="C47" s="131" t="s">
        <v>277</v>
      </c>
      <c r="D47" s="132">
        <v>152.46</v>
      </c>
      <c r="E47" s="132"/>
      <c r="F47" s="132"/>
      <c r="G47" s="132">
        <v>152.46</v>
      </c>
      <c r="H47" s="6">
        <f t="shared" si="1"/>
      </c>
      <c r="I47" s="6" t="s">
        <v>277</v>
      </c>
      <c r="J47" s="6">
        <v>152.46</v>
      </c>
      <c r="M47" s="6">
        <v>152.46</v>
      </c>
    </row>
    <row r="48" ht="13.50" customHeight="true">
      <c r="A48" s="6" t="s">
        <v>236</v>
      </c>
      <c r="B48" s="6">
        <v>1</v>
      </c>
      <c r="C48" s="129" t="s">
        <v>278</v>
      </c>
      <c r="D48" s="130">
        <v>44082.65</v>
      </c>
      <c r="E48" s="130">
        <v>0</v>
      </c>
      <c r="F48" s="130">
        <v>0</v>
      </c>
      <c r="G48" s="130">
        <v>44082.65</v>
      </c>
      <c r="H48" s="6">
        <f t="shared" si="1"/>
      </c>
      <c r="I48" s="6" t="s">
        <v>278</v>
      </c>
      <c r="J48" s="6">
        <v>44082.65</v>
      </c>
      <c r="K48" s="6">
        <v>0</v>
      </c>
      <c r="L48" s="6">
        <v>0</v>
      </c>
      <c r="M48" s="6">
        <v>44082.65</v>
      </c>
    </row>
    <row r="49" ht="13.50" customHeight="true">
      <c r="B49" s="6">
        <v>2</v>
      </c>
      <c r="C49" s="131" t="s">
        <v>279</v>
      </c>
      <c r="D49" s="132">
        <v>44082.65</v>
      </c>
      <c r="E49" s="132"/>
      <c r="F49" s="132"/>
      <c r="G49" s="132">
        <v>44082.65</v>
      </c>
      <c r="H49" s="6">
        <f t="shared" si="1"/>
      </c>
      <c r="I49" s="6" t="s">
        <v>279</v>
      </c>
      <c r="J49" s="6">
        <v>44082.65</v>
      </c>
      <c r="M49" s="6">
        <v>44082.65</v>
      </c>
    </row>
    <row r="50" ht="13.50" customHeight="true">
      <c r="A50" s="6" t="s">
        <v>236</v>
      </c>
      <c r="B50" s="6">
        <v>1</v>
      </c>
      <c r="C50" s="129" t="s">
        <v>280</v>
      </c>
      <c r="D50" s="130">
        <v>26198.4799999999</v>
      </c>
      <c r="E50" s="134"/>
      <c r="F50" s="130"/>
      <c r="G50" s="130">
        <v>26198.4799999999</v>
      </c>
      <c r="H50" s="6">
        <f t="shared" si="1"/>
      </c>
      <c r="I50" s="6" t="s">
        <v>280</v>
      </c>
      <c r="J50" s="6">
        <v>26198.4799999999</v>
      </c>
      <c r="M50" s="6">
        <v>26198.4799999999</v>
      </c>
    </row>
    <row r="51" ht="13.50" customHeight="true">
      <c r="A51" s="6" t="s">
        <v>236</v>
      </c>
      <c r="B51" s="6">
        <v>2</v>
      </c>
      <c r="C51" s="135" t="s">
        <v>281</v>
      </c>
      <c r="D51" s="136">
        <v>14106.03</v>
      </c>
      <c r="E51" s="136">
        <v>0</v>
      </c>
      <c r="F51" s="136">
        <v>0</v>
      </c>
      <c r="G51" s="136">
        <v>14106.03</v>
      </c>
      <c r="H51" s="6">
        <f t="shared" si="1"/>
      </c>
      <c r="I51" s="6" t="s">
        <v>281</v>
      </c>
      <c r="J51" s="6">
        <v>14106.03</v>
      </c>
      <c r="K51" s="6">
        <v>0</v>
      </c>
      <c r="L51" s="6">
        <v>0</v>
      </c>
      <c r="M51" s="6">
        <v>14106.03</v>
      </c>
    </row>
    <row r="52" ht="13.50" customHeight="true">
      <c r="B52" s="6">
        <v>1</v>
      </c>
      <c r="C52" s="133" t="s">
        <v>282</v>
      </c>
      <c r="D52" s="134">
        <v>14106.03</v>
      </c>
      <c r="E52" s="134"/>
      <c r="F52" s="134"/>
      <c r="G52" s="134">
        <v>14106.03</v>
      </c>
      <c r="H52" s="6">
        <f t="shared" si="1"/>
      </c>
      <c r="I52" s="6" t="s">
        <v>282</v>
      </c>
      <c r="J52" s="6">
        <v>14106.03</v>
      </c>
      <c r="M52" s="6">
        <v>14106.03</v>
      </c>
    </row>
    <row r="53" ht="13.50" customHeight="true">
      <c r="A53" s="6" t="s">
        <v>236</v>
      </c>
      <c r="B53" s="6">
        <v>2</v>
      </c>
      <c r="C53" s="135" t="s">
        <v>283</v>
      </c>
      <c r="D53" s="136">
        <v>14106.03</v>
      </c>
      <c r="E53" s="132"/>
      <c r="F53" s="136"/>
      <c r="G53" s="136">
        <v>14106.03</v>
      </c>
      <c r="H53" s="6">
        <f t="shared" si="1"/>
      </c>
      <c r="I53" s="6" t="s">
        <v>283</v>
      </c>
      <c r="J53" s="6">
        <v>14106.03</v>
      </c>
      <c r="M53" s="6">
        <v>14106.03</v>
      </c>
    </row>
    <row r="54" ht="13.50" customHeight="true">
      <c r="A54" s="6" t="s">
        <v>236</v>
      </c>
      <c r="B54" s="6">
        <v>1</v>
      </c>
      <c r="C54" s="129" t="s">
        <v>284</v>
      </c>
      <c r="D54" s="130">
        <v>575862.069999999</v>
      </c>
      <c r="E54" s="130">
        <v>0</v>
      </c>
      <c r="F54" s="130">
        <v>0</v>
      </c>
      <c r="G54" s="130">
        <v>575862.069999999</v>
      </c>
      <c r="H54" s="6">
        <f t="shared" si="1"/>
      </c>
      <c r="I54" s="6" t="s">
        <v>284</v>
      </c>
      <c r="J54" s="6">
        <v>575862.069999999</v>
      </c>
      <c r="K54" s="6">
        <v>0</v>
      </c>
      <c r="L54" s="6">
        <v>0</v>
      </c>
      <c r="M54" s="6">
        <v>575862.069999999</v>
      </c>
    </row>
    <row r="55" ht="13.50" customHeight="true">
      <c r="B55" s="6">
        <v>2</v>
      </c>
      <c r="C55" s="131" t="s">
        <v>285</v>
      </c>
      <c r="D55" s="132">
        <v>442241.38</v>
      </c>
      <c r="E55" s="132"/>
      <c r="F55" s="132"/>
      <c r="G55" s="132">
        <v>442241.38</v>
      </c>
      <c r="H55" s="6">
        <f t="shared" si="1"/>
      </c>
      <c r="I55" s="6" t="s">
        <v>285</v>
      </c>
      <c r="J55" s="6">
        <v>442241.38</v>
      </c>
      <c r="M55" s="6">
        <v>442241.38</v>
      </c>
    </row>
    <row r="56" ht="13.50" customHeight="true">
      <c r="B56" s="6">
        <v>1</v>
      </c>
      <c r="C56" s="133" t="s">
        <v>286</v>
      </c>
      <c r="D56" s="134">
        <v>133620.69</v>
      </c>
      <c r="E56" s="134"/>
      <c r="F56" s="134"/>
      <c r="G56" s="134">
        <v>133620.69</v>
      </c>
      <c r="H56" s="6">
        <f t="shared" si="1"/>
      </c>
      <c r="I56" s="6" t="s">
        <v>286</v>
      </c>
      <c r="J56" s="6">
        <v>133620.69</v>
      </c>
      <c r="M56" s="6">
        <v>133620.69</v>
      </c>
    </row>
    <row r="57" ht="13.50" customHeight="true">
      <c r="A57" s="6" t="s">
        <v>236</v>
      </c>
      <c r="B57" s="6">
        <v>2</v>
      </c>
      <c r="C57" s="135" t="s">
        <v>287</v>
      </c>
      <c r="D57" s="136">
        <v>492349.13</v>
      </c>
      <c r="E57" s="132"/>
      <c r="F57" s="136"/>
      <c r="G57" s="136">
        <v>492349.13</v>
      </c>
      <c r="H57" s="6">
        <f t="shared" si="1"/>
      </c>
      <c r="I57" s="6" t="s">
        <v>287</v>
      </c>
      <c r="J57" s="6">
        <v>492349.13</v>
      </c>
      <c r="M57" s="6">
        <v>492349.13</v>
      </c>
    </row>
    <row r="58" ht="13.50" customHeight="true">
      <c r="A58" s="6" t="s">
        <v>236</v>
      </c>
      <c r="B58" s="6">
        <v>1</v>
      </c>
      <c r="C58" s="129" t="s">
        <v>288</v>
      </c>
      <c r="D58" s="130">
        <v>19497.08</v>
      </c>
      <c r="E58" s="130">
        <v>0</v>
      </c>
      <c r="F58" s="130">
        <v>0</v>
      </c>
      <c r="G58" s="130">
        <v>19497.08</v>
      </c>
      <c r="H58" s="6">
        <f t="shared" si="1"/>
      </c>
      <c r="I58" s="6" t="s">
        <v>288</v>
      </c>
      <c r="J58" s="6">
        <v>19497.08</v>
      </c>
      <c r="K58" s="6">
        <v>0</v>
      </c>
      <c r="L58" s="6">
        <v>0</v>
      </c>
      <c r="M58" s="6">
        <v>19497.08</v>
      </c>
    </row>
    <row r="59" ht="13.50" customHeight="true">
      <c r="B59" s="6">
        <v>2</v>
      </c>
      <c r="C59" s="131" t="s">
        <v>289</v>
      </c>
      <c r="D59" s="132">
        <v>19497.08</v>
      </c>
      <c r="E59" s="132"/>
      <c r="F59" s="132"/>
      <c r="G59" s="132">
        <v>19497.08</v>
      </c>
      <c r="H59" s="6">
        <f t="shared" si="1"/>
      </c>
      <c r="I59" s="6" t="s">
        <v>289</v>
      </c>
      <c r="J59" s="6">
        <v>19497.08</v>
      </c>
      <c r="M59" s="6">
        <v>19497.08</v>
      </c>
    </row>
    <row r="60" ht="13.50" customHeight="true">
      <c r="A60" s="6" t="s">
        <v>236</v>
      </c>
      <c r="B60" s="6">
        <v>1</v>
      </c>
      <c r="C60" s="129" t="s">
        <v>290</v>
      </c>
      <c r="D60" s="130">
        <v>9098.63999999999</v>
      </c>
      <c r="E60" s="134"/>
      <c r="F60" s="130"/>
      <c r="G60" s="130">
        <v>9098.63999999999</v>
      </c>
      <c r="H60" s="6">
        <f t="shared" si="1"/>
      </c>
      <c r="I60" s="6" t="s">
        <v>290</v>
      </c>
      <c r="J60" s="6">
        <v>9098.63999999999</v>
      </c>
      <c r="M60" s="6">
        <v>9098.63999999999</v>
      </c>
    </row>
    <row r="61" ht="13.50" customHeight="true">
      <c r="A61" s="6" t="s">
        <v>236</v>
      </c>
      <c r="B61" s="6">
        <v>2</v>
      </c>
      <c r="C61" s="135" t="s">
        <v>291</v>
      </c>
      <c r="D61" s="136">
        <v>501280.305999999</v>
      </c>
      <c r="E61" s="136"/>
      <c r="F61" s="136"/>
      <c r="G61" s="136">
        <v>501280.305999999</v>
      </c>
      <c r="H61" s="6">
        <f t="shared" si="1"/>
      </c>
      <c r="I61" s="6" t="s">
        <v>291</v>
      </c>
      <c r="J61" s="6">
        <v>501280.305999999</v>
      </c>
      <c r="M61" s="6">
        <v>501280.305999999</v>
      </c>
    </row>
    <row r="62" ht="13.50" customHeight="true">
      <c r="A62" s="6" t="s">
        <v>236</v>
      </c>
      <c r="B62" s="6">
        <v>1</v>
      </c>
      <c r="C62" s="129" t="s">
        <v>292</v>
      </c>
      <c r="D62" s="130">
        <v>3331611.75999999</v>
      </c>
      <c r="E62" s="130">
        <v>0</v>
      </c>
      <c r="F62" s="130">
        <v>0</v>
      </c>
      <c r="G62" s="130">
        <v>3331611.75999999</v>
      </c>
      <c r="H62" s="6">
        <f t="shared" si="1"/>
      </c>
      <c r="I62" s="6" t="s">
        <v>292</v>
      </c>
      <c r="J62" s="6">
        <v>3331611.75999999</v>
      </c>
      <c r="K62" s="6">
        <v>0</v>
      </c>
      <c r="L62" s="6">
        <v>0</v>
      </c>
      <c r="M62" s="6">
        <v>3331611.75999999</v>
      </c>
    </row>
    <row r="63" ht="13.50" customHeight="true">
      <c r="C63" s="133" t="s">
        <v>293</v>
      </c>
      <c r="D63" s="130">
        <v>802898.489999999</v>
      </c>
      <c r="E63" s="130"/>
      <c r="F63" s="130"/>
      <c r="G63" s="130">
        <v>802898.489999999</v>
      </c>
      <c r="H63" s="6">
        <f t="shared" si="1"/>
      </c>
      <c r="I63" s="6" t="s">
        <v>293</v>
      </c>
      <c r="J63" s="6">
        <v>802898.489999999</v>
      </c>
      <c r="M63" s="6">
        <v>802898.489999999</v>
      </c>
    </row>
    <row r="64" ht="13.50" customHeight="true">
      <c r="B64" s="6">
        <v>2</v>
      </c>
      <c r="C64" s="131" t="s">
        <v>294</v>
      </c>
      <c r="D64" s="132">
        <v>5478.48999999999</v>
      </c>
      <c r="E64" s="132"/>
      <c r="F64" s="132"/>
      <c r="G64" s="132">
        <v>5478.48999999999</v>
      </c>
      <c r="H64" s="6">
        <f t="shared" si="1"/>
      </c>
      <c r="I64" s="6" t="s">
        <v>294</v>
      </c>
      <c r="J64" s="6">
        <v>5478.48999999999</v>
      </c>
      <c r="M64" s="6">
        <v>5478.48999999999</v>
      </c>
    </row>
    <row r="65" ht="13.50" customHeight="true">
      <c r="B65" s="6">
        <v>1</v>
      </c>
      <c r="C65" s="133" t="s">
        <v>295</v>
      </c>
      <c r="D65" s="134">
        <v>1189805.77</v>
      </c>
      <c r="E65" s="134">
        <v>0</v>
      </c>
      <c r="F65" s="134">
        <v>0</v>
      </c>
      <c r="G65" s="134">
        <v>1189805.77</v>
      </c>
      <c r="H65" s="6">
        <f t="shared" si="1"/>
      </c>
      <c r="I65" s="6" t="s">
        <v>295</v>
      </c>
      <c r="J65" s="6">
        <v>1189805.77</v>
      </c>
      <c r="K65" s="6">
        <v>0</v>
      </c>
      <c r="L65" s="6">
        <v>0</v>
      </c>
      <c r="M65" s="6">
        <v>1189805.77</v>
      </c>
    </row>
    <row r="66" ht="13.50" customHeight="true">
      <c r="B66" s="6">
        <v>2</v>
      </c>
      <c r="C66" s="131" t="s">
        <v>296</v>
      </c>
      <c r="D66" s="132">
        <v>576578.109999999</v>
      </c>
      <c r="E66" s="132"/>
      <c r="F66" s="132"/>
      <c r="G66" s="132">
        <v>576578.109999999</v>
      </c>
      <c r="H66" s="6">
        <f t="shared" si="1"/>
      </c>
      <c r="I66" s="6" t="s">
        <v>296</v>
      </c>
      <c r="J66" s="6">
        <v>576578.109999999</v>
      </c>
      <c r="M66" s="6">
        <v>576578.109999999</v>
      </c>
    </row>
    <row r="67" ht="13.50" customHeight="true">
      <c r="B67" s="6">
        <v>1</v>
      </c>
      <c r="C67" s="133" t="s">
        <v>297</v>
      </c>
      <c r="D67" s="134">
        <v>-24641.709999999</v>
      </c>
      <c r="E67" s="134"/>
      <c r="F67" s="134"/>
      <c r="G67" s="134">
        <v>-24641.709999999</v>
      </c>
      <c r="H67" s="6">
        <f t="shared" si="1"/>
      </c>
      <c r="I67" s="6" t="s">
        <v>297</v>
      </c>
      <c r="J67" s="6">
        <v>-24641.709999999</v>
      </c>
      <c r="M67" s="6">
        <v>-24641.709999999</v>
      </c>
    </row>
    <row r="68" ht="13.50" customHeight="true">
      <c r="B68" s="6">
        <v>2</v>
      </c>
      <c r="C68" s="131" t="s">
        <v>298</v>
      </c>
      <c r="D68" s="132">
        <v>521961.669999999</v>
      </c>
      <c r="E68" s="132"/>
      <c r="F68" s="132"/>
      <c r="G68" s="132">
        <v>521961.669999999</v>
      </c>
      <c r="H68" s="6">
        <f t="shared" si="1"/>
      </c>
      <c r="I68" s="6" t="s">
        <v>298</v>
      </c>
      <c r="J68" s="6">
        <v>521961.669999999</v>
      </c>
      <c r="M68" s="6">
        <v>521961.669999999</v>
      </c>
    </row>
    <row r="69" ht="13.50" customHeight="true">
      <c r="B69" s="6">
        <v>1</v>
      </c>
      <c r="C69" s="133" t="s">
        <v>299</v>
      </c>
      <c r="D69" s="134">
        <v>115907.699999999</v>
      </c>
      <c r="E69" s="134"/>
      <c r="F69" s="134"/>
      <c r="G69" s="134">
        <v>115907.699999999</v>
      </c>
      <c r="H69" s="6">
        <f t="shared" si="1"/>
      </c>
      <c r="I69" s="6" t="s">
        <v>299</v>
      </c>
      <c r="J69" s="6">
        <v>115907.699999999</v>
      </c>
      <c r="M69" s="6">
        <v>115907.699999999</v>
      </c>
    </row>
    <row r="70" ht="13.50" customHeight="true">
      <c r="C70" s="133" t="s">
        <v>300</v>
      </c>
      <c r="D70" s="134">
        <v>225.71</v>
      </c>
      <c r="E70" s="134">
        <v>0</v>
      </c>
      <c r="F70" s="134">
        <v>0</v>
      </c>
      <c r="G70" s="134">
        <v>225.71</v>
      </c>
      <c r="H70" s="6">
        <f t="shared" si="1"/>
      </c>
      <c r="I70" s="6" t="s">
        <v>300</v>
      </c>
      <c r="J70" s="6">
        <v>225.71</v>
      </c>
      <c r="K70" s="6">
        <v>0</v>
      </c>
      <c r="L70" s="6">
        <v>0</v>
      </c>
      <c r="M70" s="6">
        <v>225.71</v>
      </c>
    </row>
    <row r="71" ht="13.50" customHeight="true">
      <c r="C71" s="133" t="s">
        <v>301</v>
      </c>
      <c r="D71" s="134">
        <v>225.71</v>
      </c>
      <c r="E71" s="134"/>
      <c r="F71" s="134"/>
      <c r="G71" s="134">
        <v>225.71</v>
      </c>
      <c r="H71" s="6">
        <f t="shared" si="1"/>
      </c>
      <c r="I71" s="6" t="s">
        <v>301</v>
      </c>
      <c r="J71" s="6">
        <v>225.71</v>
      </c>
      <c r="M71" s="6">
        <v>225.71</v>
      </c>
    </row>
    <row r="72" ht="13.50" customHeight="true">
      <c r="B72" s="6">
        <v>2</v>
      </c>
      <c r="C72" s="131" t="s">
        <v>302</v>
      </c>
      <c r="D72" s="132">
        <v>5581.22999999999</v>
      </c>
      <c r="E72" s="132"/>
      <c r="F72" s="132"/>
      <c r="G72" s="132">
        <v>5581.22999999999</v>
      </c>
      <c r="H72" s="6">
        <f ref="H72:H135" t="shared" si="0">=IF(I72=C72,"ok","REVISAR")</f>
      </c>
      <c r="I72" s="6" t="s">
        <v>302</v>
      </c>
      <c r="J72" s="6">
        <v>5581.22999999999</v>
      </c>
      <c r="M72" s="6">
        <v>5581.22999999999</v>
      </c>
    </row>
    <row r="73" ht="13.50" customHeight="true">
      <c r="B73" s="6">
        <v>1</v>
      </c>
      <c r="C73" s="133" t="s">
        <v>303</v>
      </c>
      <c r="D73" s="134">
        <v>141026.809999999</v>
      </c>
      <c r="E73" s="134"/>
      <c r="F73" s="134"/>
      <c r="G73" s="134">
        <v>141026.809999999</v>
      </c>
      <c r="H73" s="6">
        <f t="shared" si="0"/>
      </c>
      <c r="I73" s="6" t="s">
        <v>303</v>
      </c>
      <c r="J73" s="6">
        <v>141026.809999999</v>
      </c>
      <c r="M73" s="6">
        <v>141026.809999999</v>
      </c>
    </row>
    <row r="74" ht="13.50" customHeight="true">
      <c r="B74" s="6">
        <v>2</v>
      </c>
      <c r="C74" s="131" t="s">
        <v>304</v>
      </c>
      <c r="D74" s="132">
        <v>900000</v>
      </c>
      <c r="E74" s="132"/>
      <c r="F74" s="132"/>
      <c r="G74" s="132">
        <v>900000</v>
      </c>
      <c r="H74" s="6">
        <f t="shared" si="0"/>
      </c>
      <c r="I74" s="6" t="s">
        <v>304</v>
      </c>
      <c r="J74" s="6">
        <v>900000</v>
      </c>
      <c r="M74" s="6">
        <v>900000</v>
      </c>
    </row>
    <row r="75" ht="13.50" customHeight="true">
      <c r="B75" s="6">
        <v>1</v>
      </c>
      <c r="C75" s="133" t="s">
        <v>305</v>
      </c>
      <c r="D75" s="134">
        <v>-80000</v>
      </c>
      <c r="E75" s="134"/>
      <c r="F75" s="134"/>
      <c r="G75" s="134">
        <v>-80000</v>
      </c>
      <c r="H75" s="6">
        <f t="shared" si="0"/>
      </c>
      <c r="I75" s="6" t="s">
        <v>305</v>
      </c>
      <c r="J75" s="6">
        <v>-80000</v>
      </c>
      <c r="M75" s="6">
        <v>-80000</v>
      </c>
    </row>
    <row r="76" ht="13.50" customHeight="true">
      <c r="B76" s="6">
        <v>2</v>
      </c>
      <c r="C76" s="131" t="s">
        <v>306</v>
      </c>
      <c r="D76" s="132">
        <v>-216436.48999999</v>
      </c>
      <c r="E76" s="132"/>
      <c r="F76" s="132"/>
      <c r="G76" s="132">
        <v>-216436.48999999</v>
      </c>
      <c r="H76" s="6">
        <f t="shared" si="0"/>
      </c>
      <c r="I76" s="6" t="s">
        <v>306</v>
      </c>
      <c r="J76" s="6">
        <v>-216436.48999999</v>
      </c>
      <c r="M76" s="6">
        <v>-216436.48999999</v>
      </c>
    </row>
    <row r="77" ht="13.50" customHeight="true">
      <c r="B77" s="6">
        <v>1</v>
      </c>
      <c r="C77" s="133" t="s">
        <v>307</v>
      </c>
      <c r="D77" s="134">
        <v>301434.21</v>
      </c>
      <c r="E77" s="134"/>
      <c r="F77" s="134"/>
      <c r="G77" s="134">
        <v>301434.21</v>
      </c>
      <c r="H77" s="6">
        <f t="shared" si="0"/>
      </c>
      <c r="I77" s="6" t="s">
        <v>307</v>
      </c>
      <c r="J77" s="6">
        <v>301434.21</v>
      </c>
      <c r="M77" s="6">
        <v>301434.21</v>
      </c>
    </row>
    <row r="78" ht="13.50" customHeight="true">
      <c r="C78" s="133" t="s">
        <v>308</v>
      </c>
      <c r="D78" s="134">
        <v>281597.539999999</v>
      </c>
      <c r="E78" s="134"/>
      <c r="F78" s="134"/>
      <c r="G78" s="134">
        <v>281597.539999999</v>
      </c>
      <c r="H78" s="6">
        <f t="shared" si="0"/>
      </c>
      <c r="I78" s="6" t="s">
        <v>308</v>
      </c>
      <c r="J78" s="6">
        <v>281597.539999999</v>
      </c>
      <c r="M78" s="6">
        <v>281597.539999999</v>
      </c>
    </row>
    <row r="79" ht="13.50" customHeight="true">
      <c r="A79" s="6" t="s">
        <v>236</v>
      </c>
      <c r="B79" s="6">
        <v>2</v>
      </c>
      <c r="C79" s="135" t="s">
        <v>309</v>
      </c>
      <c r="D79" s="136">
        <v>7883960.62</v>
      </c>
      <c r="E79" s="136">
        <v>0</v>
      </c>
      <c r="F79" s="136">
        <v>0</v>
      </c>
      <c r="G79" s="136">
        <v>7883960.62</v>
      </c>
      <c r="H79" s="6">
        <f t="shared" si="0"/>
      </c>
      <c r="I79" s="6" t="s">
        <v>309</v>
      </c>
      <c r="J79" s="6">
        <v>7883960.62</v>
      </c>
      <c r="K79" s="6">
        <v>0</v>
      </c>
      <c r="L79" s="6">
        <v>0</v>
      </c>
      <c r="M79" s="6">
        <v>7883960.62</v>
      </c>
    </row>
    <row r="80" ht="13.50" customHeight="true">
      <c r="A80" s="6"/>
      <c r="B80" s="6">
        <v>1</v>
      </c>
      <c r="C80" s="129" t="s">
        <v>310</v>
      </c>
      <c r="D80" s="130">
        <v>7883960.62</v>
      </c>
      <c r="E80" s="130"/>
      <c r="F80" s="130"/>
      <c r="G80" s="130">
        <v>7883960.62</v>
      </c>
      <c r="H80" s="6">
        <f t="shared" si="0"/>
      </c>
      <c r="I80" s="6" t="s">
        <v>310</v>
      </c>
      <c r="J80" s="6">
        <v>7883960.62</v>
      </c>
      <c r="M80" s="6">
        <v>7883960.62</v>
      </c>
    </row>
    <row r="81" ht="13.50" customHeight="true">
      <c r="A81" s="6" t="s">
        <v>236</v>
      </c>
      <c r="B81" s="6">
        <v>2</v>
      </c>
      <c r="C81" s="135" t="s">
        <v>311</v>
      </c>
      <c r="D81" s="136">
        <v>181339.95</v>
      </c>
      <c r="E81" s="136">
        <v>0</v>
      </c>
      <c r="F81" s="136">
        <v>0</v>
      </c>
      <c r="G81" s="136">
        <v>181339.95</v>
      </c>
      <c r="H81" s="6">
        <f t="shared" si="0"/>
      </c>
      <c r="I81" s="6" t="s">
        <v>311</v>
      </c>
      <c r="J81" s="6">
        <v>181339.95</v>
      </c>
      <c r="K81" s="6">
        <v>0</v>
      </c>
      <c r="L81" s="6">
        <v>0</v>
      </c>
      <c r="M81" s="6">
        <v>181339.95</v>
      </c>
    </row>
    <row r="82" ht="13.50" customHeight="true">
      <c r="B82" s="6">
        <v>1</v>
      </c>
      <c r="C82" s="133" t="s">
        <v>312</v>
      </c>
      <c r="D82" s="134">
        <v>107958.729999999</v>
      </c>
      <c r="E82" s="134"/>
      <c r="F82" s="134"/>
      <c r="G82" s="134">
        <v>107958.729999999</v>
      </c>
      <c r="H82" s="6">
        <f t="shared" si="0"/>
      </c>
      <c r="I82" s="6" t="s">
        <v>312</v>
      </c>
      <c r="J82" s="6">
        <v>107958.729999999</v>
      </c>
      <c r="M82" s="6">
        <v>107958.729999999</v>
      </c>
    </row>
    <row r="83" ht="13.50" customHeight="true">
      <c r="B83" s="6">
        <v>2</v>
      </c>
      <c r="C83" s="131" t="s">
        <v>313</v>
      </c>
      <c r="D83" s="132">
        <v>1709.07999999999</v>
      </c>
      <c r="E83" s="132"/>
      <c r="F83" s="132"/>
      <c r="G83" s="132">
        <v>1709.07999999999</v>
      </c>
      <c r="H83" s="6">
        <f t="shared" si="0"/>
      </c>
      <c r="I83" s="6" t="s">
        <v>313</v>
      </c>
      <c r="J83" s="6">
        <v>1709.07999999999</v>
      </c>
      <c r="M83" s="6">
        <v>1709.07999999999</v>
      </c>
    </row>
    <row r="84" ht="13.50" customHeight="true">
      <c r="B84" s="6">
        <v>1</v>
      </c>
      <c r="C84" s="133" t="s">
        <v>314</v>
      </c>
      <c r="D84" s="134">
        <v>1400</v>
      </c>
      <c r="E84" s="134"/>
      <c r="F84" s="134"/>
      <c r="G84" s="134">
        <v>1400</v>
      </c>
      <c r="H84" s="6">
        <f t="shared" si="0"/>
      </c>
      <c r="I84" s="6" t="s">
        <v>314</v>
      </c>
      <c r="J84" s="6">
        <v>1400</v>
      </c>
      <c r="M84" s="6">
        <v>1400</v>
      </c>
    </row>
    <row r="85" ht="13.50" customHeight="true">
      <c r="B85" s="6">
        <v>2</v>
      </c>
      <c r="C85" s="131" t="s">
        <v>315</v>
      </c>
      <c r="D85" s="132">
        <v>14588.4699999999</v>
      </c>
      <c r="E85" s="132"/>
      <c r="F85" s="132"/>
      <c r="G85" s="132">
        <v>14588.4699999999</v>
      </c>
      <c r="H85" s="6">
        <f t="shared" si="0"/>
      </c>
      <c r="I85" s="6" t="s">
        <v>315</v>
      </c>
      <c r="J85" s="6">
        <v>14588.4699999999</v>
      </c>
      <c r="M85" s="6">
        <v>14588.4699999999</v>
      </c>
    </row>
    <row r="86" ht="13.50" customHeight="true">
      <c r="B86" s="6">
        <v>1</v>
      </c>
      <c r="C86" s="133" t="s">
        <v>316</v>
      </c>
      <c r="D86" s="134">
        <v>417.12</v>
      </c>
      <c r="E86" s="134"/>
      <c r="F86" s="134"/>
      <c r="G86" s="134">
        <v>417.12</v>
      </c>
      <c r="H86" s="6">
        <f t="shared" si="0"/>
      </c>
      <c r="I86" s="6" t="s">
        <v>316</v>
      </c>
      <c r="J86" s="6">
        <v>417.12</v>
      </c>
      <c r="M86" s="6">
        <v>417.12</v>
      </c>
    </row>
    <row r="87" ht="13.50" customHeight="true">
      <c r="B87" s="6">
        <v>2</v>
      </c>
      <c r="C87" s="131" t="s">
        <v>317</v>
      </c>
      <c r="D87" s="132">
        <v>12192.5499999999</v>
      </c>
      <c r="E87" s="132"/>
      <c r="F87" s="132"/>
      <c r="G87" s="132">
        <v>12192.5499999999</v>
      </c>
      <c r="H87" s="6">
        <f t="shared" si="0"/>
      </c>
      <c r="I87" s="6" t="s">
        <v>317</v>
      </c>
      <c r="J87" s="6">
        <v>12192.5499999999</v>
      </c>
      <c r="M87" s="6">
        <v>12192.5499999999</v>
      </c>
    </row>
    <row r="88" ht="13.50" customHeight="true">
      <c r="B88" s="6">
        <v>1</v>
      </c>
      <c r="C88" s="133" t="s">
        <v>318</v>
      </c>
      <c r="D88" s="134">
        <v>43074</v>
      </c>
      <c r="E88" s="134"/>
      <c r="F88" s="134"/>
      <c r="G88" s="134">
        <v>43074</v>
      </c>
      <c r="H88" s="6">
        <f t="shared" si="0"/>
      </c>
      <c r="I88" s="6" t="s">
        <v>318</v>
      </c>
      <c r="J88" s="6">
        <v>43074</v>
      </c>
      <c r="M88" s="6">
        <v>43074</v>
      </c>
    </row>
    <row r="89" ht="13.50" customHeight="true">
      <c r="A89" s="6" t="s">
        <v>236</v>
      </c>
      <c r="B89" s="6">
        <v>2</v>
      </c>
      <c r="C89" s="135" t="s">
        <v>319</v>
      </c>
      <c r="D89" s="136"/>
      <c r="E89" s="136"/>
      <c r="F89" s="136"/>
      <c r="G89" s="136"/>
      <c r="H89" s="6">
        <f t="shared" si="0"/>
      </c>
      <c r="I89" s="6" t="s">
        <v>319</v>
      </c>
    </row>
    <row r="90" ht="13.50" customHeight="true">
      <c r="A90" s="6" t="s">
        <v>236</v>
      </c>
      <c r="B90" s="6">
        <v>1</v>
      </c>
      <c r="C90" s="129" t="s">
        <v>320</v>
      </c>
      <c r="D90" s="130">
        <v>2275.19</v>
      </c>
      <c r="E90" s="130"/>
      <c r="F90" s="130"/>
      <c r="G90" s="130">
        <v>2275.19</v>
      </c>
      <c r="H90" s="6">
        <f t="shared" si="0"/>
      </c>
      <c r="I90" s="6" t="s">
        <v>320</v>
      </c>
      <c r="J90" s="6">
        <v>2275.19</v>
      </c>
      <c r="M90" s="6">
        <v>2275.19</v>
      </c>
    </row>
    <row r="91" ht="13.50" customHeight="true">
      <c r="A91" s="6" t="s">
        <v>236</v>
      </c>
      <c r="B91" s="6">
        <v>2</v>
      </c>
      <c r="C91" s="135" t="s">
        <v>321</v>
      </c>
      <c r="D91" s="136">
        <v>425800</v>
      </c>
      <c r="E91" s="136">
        <v>0</v>
      </c>
      <c r="F91" s="136">
        <v>0</v>
      </c>
      <c r="G91" s="136">
        <v>425800</v>
      </c>
      <c r="H91" s="6">
        <f t="shared" si="0"/>
      </c>
      <c r="I91" s="6" t="s">
        <v>321</v>
      </c>
      <c r="J91" s="6">
        <v>425800</v>
      </c>
      <c r="K91" s="6">
        <v>0</v>
      </c>
      <c r="L91" s="6">
        <v>0</v>
      </c>
      <c r="M91" s="6">
        <v>425800</v>
      </c>
    </row>
    <row r="92" ht="13.50" customHeight="true">
      <c r="B92" s="6">
        <v>1</v>
      </c>
      <c r="C92" s="133" t="s">
        <v>322</v>
      </c>
      <c r="D92" s="134">
        <v>200000</v>
      </c>
      <c r="E92" s="134"/>
      <c r="F92" s="134"/>
      <c r="G92" s="134">
        <v>200000</v>
      </c>
      <c r="H92" s="6">
        <f t="shared" si="0"/>
      </c>
      <c r="I92" s="6" t="s">
        <v>322</v>
      </c>
      <c r="J92" s="6">
        <v>200000</v>
      </c>
      <c r="M92" s="6">
        <v>200000</v>
      </c>
    </row>
    <row r="93" ht="13.50" customHeight="true">
      <c r="C93" s="133" t="s">
        <v>323</v>
      </c>
      <c r="D93" s="134">
        <v>225800</v>
      </c>
      <c r="E93" s="134"/>
      <c r="F93" s="134"/>
      <c r="G93" s="134">
        <v>225800</v>
      </c>
      <c r="H93" s="6">
        <f t="shared" si="0"/>
      </c>
      <c r="I93" s="6" t="s">
        <v>323</v>
      </c>
      <c r="J93" s="6">
        <v>225800</v>
      </c>
      <c r="M93" s="6">
        <v>225800</v>
      </c>
    </row>
    <row r="94" ht="13.50" customHeight="true">
      <c r="A94" s="6" t="s">
        <v>236</v>
      </c>
      <c r="B94" s="6">
        <v>2</v>
      </c>
      <c r="C94" s="135" t="s">
        <v>324</v>
      </c>
      <c r="D94" s="136">
        <v>1090000</v>
      </c>
      <c r="E94" s="132"/>
      <c r="F94" s="132"/>
      <c r="G94" s="136">
        <v>1090000</v>
      </c>
      <c r="H94" s="6">
        <f t="shared" si="0"/>
      </c>
      <c r="I94" s="6" t="s">
        <v>324</v>
      </c>
      <c r="J94" s="6">
        <v>1090000</v>
      </c>
      <c r="M94" s="6">
        <v>1090000</v>
      </c>
    </row>
    <row r="95" ht="13.50" customHeight="true">
      <c r="A95" s="6" t="s">
        <v>236</v>
      </c>
      <c r="B95" s="6">
        <v>1</v>
      </c>
      <c r="C95" s="129" t="s">
        <v>325</v>
      </c>
      <c r="D95" s="130">
        <v>-7969283.6019</v>
      </c>
      <c r="E95" s="130">
        <v>0</v>
      </c>
      <c r="F95" s="130">
        <v>0</v>
      </c>
      <c r="G95" s="130">
        <v>-7969283.6019</v>
      </c>
      <c r="H95" s="6">
        <f t="shared" si="0"/>
      </c>
      <c r="I95" s="6" t="s">
        <v>325</v>
      </c>
      <c r="J95" s="6">
        <v>-7969283.6019</v>
      </c>
      <c r="K95" s="6">
        <v>0</v>
      </c>
      <c r="L95" s="6">
        <v>0</v>
      </c>
      <c r="M95" s="6">
        <v>-7969283.6019</v>
      </c>
    </row>
    <row r="96" ht="13.50" customHeight="true">
      <c r="B96" s="6">
        <v>2</v>
      </c>
      <c r="C96" s="131" t="s">
        <v>326</v>
      </c>
      <c r="D96" s="132">
        <v>79094.13</v>
      </c>
      <c r="E96" s="132"/>
      <c r="F96" s="132"/>
      <c r="G96" s="132">
        <v>79094.13</v>
      </c>
      <c r="H96" s="6">
        <f t="shared" si="0"/>
      </c>
      <c r="I96" s="6" t="s">
        <v>326</v>
      </c>
      <c r="J96" s="6">
        <v>79094.13</v>
      </c>
      <c r="M96" s="6">
        <v>79094.13</v>
      </c>
    </row>
    <row r="97" ht="13.50" customHeight="true">
      <c r="B97" s="6">
        <v>1</v>
      </c>
      <c r="C97" s="133" t="s">
        <v>327</v>
      </c>
      <c r="D97" s="134">
        <v>21649.1599999999</v>
      </c>
      <c r="E97" s="134"/>
      <c r="F97" s="134"/>
      <c r="G97" s="134">
        <v>21649.1599999999</v>
      </c>
      <c r="H97" s="6">
        <f t="shared" si="0"/>
      </c>
      <c r="I97" s="6" t="s">
        <v>327</v>
      </c>
      <c r="J97" s="6">
        <v>21649.1599999999</v>
      </c>
      <c r="M97" s="6">
        <v>21649.1599999999</v>
      </c>
    </row>
    <row r="98" ht="13.50" customHeight="true">
      <c r="B98" s="6">
        <v>2</v>
      </c>
      <c r="C98" s="131" t="s">
        <v>328</v>
      </c>
      <c r="D98" s="132">
        <v>19435.6699999999</v>
      </c>
      <c r="E98" s="132"/>
      <c r="F98" s="132"/>
      <c r="G98" s="132">
        <v>19435.6699999999</v>
      </c>
      <c r="H98" s="6">
        <f t="shared" si="0"/>
      </c>
      <c r="I98" s="6" t="s">
        <v>328</v>
      </c>
      <c r="J98" s="6">
        <v>19435.6699999999</v>
      </c>
      <c r="M98" s="6">
        <v>19435.6699999999</v>
      </c>
    </row>
    <row r="99" ht="13.50" customHeight="true">
      <c r="B99" s="6">
        <v>1</v>
      </c>
      <c r="C99" s="133" t="s">
        <v>329</v>
      </c>
      <c r="D99" s="134">
        <v>19075.43</v>
      </c>
      <c r="E99" s="134"/>
      <c r="F99" s="134"/>
      <c r="G99" s="134">
        <v>19075.43</v>
      </c>
      <c r="H99" s="6">
        <f t="shared" si="0"/>
      </c>
      <c r="I99" s="6" t="s">
        <v>329</v>
      </c>
      <c r="J99" s="6">
        <v>19075.43</v>
      </c>
      <c r="M99" s="6">
        <v>19075.43</v>
      </c>
    </row>
    <row r="100" ht="13.50" customHeight="true">
      <c r="B100" s="6">
        <v>2</v>
      </c>
      <c r="C100" s="131" t="s">
        <v>330</v>
      </c>
      <c r="D100" s="132">
        <v>330278.216917</v>
      </c>
      <c r="E100" s="132"/>
      <c r="F100" s="132"/>
      <c r="G100" s="132">
        <v>330278.216917</v>
      </c>
      <c r="H100" s="6">
        <f t="shared" si="0"/>
      </c>
      <c r="I100" s="6" t="s">
        <v>330</v>
      </c>
      <c r="J100" s="6">
        <v>330278.216917</v>
      </c>
      <c r="M100" s="6">
        <v>330278.216917</v>
      </c>
    </row>
    <row r="101" ht="13.50" customHeight="true">
      <c r="B101" s="6">
        <v>1</v>
      </c>
      <c r="C101" s="133" t="s">
        <v>331</v>
      </c>
      <c r="D101" s="134">
        <v>2511778.83520099</v>
      </c>
      <c r="E101" s="134"/>
      <c r="F101" s="134"/>
      <c r="G101" s="134">
        <v>2511778.83520099</v>
      </c>
      <c r="H101" s="6">
        <f t="shared" si="0"/>
      </c>
      <c r="I101" s="6" t="s">
        <v>331</v>
      </c>
      <c r="J101" s="6">
        <v>2511778.83520099</v>
      </c>
      <c r="M101" s="6">
        <v>2511778.83520099</v>
      </c>
    </row>
    <row r="102" ht="13.50" customHeight="true">
      <c r="B102" s="6">
        <v>2</v>
      </c>
      <c r="C102" s="131" t="s">
        <v>332</v>
      </c>
      <c r="D102" s="132">
        <v>-153899.274917</v>
      </c>
      <c r="E102" s="132"/>
      <c r="F102" s="132"/>
      <c r="G102" s="132">
        <v>-153899.274917</v>
      </c>
      <c r="H102" s="6">
        <f t="shared" si="0"/>
      </c>
      <c r="I102" s="6" t="s">
        <v>332</v>
      </c>
      <c r="J102" s="6">
        <v>-153899.274917</v>
      </c>
      <c r="M102" s="6">
        <v>-153899.274917</v>
      </c>
    </row>
    <row r="103" ht="13.50" customHeight="true">
      <c r="B103" s="6">
        <v>1</v>
      </c>
      <c r="C103" s="133" t="s">
        <v>333</v>
      </c>
      <c r="D103" s="134">
        <v>313909.204864999</v>
      </c>
      <c r="E103" s="134"/>
      <c r="F103" s="134"/>
      <c r="G103" s="134">
        <v>313909.204864999</v>
      </c>
      <c r="H103" s="6">
        <f t="shared" si="0"/>
      </c>
      <c r="I103" s="6" t="s">
        <v>333</v>
      </c>
      <c r="J103" s="6">
        <v>313909.204864999</v>
      </c>
      <c r="M103" s="6">
        <v>313909.204864999</v>
      </c>
    </row>
    <row r="104" ht="13.50" customHeight="true">
      <c r="B104" s="6">
        <v>2</v>
      </c>
      <c r="C104" s="131" t="s">
        <v>334</v>
      </c>
      <c r="D104" s="132">
        <v>-4760521.5999999</v>
      </c>
      <c r="E104" s="132"/>
      <c r="F104" s="132"/>
      <c r="G104" s="132">
        <v>-4760521.5999999</v>
      </c>
      <c r="H104" s="6">
        <f t="shared" si="0"/>
      </c>
      <c r="I104" s="6" t="s">
        <v>334</v>
      </c>
      <c r="J104" s="6">
        <v>-4760521.5999999</v>
      </c>
      <c r="M104" s="6">
        <v>-4760521.5999999</v>
      </c>
    </row>
    <row r="105" ht="13.50" customHeight="true">
      <c r="A105" s="6" t="s">
        <v>236</v>
      </c>
      <c r="B105" s="6">
        <v>1</v>
      </c>
      <c r="C105" s="129" t="s">
        <v>335</v>
      </c>
      <c r="D105" s="130">
        <v>1978019.1799</v>
      </c>
      <c r="E105" s="130">
        <v>0</v>
      </c>
      <c r="F105" s="130">
        <v>0</v>
      </c>
      <c r="G105" s="130">
        <v>1978019.1799</v>
      </c>
      <c r="H105" s="6">
        <f t="shared" si="0"/>
      </c>
      <c r="I105" s="6" t="s">
        <v>335</v>
      </c>
      <c r="J105" s="6">
        <v>1978019.1799</v>
      </c>
      <c r="K105" s="6">
        <v>0</v>
      </c>
      <c r="L105" s="6">
        <v>0</v>
      </c>
      <c r="M105" s="6">
        <v>1978019.1799</v>
      </c>
    </row>
    <row r="106" ht="13.50" customHeight="true">
      <c r="B106" s="6">
        <v>2</v>
      </c>
      <c r="C106" s="131" t="s">
        <v>336</v>
      </c>
      <c r="D106" s="132">
        <v>1943205.53999999</v>
      </c>
      <c r="E106" s="132"/>
      <c r="F106" s="132"/>
      <c r="G106" s="132">
        <v>1943205.54</v>
      </c>
      <c r="H106" s="6">
        <f t="shared" si="0"/>
      </c>
      <c r="I106" s="6" t="s">
        <v>336</v>
      </c>
      <c r="J106" s="6">
        <v>1943205.53999999</v>
      </c>
      <c r="M106" s="6">
        <v>1943205.54</v>
      </c>
    </row>
    <row r="107" ht="13.50" customHeight="true">
      <c r="C107" s="131" t="s">
        <v>337</v>
      </c>
      <c r="D107" s="132">
        <v>34051.72</v>
      </c>
      <c r="E107" s="132"/>
      <c r="F107" s="132"/>
      <c r="G107" s="132">
        <v>34051.72</v>
      </c>
      <c r="H107" s="6">
        <f t="shared" si="0"/>
      </c>
      <c r="I107" s="6" t="s">
        <v>337</v>
      </c>
      <c r="J107" s="6">
        <v>34051.72</v>
      </c>
      <c r="M107" s="6">
        <v>34051.72</v>
      </c>
    </row>
    <row r="108" ht="13.50" customHeight="true">
      <c r="C108" s="131" t="s">
        <v>338</v>
      </c>
      <c r="D108" s="132">
        <v>663</v>
      </c>
      <c r="E108" s="132"/>
      <c r="F108" s="132"/>
      <c r="G108" s="132">
        <v>663</v>
      </c>
      <c r="H108" s="6">
        <f t="shared" si="0"/>
      </c>
      <c r="I108" s="6" t="s">
        <v>338</v>
      </c>
      <c r="J108" s="6">
        <v>663</v>
      </c>
      <c r="M108" s="6">
        <v>663</v>
      </c>
    </row>
    <row r="109" ht="13.50" customHeight="true">
      <c r="B109" s="6">
        <v>1</v>
      </c>
      <c r="C109" s="133" t="s">
        <v>339</v>
      </c>
      <c r="D109" s="134">
        <v>98.9198999999999</v>
      </c>
      <c r="E109" s="134"/>
      <c r="F109" s="134"/>
      <c r="G109" s="134">
        <v>98.9198999999999</v>
      </c>
      <c r="H109" s="6">
        <f t="shared" si="0"/>
      </c>
      <c r="I109" s="6" t="s">
        <v>339</v>
      </c>
      <c r="J109" s="6">
        <v>98.9198999999999</v>
      </c>
      <c r="M109" s="6">
        <v>98.9198999999999</v>
      </c>
    </row>
    <row r="110" ht="13.50" customHeight="true">
      <c r="A110" s="6" t="s">
        <v>236</v>
      </c>
      <c r="B110" s="6">
        <v>2</v>
      </c>
      <c r="C110" s="135" t="s">
        <v>340</v>
      </c>
      <c r="D110" s="136">
        <v>1654681.763989</v>
      </c>
      <c r="E110" s="136">
        <v>0</v>
      </c>
      <c r="F110" s="136">
        <v>0</v>
      </c>
      <c r="G110" s="136">
        <v>1654681.763989</v>
      </c>
      <c r="H110" s="6">
        <f t="shared" si="0"/>
      </c>
      <c r="I110" s="6" t="s">
        <v>340</v>
      </c>
      <c r="J110" s="6">
        <f>=795.6+1653886.163989</f>
      </c>
      <c r="K110" s="6">
        <v>0</v>
      </c>
      <c r="L110" s="6">
        <v>0</v>
      </c>
      <c r="M110" s="6">
        <f>=+J110</f>
      </c>
    </row>
    <row r="111" ht="13.50" customHeight="true">
      <c r="B111" s="6">
        <v>1</v>
      </c>
      <c r="C111" s="133" t="s">
        <v>341</v>
      </c>
      <c r="D111" s="134">
        <v>252649.5052</v>
      </c>
      <c r="E111" s="134"/>
      <c r="F111" s="134"/>
      <c r="G111" s="134">
        <v>252649.5052</v>
      </c>
      <c r="H111" s="6">
        <f t="shared" si="0"/>
      </c>
      <c r="I111" s="6" t="s">
        <v>341</v>
      </c>
      <c r="J111" s="6">
        <v>252649.5052</v>
      </c>
      <c r="M111" s="6">
        <v>252649.5052</v>
      </c>
    </row>
    <row r="112" ht="13.50" customHeight="true">
      <c r="B112" s="6">
        <v>2</v>
      </c>
      <c r="C112" s="131" t="s">
        <v>342</v>
      </c>
      <c r="D112" s="132">
        <v>214656.144712999</v>
      </c>
      <c r="E112" s="132"/>
      <c r="F112" s="132"/>
      <c r="G112" s="132">
        <v>214656.144712999</v>
      </c>
      <c r="H112" s="6">
        <f t="shared" si="0"/>
      </c>
      <c r="I112" s="6" t="s">
        <v>342</v>
      </c>
      <c r="J112" s="6">
        <v>214656.144712999</v>
      </c>
      <c r="M112" s="6">
        <v>214656.144712999</v>
      </c>
    </row>
    <row r="113" ht="13.50" customHeight="true">
      <c r="B113" s="6">
        <v>1</v>
      </c>
      <c r="C113" s="133" t="s">
        <v>343</v>
      </c>
      <c r="D113" s="134">
        <v>15219.9799999999</v>
      </c>
      <c r="E113" s="134"/>
      <c r="F113" s="134"/>
      <c r="G113" s="134">
        <v>15219.9799999999</v>
      </c>
      <c r="H113" s="6">
        <f t="shared" si="0"/>
      </c>
      <c r="I113" s="6" t="s">
        <v>343</v>
      </c>
      <c r="J113" s="6">
        <v>15219.9799999999</v>
      </c>
      <c r="M113" s="6">
        <v>15219.9799999999</v>
      </c>
    </row>
    <row r="114" ht="13.50" customHeight="true">
      <c r="B114" s="6">
        <v>2</v>
      </c>
      <c r="C114" s="131" t="s">
        <v>344</v>
      </c>
      <c r="D114" s="132">
        <v>314563.980675999</v>
      </c>
      <c r="E114" s="132"/>
      <c r="F114" s="132"/>
      <c r="G114" s="132">
        <v>314563.980675999</v>
      </c>
      <c r="H114" s="6">
        <f t="shared" si="0"/>
      </c>
      <c r="I114" s="6" t="s">
        <v>344</v>
      </c>
      <c r="J114" s="6">
        <f>=795.6+313768.380676</f>
      </c>
      <c r="M114" s="6">
        <f>=+J114</f>
      </c>
    </row>
    <row r="115" ht="13.50" customHeight="true">
      <c r="B115" s="6">
        <v>1</v>
      </c>
      <c r="C115" s="133" t="s">
        <v>345</v>
      </c>
      <c r="D115" s="134">
        <v>320767.95</v>
      </c>
      <c r="E115" s="134"/>
      <c r="F115" s="134"/>
      <c r="G115" s="134">
        <v>320767.95</v>
      </c>
      <c r="H115" s="6">
        <f t="shared" si="0"/>
      </c>
      <c r="I115" s="6" t="s">
        <v>345</v>
      </c>
      <c r="J115" s="6">
        <v>320767.95</v>
      </c>
      <c r="M115" s="6">
        <v>320767.95</v>
      </c>
    </row>
    <row r="116" ht="13.50" customHeight="true">
      <c r="B116" s="6">
        <v>2</v>
      </c>
      <c r="C116" s="131" t="s">
        <v>346</v>
      </c>
      <c r="D116" s="132">
        <v>147335.2386</v>
      </c>
      <c r="E116" s="132"/>
      <c r="F116" s="132"/>
      <c r="G116" s="132">
        <v>147335.2386</v>
      </c>
      <c r="H116" s="6">
        <f t="shared" si="0"/>
      </c>
      <c r="I116" s="6" t="s">
        <v>346</v>
      </c>
      <c r="J116" s="6">
        <v>147335.2386</v>
      </c>
      <c r="M116" s="6">
        <v>147335.2386</v>
      </c>
    </row>
    <row r="117" ht="13.50" customHeight="true">
      <c r="B117" s="6">
        <v>1</v>
      </c>
      <c r="C117" s="133" t="s">
        <v>347</v>
      </c>
      <c r="D117" s="134">
        <v>174732.206899999</v>
      </c>
      <c r="E117" s="134"/>
      <c r="F117" s="134"/>
      <c r="G117" s="134">
        <v>174732.206899999</v>
      </c>
      <c r="H117" s="6">
        <f t="shared" si="0"/>
      </c>
      <c r="I117" s="6" t="s">
        <v>347</v>
      </c>
      <c r="J117" s="6">
        <v>174732.206899999</v>
      </c>
      <c r="M117" s="6">
        <v>174732.206899999</v>
      </c>
    </row>
    <row r="118" ht="13.50" customHeight="true">
      <c r="B118" s="6">
        <v>2</v>
      </c>
      <c r="C118" s="131" t="s">
        <v>348</v>
      </c>
      <c r="D118" s="132">
        <v>214756.757899999</v>
      </c>
      <c r="E118" s="132"/>
      <c r="F118" s="132"/>
      <c r="G118" s="132">
        <v>214756.757899999</v>
      </c>
      <c r="H118" s="6">
        <f t="shared" si="0"/>
      </c>
      <c r="I118" s="6" t="s">
        <v>348</v>
      </c>
      <c r="J118" s="6">
        <v>214756.757899999</v>
      </c>
      <c r="M118" s="6">
        <v>214756.757899999</v>
      </c>
    </row>
    <row r="119" ht="13.50" customHeight="true">
      <c r="A119" s="6" t="s">
        <v>236</v>
      </c>
      <c r="B119" s="6">
        <v>1</v>
      </c>
      <c r="C119" s="129" t="s">
        <v>349</v>
      </c>
      <c r="D119" s="130"/>
      <c r="E119" s="134"/>
      <c r="F119" s="134"/>
      <c r="G119" s="130"/>
      <c r="H119" s="6">
        <f t="shared" si="0"/>
      </c>
      <c r="I119" s="6" t="s">
        <v>349</v>
      </c>
    </row>
    <row r="120" ht="13.50" customHeight="true">
      <c r="A120" s="6" t="s">
        <v>236</v>
      </c>
      <c r="B120" s="6">
        <v>2</v>
      </c>
      <c r="C120" s="135" t="s">
        <v>350</v>
      </c>
      <c r="D120" s="136">
        <v>1783936.93999999</v>
      </c>
      <c r="E120" s="136">
        <v>0</v>
      </c>
      <c r="F120" s="136">
        <v>0</v>
      </c>
      <c r="G120" s="136">
        <v>1783936.93999999</v>
      </c>
      <c r="H120" s="6">
        <f t="shared" si="0"/>
      </c>
      <c r="I120" s="6" t="s">
        <v>350</v>
      </c>
      <c r="J120" s="6">
        <v>1783936.93999999</v>
      </c>
      <c r="K120" s="6">
        <v>0</v>
      </c>
      <c r="L120" s="6">
        <v>0</v>
      </c>
      <c r="M120" s="6">
        <v>1783936.93999999</v>
      </c>
    </row>
    <row r="121" ht="13.50" customHeight="true">
      <c r="B121" s="6">
        <v>1</v>
      </c>
      <c r="C121" s="133" t="s">
        <v>351</v>
      </c>
      <c r="D121" s="134">
        <v>1017759.31</v>
      </c>
      <c r="E121" s="134"/>
      <c r="F121" s="134"/>
      <c r="G121" s="134">
        <v>1017759.31</v>
      </c>
      <c r="H121" s="6">
        <f t="shared" si="0"/>
      </c>
      <c r="I121" s="6" t="s">
        <v>351</v>
      </c>
      <c r="J121" s="6">
        <v>1017759.31</v>
      </c>
      <c r="M121" s="6">
        <v>1017759.31</v>
      </c>
    </row>
    <row r="122" ht="13.50" customHeight="true">
      <c r="B122" s="6">
        <v>2</v>
      </c>
      <c r="C122" s="131" t="s">
        <v>352</v>
      </c>
      <c r="D122" s="132">
        <v>41877.7799999999</v>
      </c>
      <c r="E122" s="132"/>
      <c r="F122" s="132"/>
      <c r="G122" s="132">
        <v>41877.7799999999</v>
      </c>
      <c r="H122" s="6">
        <f t="shared" si="0"/>
      </c>
      <c r="I122" s="6" t="s">
        <v>352</v>
      </c>
      <c r="J122" s="6">
        <v>41877.7799999999</v>
      </c>
      <c r="M122" s="6">
        <v>41877.7799999999</v>
      </c>
    </row>
    <row r="123" ht="13.50" customHeight="true">
      <c r="B123" s="6">
        <v>1</v>
      </c>
      <c r="C123" s="133" t="s">
        <v>353</v>
      </c>
      <c r="D123" s="134">
        <v>34642.4599999999</v>
      </c>
      <c r="E123" s="134"/>
      <c r="F123" s="134"/>
      <c r="G123" s="134">
        <v>34642.4599999999</v>
      </c>
      <c r="H123" s="6">
        <f t="shared" si="0"/>
      </c>
      <c r="I123" s="6" t="s">
        <v>353</v>
      </c>
      <c r="J123" s="6">
        <v>34642.4599999999</v>
      </c>
      <c r="M123" s="6">
        <v>34642.4599999999</v>
      </c>
    </row>
    <row r="124" ht="13.50" customHeight="true">
      <c r="B124" s="6">
        <v>2</v>
      </c>
      <c r="C124" s="131" t="s">
        <v>354</v>
      </c>
      <c r="D124" s="132">
        <v>84680.4499999999</v>
      </c>
      <c r="E124" s="132"/>
      <c r="F124" s="132"/>
      <c r="G124" s="132">
        <v>84680.4499999999</v>
      </c>
      <c r="H124" s="6">
        <f t="shared" si="0"/>
      </c>
      <c r="I124" s="6" t="s">
        <v>354</v>
      </c>
      <c r="J124" s="6">
        <v>84680.4499999999</v>
      </c>
      <c r="M124" s="6">
        <v>84680.4499999999</v>
      </c>
    </row>
    <row r="125" ht="13.50" customHeight="true">
      <c r="B125" s="6">
        <v>1</v>
      </c>
      <c r="C125" s="133" t="s">
        <v>355</v>
      </c>
      <c r="D125" s="134">
        <v>242.069999999999</v>
      </c>
      <c r="E125" s="134"/>
      <c r="F125" s="134"/>
      <c r="G125" s="134">
        <v>242.069999999999</v>
      </c>
      <c r="H125" s="6">
        <f t="shared" si="0"/>
      </c>
      <c r="I125" s="6" t="s">
        <v>355</v>
      </c>
      <c r="J125" s="6">
        <v>242.069999999999</v>
      </c>
      <c r="M125" s="6">
        <v>242.069999999999</v>
      </c>
    </row>
    <row r="126" ht="13.50" customHeight="true">
      <c r="B126" s="6">
        <v>2</v>
      </c>
      <c r="C126" s="131" t="s">
        <v>356</v>
      </c>
      <c r="D126" s="132">
        <v>18702.2</v>
      </c>
      <c r="E126" s="132"/>
      <c r="F126" s="132"/>
      <c r="G126" s="132">
        <v>18702.2</v>
      </c>
      <c r="H126" s="6">
        <f t="shared" si="0"/>
      </c>
      <c r="I126" s="6" t="s">
        <v>356</v>
      </c>
      <c r="J126" s="6">
        <v>18702.2</v>
      </c>
      <c r="M126" s="6">
        <v>18702.2</v>
      </c>
    </row>
    <row r="127" ht="13.50" customHeight="true">
      <c r="B127" s="6">
        <v>1</v>
      </c>
      <c r="C127" s="133" t="s">
        <v>357</v>
      </c>
      <c r="D127" s="134">
        <v>45021.04</v>
      </c>
      <c r="E127" s="134"/>
      <c r="F127" s="134"/>
      <c r="G127" s="134">
        <v>45021.04</v>
      </c>
      <c r="H127" s="6">
        <f t="shared" si="0"/>
      </c>
      <c r="I127" s="6" t="s">
        <v>357</v>
      </c>
      <c r="J127" s="6">
        <v>45021.04</v>
      </c>
      <c r="M127" s="6">
        <v>45021.04</v>
      </c>
    </row>
    <row r="128" ht="13.50" customHeight="true">
      <c r="B128" s="6">
        <v>2</v>
      </c>
      <c r="C128" s="131" t="s">
        <v>358</v>
      </c>
      <c r="D128" s="132">
        <v>11249.0699999999</v>
      </c>
      <c r="E128" s="132"/>
      <c r="F128" s="132"/>
      <c r="G128" s="132">
        <v>11249.0699999999</v>
      </c>
      <c r="H128" s="6">
        <f t="shared" si="0"/>
      </c>
      <c r="I128" s="6" t="s">
        <v>358</v>
      </c>
      <c r="J128" s="6">
        <v>11249.0699999999</v>
      </c>
      <c r="M128" s="6">
        <v>11249.0699999999</v>
      </c>
    </row>
    <row r="129" ht="13.50" customHeight="true">
      <c r="B129" s="6">
        <v>1</v>
      </c>
      <c r="C129" s="133" t="s">
        <v>359</v>
      </c>
      <c r="D129" s="134">
        <v>191833.42</v>
      </c>
      <c r="E129" s="134"/>
      <c r="F129" s="134"/>
      <c r="G129" s="134">
        <v>191833.42</v>
      </c>
      <c r="H129" s="6">
        <f t="shared" si="0"/>
      </c>
      <c r="I129" s="6" t="s">
        <v>359</v>
      </c>
      <c r="J129" s="6">
        <v>191833.42</v>
      </c>
      <c r="M129" s="6">
        <v>191833.42</v>
      </c>
    </row>
    <row r="130" ht="13.50" customHeight="true">
      <c r="B130" s="6">
        <v>2</v>
      </c>
      <c r="C130" s="131" t="s">
        <v>360</v>
      </c>
      <c r="D130" s="132">
        <v>45838.3199999999</v>
      </c>
      <c r="E130" s="132"/>
      <c r="F130" s="132"/>
      <c r="G130" s="132">
        <v>45838.3199999999</v>
      </c>
      <c r="H130" s="6">
        <f t="shared" si="0"/>
      </c>
      <c r="I130" s="6" t="s">
        <v>360</v>
      </c>
      <c r="J130" s="6">
        <v>45838.3199999999</v>
      </c>
      <c r="M130" s="6">
        <v>45838.3199999999</v>
      </c>
    </row>
    <row r="131" ht="13.50" customHeight="true">
      <c r="B131" s="6">
        <v>1</v>
      </c>
      <c r="C131" s="133" t="s">
        <v>361</v>
      </c>
      <c r="D131" s="134">
        <v>25092</v>
      </c>
      <c r="E131" s="134"/>
      <c r="F131" s="134"/>
      <c r="G131" s="134">
        <v>25092</v>
      </c>
      <c r="H131" s="6">
        <f t="shared" si="0"/>
      </c>
      <c r="I131" s="6" t="s">
        <v>361</v>
      </c>
      <c r="J131" s="6">
        <v>25092</v>
      </c>
      <c r="M131" s="6">
        <v>25092</v>
      </c>
    </row>
    <row r="132" ht="13.50" customHeight="true">
      <c r="B132" s="6">
        <v>2</v>
      </c>
      <c r="C132" s="131" t="s">
        <v>362</v>
      </c>
      <c r="D132" s="132">
        <v>208395.589999999</v>
      </c>
      <c r="E132" s="132"/>
      <c r="F132" s="132"/>
      <c r="G132" s="132">
        <v>208395.589999999</v>
      </c>
      <c r="H132" s="6">
        <f t="shared" si="0"/>
      </c>
      <c r="I132" s="6" t="s">
        <v>362</v>
      </c>
      <c r="J132" s="6">
        <v>208395.589999999</v>
      </c>
      <c r="M132" s="6">
        <v>208395.589999999</v>
      </c>
    </row>
    <row r="133" ht="13.50" customHeight="true">
      <c r="B133" s="6">
        <v>1</v>
      </c>
      <c r="C133" s="133" t="s">
        <v>363</v>
      </c>
      <c r="D133" s="134">
        <v>58130.6699999999</v>
      </c>
      <c r="E133" s="134"/>
      <c r="F133" s="134"/>
      <c r="G133" s="134">
        <v>58130.6699999999</v>
      </c>
      <c r="H133" s="6">
        <f t="shared" si="0"/>
      </c>
      <c r="I133" s="6" t="s">
        <v>363</v>
      </c>
      <c r="J133" s="6">
        <v>58130.6699999999</v>
      </c>
      <c r="M133" s="6">
        <v>58130.6699999999</v>
      </c>
    </row>
    <row r="134" ht="13.50" customHeight="true">
      <c r="B134" s="6">
        <v>2</v>
      </c>
      <c r="C134" s="131" t="s">
        <v>364</v>
      </c>
      <c r="D134" s="132">
        <v>472.56</v>
      </c>
      <c r="E134" s="132"/>
      <c r="F134" s="132"/>
      <c r="G134" s="132">
        <v>472.56</v>
      </c>
      <c r="H134" s="6">
        <f t="shared" si="0"/>
      </c>
      <c r="I134" s="6" t="s">
        <v>364</v>
      </c>
      <c r="J134" s="6">
        <v>472.56</v>
      </c>
      <c r="M134" s="6">
        <v>472.56</v>
      </c>
    </row>
    <row r="135" ht="13.50" customHeight="true">
      <c r="A135" s="6" t="s">
        <v>236</v>
      </c>
      <c r="B135" s="6">
        <v>1</v>
      </c>
      <c r="C135" s="129" t="s">
        <v>365</v>
      </c>
      <c r="D135" s="130">
        <v>318566.65</v>
      </c>
      <c r="E135" s="130">
        <v>0</v>
      </c>
      <c r="F135" s="130">
        <v>0</v>
      </c>
      <c r="G135" s="130">
        <v>318566.65</v>
      </c>
      <c r="H135" s="6">
        <f t="shared" si="0"/>
      </c>
      <c r="I135" s="6" t="s">
        <v>365</v>
      </c>
      <c r="J135" s="6">
        <v>318566.65</v>
      </c>
      <c r="K135" s="6">
        <v>0</v>
      </c>
      <c r="L135" s="6">
        <v>0</v>
      </c>
      <c r="M135" s="6">
        <v>318566.65</v>
      </c>
    </row>
    <row r="136" ht="13.50" customHeight="true">
      <c r="B136" s="6">
        <v>2</v>
      </c>
      <c r="C136" s="131" t="s">
        <v>366</v>
      </c>
      <c r="D136" s="132">
        <v>143760.799999999</v>
      </c>
      <c r="E136" s="132"/>
      <c r="F136" s="132"/>
      <c r="G136" s="132">
        <v>143760.799999999</v>
      </c>
      <c r="H136" s="6">
        <f ref="H136:H183" t="shared" si="2">=IF(I136=C136,"ok","REVISAR")</f>
      </c>
      <c r="I136" s="6" t="s">
        <v>366</v>
      </c>
      <c r="J136" s="6">
        <v>143760.799999999</v>
      </c>
      <c r="M136" s="6">
        <v>143760.799999999</v>
      </c>
    </row>
    <row r="137" ht="13.50" customHeight="true">
      <c r="B137" s="6">
        <v>1</v>
      </c>
      <c r="C137" s="133" t="s">
        <v>367</v>
      </c>
      <c r="D137" s="134">
        <v>78726.41</v>
      </c>
      <c r="E137" s="134"/>
      <c r="F137" s="134"/>
      <c r="G137" s="134">
        <v>78726.41</v>
      </c>
      <c r="H137" s="6">
        <f t="shared" si="2"/>
      </c>
      <c r="I137" s="6" t="s">
        <v>367</v>
      </c>
      <c r="J137" s="6">
        <v>78726.41</v>
      </c>
      <c r="M137" s="6">
        <v>78726.41</v>
      </c>
    </row>
    <row r="138" ht="13.50" customHeight="true">
      <c r="B138" s="6">
        <v>2</v>
      </c>
      <c r="C138" s="131" t="s">
        <v>368</v>
      </c>
      <c r="D138" s="132">
        <v>42623.11</v>
      </c>
      <c r="E138" s="132"/>
      <c r="F138" s="132"/>
      <c r="G138" s="132">
        <v>42623.11</v>
      </c>
      <c r="H138" s="6">
        <f t="shared" si="2"/>
      </c>
      <c r="I138" s="6" t="s">
        <v>368</v>
      </c>
      <c r="J138" s="6">
        <v>42623.11</v>
      </c>
      <c r="M138" s="6">
        <v>42623.11</v>
      </c>
    </row>
    <row r="139" ht="13.50" customHeight="true">
      <c r="B139" s="6">
        <v>1</v>
      </c>
      <c r="C139" s="133" t="s">
        <v>369</v>
      </c>
      <c r="D139" s="134">
        <v>51319</v>
      </c>
      <c r="E139" s="134"/>
      <c r="F139" s="134"/>
      <c r="G139" s="134">
        <v>51319</v>
      </c>
      <c r="H139" s="6">
        <f t="shared" si="2"/>
      </c>
      <c r="I139" s="6" t="s">
        <v>369</v>
      </c>
      <c r="J139" s="6">
        <v>51319</v>
      </c>
      <c r="M139" s="6">
        <v>51319</v>
      </c>
    </row>
    <row r="140" ht="13.50" customHeight="true">
      <c r="B140" s="6">
        <v>2</v>
      </c>
      <c r="C140" s="131" t="s">
        <v>370</v>
      </c>
      <c r="D140" s="132">
        <v>2137.32999999999</v>
      </c>
      <c r="E140" s="132"/>
      <c r="F140" s="132"/>
      <c r="G140" s="132">
        <v>2137.32999999999</v>
      </c>
      <c r="H140" s="6">
        <f t="shared" si="2"/>
      </c>
      <c r="I140" s="6" t="s">
        <v>370</v>
      </c>
      <c r="J140" s="6">
        <v>2137.32999999999</v>
      </c>
      <c r="M140" s="6">
        <v>2137.32999999999</v>
      </c>
    </row>
    <row r="141" ht="13.50" customHeight="true">
      <c r="A141" s="6" t="s">
        <v>236</v>
      </c>
      <c r="B141" s="6">
        <v>1</v>
      </c>
      <c r="C141" s="129" t="s">
        <v>371</v>
      </c>
      <c r="D141" s="130">
        <v>39400</v>
      </c>
      <c r="E141" s="130">
        <v>0</v>
      </c>
      <c r="F141" s="130">
        <v>0</v>
      </c>
      <c r="G141" s="130">
        <v>39400</v>
      </c>
      <c r="H141" s="6">
        <f t="shared" si="2"/>
      </c>
      <c r="I141" s="6" t="s">
        <v>371</v>
      </c>
      <c r="J141" s="6">
        <v>39400</v>
      </c>
      <c r="K141" s="6">
        <v>0</v>
      </c>
      <c r="L141" s="6">
        <v>0</v>
      </c>
      <c r="M141" s="6">
        <v>39400</v>
      </c>
    </row>
    <row r="142" ht="13.50" customHeight="true">
      <c r="C142" s="133" t="s">
        <v>372</v>
      </c>
      <c r="D142" s="130">
        <v>5400</v>
      </c>
      <c r="E142" s="130"/>
      <c r="F142" s="130"/>
      <c r="G142" s="130">
        <v>5400</v>
      </c>
      <c r="H142" s="6">
        <f t="shared" si="2"/>
      </c>
      <c r="I142" s="6" t="s">
        <v>372</v>
      </c>
      <c r="J142" s="6">
        <v>5400</v>
      </c>
      <c r="M142" s="6">
        <v>5400</v>
      </c>
    </row>
    <row r="143" ht="13.50" customHeight="true">
      <c r="C143" s="133" t="s">
        <v>373</v>
      </c>
      <c r="D143" s="130">
        <v>34000</v>
      </c>
      <c r="E143" s="130"/>
      <c r="F143" s="130"/>
      <c r="G143" s="130">
        <v>34000</v>
      </c>
      <c r="H143" s="6">
        <f t="shared" si="2"/>
      </c>
      <c r="I143" s="6" t="s">
        <v>373</v>
      </c>
      <c r="J143" s="6">
        <v>34000</v>
      </c>
      <c r="M143" s="6">
        <v>34000</v>
      </c>
    </row>
    <row r="144" ht="13.50" customHeight="true">
      <c r="A144" s="6" t="s">
        <v>236</v>
      </c>
      <c r="B144" s="6">
        <v>2</v>
      </c>
      <c r="C144" s="135" t="s">
        <v>374</v>
      </c>
      <c r="D144" s="136">
        <v>125426.32</v>
      </c>
      <c r="E144" s="136">
        <v>0</v>
      </c>
      <c r="F144" s="136">
        <v>0</v>
      </c>
      <c r="G144" s="136">
        <v>125426.32</v>
      </c>
      <c r="H144" s="6">
        <f t="shared" si="2"/>
      </c>
      <c r="I144" s="6" t="s">
        <v>374</v>
      </c>
      <c r="J144" s="6">
        <v>125426.32</v>
      </c>
      <c r="K144" s="6">
        <v>0</v>
      </c>
      <c r="L144" s="6">
        <v>0</v>
      </c>
      <c r="M144" s="6">
        <v>125426.32</v>
      </c>
    </row>
    <row r="145" ht="13.50" customHeight="true">
      <c r="B145" s="6">
        <v>1</v>
      </c>
      <c r="C145" s="133" t="s">
        <v>375</v>
      </c>
      <c r="D145" s="130">
        <v>19200</v>
      </c>
      <c r="E145" s="130"/>
      <c r="F145" s="130"/>
      <c r="G145" s="130">
        <v>19200</v>
      </c>
      <c r="H145" s="6">
        <f t="shared" si="2"/>
      </c>
      <c r="I145" s="6" t="s">
        <v>375</v>
      </c>
      <c r="J145" s="6">
        <v>19200</v>
      </c>
      <c r="M145" s="6">
        <v>19200</v>
      </c>
    </row>
    <row r="146" ht="13.50" customHeight="true">
      <c r="B146" s="6">
        <v>2</v>
      </c>
      <c r="C146" s="131" t="s">
        <v>376</v>
      </c>
      <c r="D146" s="132">
        <v>106226.32</v>
      </c>
      <c r="E146" s="132"/>
      <c r="F146" s="132"/>
      <c r="G146" s="132">
        <v>106226.32</v>
      </c>
      <c r="H146" s="6">
        <f t="shared" si="2"/>
      </c>
      <c r="I146" s="6" t="s">
        <v>376</v>
      </c>
      <c r="J146" s="6">
        <v>106226.32</v>
      </c>
      <c r="M146" s="6">
        <v>106226.32</v>
      </c>
    </row>
    <row r="147" ht="13.50" customHeight="true">
      <c r="A147" s="6" t="s">
        <v>236</v>
      </c>
      <c r="B147" s="6">
        <v>1</v>
      </c>
      <c r="C147" s="129" t="s">
        <v>377</v>
      </c>
      <c r="D147" s="130">
        <v>12288.78</v>
      </c>
      <c r="E147" s="130"/>
      <c r="F147" s="134"/>
      <c r="G147" s="130">
        <v>12288.78</v>
      </c>
      <c r="H147" s="6">
        <f t="shared" si="2"/>
      </c>
      <c r="I147" s="6" t="s">
        <v>377</v>
      </c>
      <c r="J147" s="6">
        <v>12288.78</v>
      </c>
      <c r="M147" s="6">
        <v>12288.78</v>
      </c>
    </row>
    <row r="148" ht="13.50" customHeight="true">
      <c r="A148" s="6" t="s">
        <v>236</v>
      </c>
      <c r="B148" s="6">
        <v>2</v>
      </c>
      <c r="C148" s="135" t="s">
        <v>378</v>
      </c>
      <c r="D148" s="136">
        <f>=SUM(D149:D151)</f>
      </c>
      <c r="E148" s="136">
        <v>0</v>
      </c>
      <c r="F148" s="136">
        <v>0</v>
      </c>
      <c r="G148" s="136">
        <f>=SUM(G149:G151)</f>
      </c>
      <c r="H148" s="6">
        <f t="shared" si="2"/>
      </c>
      <c r="I148" s="6" t="s">
        <v>378</v>
      </c>
      <c r="J148" s="6">
        <f>=+D148</f>
      </c>
      <c r="K148" s="6">
        <v>0</v>
      </c>
      <c r="L148" s="6">
        <v>0</v>
      </c>
      <c r="M148" s="6">
        <f>=+J148</f>
      </c>
    </row>
    <row r="149" ht="13.50" customHeight="true">
      <c r="B149" s="6">
        <v>1</v>
      </c>
      <c r="C149" s="133" t="s">
        <v>379</v>
      </c>
      <c r="D149" s="134">
        <v>9945.31999999999</v>
      </c>
      <c r="E149" s="134"/>
      <c r="F149" s="134"/>
      <c r="G149" s="134">
        <v>9945.31999999999</v>
      </c>
      <c r="H149" s="6">
        <f t="shared" si="2"/>
      </c>
      <c r="I149" s="6" t="s">
        <v>379</v>
      </c>
      <c r="J149" s="6">
        <v>9945.31999999999</v>
      </c>
      <c r="M149" s="6">
        <v>9945.31999999999</v>
      </c>
    </row>
    <row r="150" ht="13.50" customHeight="true">
      <c r="B150" s="6">
        <v>2</v>
      </c>
      <c r="C150" s="131" t="s">
        <v>380</v>
      </c>
      <c r="D150" s="132">
        <f>=360+8453.3</f>
      </c>
      <c r="E150" s="132"/>
      <c r="F150" s="132"/>
      <c r="G150" s="132">
        <f>=360+8453.3</f>
      </c>
      <c r="H150" s="6">
        <f t="shared" si="2"/>
      </c>
      <c r="I150" s="6" t="s">
        <v>380</v>
      </c>
      <c r="J150" s="6">
        <f>=360+8453.3</f>
      </c>
      <c r="M150" s="6">
        <f>=+J150</f>
      </c>
    </row>
    <row r="151" ht="13.50" customHeight="true">
      <c r="B151" s="6">
        <v>1</v>
      </c>
      <c r="C151" s="133" t="s">
        <v>381</v>
      </c>
      <c r="D151" s="134">
        <v>10600.0799999999</v>
      </c>
      <c r="E151" s="134"/>
      <c r="F151" s="134"/>
      <c r="G151" s="134">
        <v>10600.0799999999</v>
      </c>
      <c r="H151" s="6">
        <f t="shared" si="2"/>
      </c>
      <c r="I151" s="6" t="s">
        <v>381</v>
      </c>
      <c r="J151" s="6">
        <v>10600.0799999999</v>
      </c>
      <c r="M151" s="6">
        <v>10600.0799999999</v>
      </c>
    </row>
    <row r="152" ht="13.50" customHeight="true">
      <c r="A152" s="6" t="s">
        <v>236</v>
      </c>
      <c r="B152" s="6">
        <v>2</v>
      </c>
      <c r="C152" s="135" t="s">
        <v>382</v>
      </c>
      <c r="D152" s="136">
        <v>19480</v>
      </c>
      <c r="E152" s="132"/>
      <c r="F152" s="132"/>
      <c r="G152" s="136">
        <v>19480</v>
      </c>
      <c r="H152" s="6">
        <f t="shared" si="2"/>
      </c>
      <c r="I152" s="6" t="s">
        <v>382</v>
      </c>
      <c r="J152" s="6">
        <v>19480</v>
      </c>
      <c r="M152" s="6">
        <v>19480</v>
      </c>
    </row>
    <row r="153" ht="13.50" customHeight="true">
      <c r="A153" s="6" t="s">
        <v>236</v>
      </c>
      <c r="B153" s="6">
        <v>1</v>
      </c>
      <c r="C153" s="129" t="s">
        <v>383</v>
      </c>
      <c r="D153" s="130">
        <v>132585.929999999</v>
      </c>
      <c r="E153" s="130"/>
      <c r="F153" s="130"/>
      <c r="G153" s="130">
        <v>132585.929999999</v>
      </c>
      <c r="H153" s="6">
        <f t="shared" si="2"/>
      </c>
      <c r="I153" s="6" t="s">
        <v>383</v>
      </c>
      <c r="J153" s="6">
        <v>132585.929999999</v>
      </c>
      <c r="M153" s="6">
        <v>132585.929999999</v>
      </c>
    </row>
    <row r="154" ht="13.50" customHeight="true">
      <c r="A154" s="6" t="s">
        <v>236</v>
      </c>
      <c r="B154" s="6">
        <v>2</v>
      </c>
      <c r="C154" s="135" t="s">
        <v>384</v>
      </c>
      <c r="D154" s="136">
        <v>9159.26</v>
      </c>
      <c r="E154" s="136"/>
      <c r="F154" s="132"/>
      <c r="G154" s="136">
        <v>9159.26</v>
      </c>
      <c r="H154" s="6">
        <f t="shared" si="2"/>
      </c>
      <c r="I154" s="6" t="s">
        <v>384</v>
      </c>
      <c r="J154" s="6">
        <v>9159.26</v>
      </c>
      <c r="M154" s="6">
        <v>9159.26</v>
      </c>
    </row>
    <row r="155" ht="13.50" customHeight="true">
      <c r="A155" s="6" t="s">
        <v>236</v>
      </c>
      <c r="B155" s="6">
        <v>1</v>
      </c>
      <c r="C155" s="129" t="s">
        <v>385</v>
      </c>
      <c r="D155" s="130"/>
      <c r="E155" s="134"/>
      <c r="F155" s="134"/>
      <c r="G155" s="130"/>
      <c r="H155" s="6">
        <f t="shared" si="2"/>
      </c>
      <c r="I155" s="6" t="s">
        <v>385</v>
      </c>
    </row>
    <row r="156" ht="13.50" customHeight="true">
      <c r="A156" s="6" t="s">
        <v>236</v>
      </c>
      <c r="B156" s="6">
        <v>2</v>
      </c>
      <c r="C156" s="135" t="s">
        <v>386</v>
      </c>
      <c r="D156" s="132">
        <v>1173.29999999999</v>
      </c>
      <c r="E156" s="132"/>
      <c r="F156" s="132"/>
      <c r="G156" s="136">
        <v>1173.29999999999</v>
      </c>
      <c r="H156" s="6">
        <f t="shared" si="2"/>
      </c>
      <c r="I156" s="6" t="s">
        <v>386</v>
      </c>
      <c r="J156" s="6">
        <v>1173.29999999999</v>
      </c>
      <c r="M156" s="6">
        <v>1173.29999999999</v>
      </c>
    </row>
    <row r="157" ht="13.50" customHeight="true">
      <c r="A157" s="6" t="s">
        <v>236</v>
      </c>
      <c r="B157" s="6">
        <v>1</v>
      </c>
      <c r="C157" s="129" t="s">
        <v>387</v>
      </c>
      <c r="D157" s="130">
        <v>72756.347393</v>
      </c>
      <c r="E157" s="130">
        <v>0</v>
      </c>
      <c r="F157" s="130">
        <v>0</v>
      </c>
      <c r="G157" s="130">
        <v>72756.347393</v>
      </c>
      <c r="H157" s="6">
        <f t="shared" si="2"/>
      </c>
      <c r="I157" s="6" t="s">
        <v>387</v>
      </c>
      <c r="J157" s="6">
        <v>72756.347393</v>
      </c>
      <c r="K157" s="6">
        <v>0</v>
      </c>
      <c r="L157" s="6">
        <v>0</v>
      </c>
      <c r="M157" s="6">
        <v>72756.347393</v>
      </c>
    </row>
    <row r="158" ht="13.50" customHeight="true">
      <c r="B158" s="6">
        <v>2</v>
      </c>
      <c r="C158" s="131" t="s">
        <v>388</v>
      </c>
      <c r="D158" s="132">
        <v>71316.347393</v>
      </c>
      <c r="E158" s="132"/>
      <c r="F158" s="132"/>
      <c r="G158" s="132">
        <v>71316.347393</v>
      </c>
      <c r="H158" s="6">
        <f t="shared" si="2"/>
      </c>
      <c r="I158" s="6" t="s">
        <v>388</v>
      </c>
      <c r="J158" s="6">
        <v>71316.347393</v>
      </c>
      <c r="M158" s="6">
        <v>71316.347393</v>
      </c>
    </row>
    <row r="159" ht="13.50" customHeight="true">
      <c r="B159" s="6">
        <v>1</v>
      </c>
      <c r="C159" s="133" t="s">
        <v>389</v>
      </c>
      <c r="D159" s="134">
        <v>1440</v>
      </c>
      <c r="E159" s="134"/>
      <c r="F159" s="134"/>
      <c r="G159" s="134">
        <v>1440</v>
      </c>
      <c r="H159" s="6">
        <f t="shared" si="2"/>
      </c>
      <c r="I159" s="6" t="s">
        <v>389</v>
      </c>
      <c r="J159" s="6">
        <v>1440</v>
      </c>
      <c r="M159" s="6">
        <v>1440</v>
      </c>
    </row>
    <row r="160" ht="13.50" customHeight="true">
      <c r="A160" s="6" t="s">
        <v>236</v>
      </c>
      <c r="B160" s="6">
        <v>2</v>
      </c>
      <c r="C160" s="135" t="s">
        <v>390</v>
      </c>
      <c r="D160" s="136">
        <v>2165.75</v>
      </c>
      <c r="E160" s="136"/>
      <c r="F160" s="136"/>
      <c r="G160" s="136">
        <v>2165.75</v>
      </c>
      <c r="H160" s="6">
        <f t="shared" si="2"/>
      </c>
      <c r="I160" s="6" t="s">
        <v>390</v>
      </c>
      <c r="J160" s="6">
        <v>2165.75</v>
      </c>
      <c r="M160" s="6">
        <v>2165.75</v>
      </c>
    </row>
    <row r="161" ht="13.50" customHeight="true">
      <c r="A161" s="6" t="s">
        <v>236</v>
      </c>
      <c r="B161" s="6">
        <v>1</v>
      </c>
      <c r="C161" s="129" t="s">
        <v>391</v>
      </c>
      <c r="D161" s="130">
        <v>55597.44</v>
      </c>
      <c r="E161" s="130"/>
      <c r="F161" s="130"/>
      <c r="G161" s="130">
        <v>55597.44</v>
      </c>
      <c r="H161" s="6">
        <f t="shared" si="2"/>
      </c>
      <c r="I161" s="6" t="s">
        <v>391</v>
      </c>
      <c r="J161" s="6">
        <v>55597.44</v>
      </c>
      <c r="M161" s="6">
        <v>55597.44</v>
      </c>
    </row>
    <row r="162" ht="13.50" customHeight="true">
      <c r="A162" s="6" t="s">
        <v>236</v>
      </c>
      <c r="B162" s="6">
        <v>2</v>
      </c>
      <c r="C162" s="135" t="s">
        <v>392</v>
      </c>
      <c r="D162" s="136">
        <v>6328.270346</v>
      </c>
      <c r="E162" s="136"/>
      <c r="F162" s="136"/>
      <c r="G162" s="136">
        <v>6328.270346</v>
      </c>
      <c r="H162" s="6">
        <f t="shared" si="2"/>
      </c>
      <c r="I162" s="6" t="s">
        <v>392</v>
      </c>
      <c r="J162" s="6">
        <v>6328.270346</v>
      </c>
      <c r="M162" s="6">
        <v>6328.270346</v>
      </c>
    </row>
    <row r="163" ht="13.50" customHeight="true">
      <c r="A163" s="6" t="s">
        <v>236</v>
      </c>
      <c r="B163" s="6">
        <v>1</v>
      </c>
      <c r="C163" s="129" t="s">
        <v>393</v>
      </c>
      <c r="D163" s="130"/>
      <c r="E163" s="130"/>
      <c r="F163" s="134"/>
      <c r="G163" s="130"/>
      <c r="H163" s="6">
        <f t="shared" si="2"/>
      </c>
      <c r="I163" s="6" t="s">
        <v>393</v>
      </c>
    </row>
    <row r="164" ht="13.50" customHeight="true">
      <c r="A164" s="6" t="s">
        <v>236</v>
      </c>
      <c r="B164" s="6">
        <v>2</v>
      </c>
      <c r="C164" s="135" t="s">
        <v>394</v>
      </c>
      <c r="D164" s="136">
        <v>84055.2303379999</v>
      </c>
      <c r="E164" s="136"/>
      <c r="F164" s="132"/>
      <c r="G164" s="136">
        <v>84055.2303379999</v>
      </c>
      <c r="H164" s="6">
        <f t="shared" si="2"/>
      </c>
      <c r="I164" s="6" t="s">
        <v>394</v>
      </c>
      <c r="J164" s="6">
        <v>84055.2303379999</v>
      </c>
      <c r="M164" s="6">
        <v>84055.2303379999</v>
      </c>
    </row>
    <row r="165" ht="13.50" customHeight="true">
      <c r="A165" s="6" t="s">
        <v>236</v>
      </c>
      <c r="B165" s="6">
        <v>1</v>
      </c>
      <c r="C165" s="129" t="s">
        <v>395</v>
      </c>
      <c r="D165" s="130">
        <v>38441.61</v>
      </c>
      <c r="E165" s="130"/>
      <c r="F165" s="134"/>
      <c r="G165" s="130">
        <v>38441.61</v>
      </c>
      <c r="H165" s="6">
        <f t="shared" si="2"/>
      </c>
      <c r="I165" s="6" t="s">
        <v>395</v>
      </c>
      <c r="J165" s="6">
        <v>38441.61</v>
      </c>
      <c r="M165" s="6">
        <v>38441.61</v>
      </c>
    </row>
    <row r="166" ht="13.50" customHeight="true">
      <c r="A166" s="6" t="s">
        <v>236</v>
      </c>
      <c r="B166" s="6">
        <v>2</v>
      </c>
      <c r="C166" s="135" t="s">
        <v>396</v>
      </c>
      <c r="D166" s="132">
        <v>114777.612443</v>
      </c>
      <c r="E166" s="132"/>
      <c r="F166" s="132"/>
      <c r="G166" s="136">
        <v>114777.612443</v>
      </c>
      <c r="H166" s="6">
        <f t="shared" si="2"/>
      </c>
      <c r="I166" s="6" t="s">
        <v>396</v>
      </c>
      <c r="J166" s="6">
        <v>114777.612443</v>
      </c>
      <c r="M166" s="6">
        <v>114777.612443</v>
      </c>
    </row>
    <row r="167" ht="13.50" customHeight="true">
      <c r="A167" s="6" t="s">
        <v>236</v>
      </c>
      <c r="B167" s="6">
        <v>1</v>
      </c>
      <c r="C167" s="129" t="s">
        <v>397</v>
      </c>
      <c r="D167" s="130"/>
      <c r="E167" s="130"/>
      <c r="F167" s="130"/>
      <c r="G167" s="130"/>
      <c r="H167" s="6">
        <f t="shared" si="2"/>
      </c>
      <c r="I167" s="6" t="s">
        <v>397</v>
      </c>
    </row>
    <row r="168" ht="13.50" customHeight="true">
      <c r="A168" s="6" t="s">
        <v>236</v>
      </c>
      <c r="B168" s="6">
        <v>2</v>
      </c>
      <c r="C168" s="135" t="s">
        <v>398</v>
      </c>
      <c r="D168" s="136">
        <v>1408</v>
      </c>
      <c r="E168" s="132"/>
      <c r="F168" s="132"/>
      <c r="G168" s="136">
        <v>1408</v>
      </c>
      <c r="H168" s="6">
        <f t="shared" si="2"/>
      </c>
      <c r="I168" s="6" t="s">
        <v>398</v>
      </c>
      <c r="J168" s="6">
        <v>1408</v>
      </c>
      <c r="M168" s="6">
        <v>1408</v>
      </c>
    </row>
    <row r="169" ht="13.50" customHeight="true">
      <c r="A169" s="6" t="s">
        <v>236</v>
      </c>
      <c r="B169" s="6">
        <v>1</v>
      </c>
      <c r="C169" s="129" t="s">
        <v>399</v>
      </c>
      <c r="D169" s="130"/>
      <c r="E169" s="130"/>
      <c r="F169" s="130"/>
      <c r="G169" s="130"/>
      <c r="H169" s="6">
        <f t="shared" si="2"/>
      </c>
      <c r="I169" s="6" t="s">
        <v>399</v>
      </c>
    </row>
    <row r="170" ht="13.50" customHeight="true">
      <c r="A170" s="6" t="s">
        <v>236</v>
      </c>
      <c r="B170" s="6">
        <v>2</v>
      </c>
      <c r="C170" s="135" t="s">
        <v>400</v>
      </c>
      <c r="D170" s="136"/>
      <c r="E170" s="132"/>
      <c r="F170" s="132"/>
      <c r="G170" s="136"/>
      <c r="H170" s="6">
        <f t="shared" si="2"/>
      </c>
      <c r="I170" s="6" t="s">
        <v>400</v>
      </c>
    </row>
    <row r="171" ht="13.50" customHeight="true">
      <c r="A171" s="6" t="s">
        <v>236</v>
      </c>
      <c r="B171" s="6">
        <v>1</v>
      </c>
      <c r="C171" s="129" t="s">
        <v>401</v>
      </c>
      <c r="D171" s="130">
        <v>43318.29</v>
      </c>
      <c r="E171" s="130">
        <v>0</v>
      </c>
      <c r="F171" s="130">
        <v>0</v>
      </c>
      <c r="G171" s="130">
        <v>43318.29</v>
      </c>
      <c r="H171" s="6">
        <f t="shared" si="2"/>
      </c>
      <c r="I171" s="6" t="s">
        <v>401</v>
      </c>
      <c r="J171" s="6">
        <v>43318.29</v>
      </c>
      <c r="K171" s="6">
        <v>0</v>
      </c>
      <c r="L171" s="6">
        <v>0</v>
      </c>
      <c r="M171" s="6">
        <v>43318.29</v>
      </c>
    </row>
    <row r="172" ht="13.50" customHeight="true">
      <c r="B172" s="6">
        <v>2</v>
      </c>
      <c r="C172" s="131" t="s">
        <v>402</v>
      </c>
      <c r="D172" s="132">
        <v>43318.29</v>
      </c>
      <c r="E172" s="132"/>
      <c r="F172" s="132"/>
      <c r="G172" s="132">
        <v>43318.29</v>
      </c>
      <c r="H172" s="6">
        <f t="shared" si="2"/>
      </c>
      <c r="I172" s="6" t="s">
        <v>402</v>
      </c>
      <c r="J172" s="6">
        <v>43318.29</v>
      </c>
      <c r="M172" s="6">
        <v>43318.29</v>
      </c>
    </row>
    <row r="173" ht="13.50" customHeight="true">
      <c r="B173" s="6">
        <v>1</v>
      </c>
      <c r="C173" s="133" t="s">
        <v>403</v>
      </c>
      <c r="D173" s="134"/>
      <c r="E173" s="134"/>
      <c r="F173" s="134"/>
      <c r="G173" s="134"/>
      <c r="H173" s="6">
        <f t="shared" si="2"/>
      </c>
      <c r="I173" s="6" t="s">
        <v>403</v>
      </c>
    </row>
    <row r="174" ht="13.50" customHeight="true">
      <c r="A174" s="6" t="s">
        <v>236</v>
      </c>
      <c r="B174" s="6">
        <v>2</v>
      </c>
      <c r="C174" s="135" t="s">
        <v>404</v>
      </c>
      <c r="D174" s="136">
        <v>229474.649999999</v>
      </c>
      <c r="E174" s="136">
        <v>504</v>
      </c>
      <c r="F174" s="136">
        <v>0</v>
      </c>
      <c r="G174" s="136">
        <v>229978.649999999</v>
      </c>
      <c r="H174" s="6">
        <f t="shared" si="2"/>
      </c>
      <c r="I174" s="6" t="s">
        <v>404</v>
      </c>
      <c r="J174" s="6">
        <v>229474.649999999</v>
      </c>
      <c r="K174" s="6">
        <v>504</v>
      </c>
      <c r="L174" s="6">
        <v>0</v>
      </c>
      <c r="M174" s="6">
        <v>229978.649999999</v>
      </c>
    </row>
    <row r="175" ht="13.50" customHeight="true">
      <c r="B175" s="6">
        <v>1</v>
      </c>
      <c r="C175" s="133" t="s">
        <v>405</v>
      </c>
      <c r="D175" s="134">
        <v>43745.3099999999</v>
      </c>
      <c r="E175" s="134">
        <v>504</v>
      </c>
      <c r="F175" s="134"/>
      <c r="G175" s="134">
        <v>44249.3099999999</v>
      </c>
      <c r="H175" s="6">
        <f t="shared" si="2"/>
      </c>
      <c r="I175" s="6" t="s">
        <v>405</v>
      </c>
      <c r="J175" s="6">
        <v>43745.3099999999</v>
      </c>
      <c r="K175" s="6">
        <v>504</v>
      </c>
      <c r="M175" s="6">
        <v>44249.3099999999</v>
      </c>
    </row>
    <row r="176" ht="13.50" customHeight="true">
      <c r="B176" s="6">
        <v>2</v>
      </c>
      <c r="C176" s="131" t="s">
        <v>406</v>
      </c>
      <c r="D176" s="132">
        <v>42675.8</v>
      </c>
      <c r="E176" s="132"/>
      <c r="F176" s="132"/>
      <c r="G176" s="132">
        <v>42675.8</v>
      </c>
      <c r="H176" s="6">
        <f t="shared" si="2"/>
      </c>
      <c r="I176" s="6" t="s">
        <v>406</v>
      </c>
      <c r="J176" s="6">
        <v>42675.8</v>
      </c>
      <c r="M176" s="6">
        <v>42675.8</v>
      </c>
    </row>
    <row r="177" ht="13.50" customHeight="true">
      <c r="B177" s="6">
        <v>1</v>
      </c>
      <c r="C177" s="133" t="s">
        <v>407</v>
      </c>
      <c r="D177" s="134">
        <v>143053.54</v>
      </c>
      <c r="E177" s="134"/>
      <c r="F177" s="134"/>
      <c r="G177" s="134">
        <v>143053.54</v>
      </c>
      <c r="H177" s="6">
        <f t="shared" si="2"/>
      </c>
      <c r="I177" s="6" t="s">
        <v>407</v>
      </c>
      <c r="J177" s="6">
        <v>143053.54</v>
      </c>
      <c r="M177" s="6">
        <v>143053.54</v>
      </c>
    </row>
    <row r="178" ht="13.50" customHeight="true">
      <c r="A178" s="6" t="s">
        <v>236</v>
      </c>
      <c r="B178" s="6">
        <v>2</v>
      </c>
      <c r="C178" s="135" t="s">
        <v>408</v>
      </c>
      <c r="D178" s="132"/>
      <c r="E178" s="132"/>
      <c r="F178" s="132"/>
      <c r="G178" s="136"/>
      <c r="H178" s="6">
        <f t="shared" si="2"/>
      </c>
      <c r="I178" s="6" t="s">
        <v>408</v>
      </c>
    </row>
    <row r="179" ht="13.50" customHeight="true">
      <c r="B179" s="6">
        <v>1</v>
      </c>
      <c r="C179" s="133" t="s">
        <v>409</v>
      </c>
      <c r="D179" s="134"/>
      <c r="E179" s="134"/>
      <c r="F179" s="134"/>
      <c r="G179" s="134"/>
      <c r="H179" s="6">
        <f t="shared" si="2"/>
      </c>
      <c r="I179" s="6" t="s">
        <v>409</v>
      </c>
    </row>
    <row r="180" ht="13.50" customHeight="true">
      <c r="B180" s="6">
        <v>2</v>
      </c>
      <c r="C180" s="131" t="s">
        <v>410</v>
      </c>
      <c r="D180" s="132"/>
      <c r="E180" s="132"/>
      <c r="F180" s="132"/>
      <c r="G180" s="132"/>
      <c r="H180" s="6">
        <f t="shared" si="2"/>
      </c>
      <c r="I180" s="6" t="s">
        <v>410</v>
      </c>
    </row>
    <row r="181" ht="13.50" customHeight="true">
      <c r="A181" s="6" t="s">
        <v>236</v>
      </c>
      <c r="B181" s="6">
        <v>1</v>
      </c>
      <c r="C181" s="129" t="s">
        <v>411</v>
      </c>
      <c r="D181" s="130">
        <v>4574.35</v>
      </c>
      <c r="E181" s="130">
        <v>0</v>
      </c>
      <c r="F181" s="130">
        <v>0</v>
      </c>
      <c r="G181" s="130">
        <v>4574.35</v>
      </c>
      <c r="H181" s="6">
        <f t="shared" si="2"/>
      </c>
      <c r="I181" s="6" t="s">
        <v>411</v>
      </c>
      <c r="J181" s="6">
        <v>4574.35</v>
      </c>
      <c r="K181" s="6">
        <v>0</v>
      </c>
      <c r="L181" s="6">
        <v>0</v>
      </c>
      <c r="M181" s="6">
        <v>4574.35</v>
      </c>
    </row>
    <row r="182" ht="13.50" customHeight="true">
      <c r="C182" s="133" t="s">
        <v>412</v>
      </c>
      <c r="D182" s="130">
        <v>3974.32</v>
      </c>
      <c r="E182" s="130"/>
      <c r="F182" s="130"/>
      <c r="G182" s="130">
        <v>3974.32</v>
      </c>
      <c r="H182" s="6">
        <f t="shared" si="2"/>
      </c>
      <c r="I182" s="6" t="s">
        <v>412</v>
      </c>
      <c r="J182" s="6">
        <v>3974.32</v>
      </c>
      <c r="M182" s="6">
        <v>3974.32</v>
      </c>
    </row>
    <row r="183" ht="13.50" customHeight="true">
      <c r="B183" s="6">
        <v>2</v>
      </c>
      <c r="C183" s="131" t="s">
        <v>413</v>
      </c>
      <c r="D183" s="132">
        <v>600.029999999999</v>
      </c>
      <c r="E183" s="132"/>
      <c r="F183" s="132"/>
      <c r="G183" s="132">
        <v>600.029999999999</v>
      </c>
      <c r="H183" s="6">
        <f t="shared" si="2"/>
      </c>
      <c r="I183" s="6" t="s">
        <v>413</v>
      </c>
      <c r="J183" s="6">
        <v>600.029999999999</v>
      </c>
      <c r="M183" s="6">
        <v>600.029999999999</v>
      </c>
    </row>
    <row r="184" ht="13.50" customHeight="true">
      <c r="B184" s="6">
        <v>1</v>
      </c>
      <c r="C184" s="137"/>
      <c r="D184" s="138"/>
      <c r="E184" s="138"/>
      <c r="F184" s="138"/>
      <c r="G184" s="138"/>
    </row>
    <row r="185" ht="13.50" customHeight="true">
      <c r="A185" s="6" t="s">
        <v>236</v>
      </c>
      <c r="B185" s="6">
        <v>2</v>
      </c>
      <c r="C185" s="139" t="s">
        <v>414</v>
      </c>
      <c r="D185" s="140">
        <v>0</v>
      </c>
      <c r="E185" s="140">
        <f>=+E7+E9+E17+E23+E28+E31+E32+E33+E35+E38+E43+E45+E48+E50+E51+E53+E54+E57+E58+E60+E61+E62+E81+E91+E94+E95+E105+E110+E119+E120+E135+E141+E144+E147+E148+E152+E153+E154+E155+E156+E157+E160+E161+E162+E163+E164+E166+E167+E168+E169+E170+E171+E174+E178+E181+E79+E165+E89+E90</f>
      </c>
      <c r="F185" s="140">
        <f>=+F7+F9+F17+F23+F28+F31+F32+F33+F35+F38+F43+F45+F48+F50+F51+F53+F54+F57+F58+F60+F61+F62+F81+F91+F94+F95+F105+F110+F119+F120+F135+F141+F144+F147+F148+F152+F153+F154+F155+F156+F157+F160+F161+F162+F163+F164+F166+F167+F168+F169+F170+F171+F174+F178+F181+F79</f>
      </c>
      <c r="G185" s="140">
        <f>=+D185+E185-F185</f>
      </c>
    </row>
    <row r="186" ht="13.50" customHeight="true">
      <c r="C186" s="137"/>
      <c r="D186" s="138"/>
      <c r="E186" s="138"/>
      <c r="F186" s="138"/>
      <c r="G186" s="138"/>
    </row>
    <row r="187" ht="13.50" customHeight="true">
      <c r="C187" s="141"/>
      <c r="D187" s="142"/>
      <c r="E187" s="142"/>
      <c r="F187" s="142"/>
      <c r="G187" s="142"/>
    </row>
    <row r="188" ht="13.50" customHeight="true">
      <c r="C188" s="137"/>
      <c r="D188" s="138"/>
      <c r="E188" s="138"/>
      <c r="F188" s="138"/>
      <c r="G188" s="138"/>
    </row>
    <row r="189" ht="13.50" customHeight="true">
      <c r="C189" s="141"/>
      <c r="D189" s="142"/>
      <c r="E189" s="142"/>
      <c r="F189" s="142"/>
      <c r="G189" s="142"/>
      <c r="J189" s="6">
        <v>0</v>
      </c>
      <c r="K189" s="6">
        <v>0</v>
      </c>
      <c r="L189" s="6">
        <v>0</v>
      </c>
      <c r="M189" s="6">
        <v>0</v>
      </c>
    </row>
    <row r="190" ht="13.50" customHeight="true">
      <c r="C190" s="137"/>
      <c r="D190" s="138"/>
      <c r="E190" s="138"/>
      <c r="F190" s="138"/>
      <c r="G190" s="138"/>
      <c r="J190" s="6">
        <v>0</v>
      </c>
      <c r="K190" s="6">
        <v>0</v>
      </c>
      <c r="L190" s="6">
        <v>0</v>
      </c>
      <c r="M190" s="6">
        <v>0</v>
      </c>
    </row>
    <row r="191" ht="13.50" customHeight="true">
      <c r="C191" s="141"/>
      <c r="D191" s="142"/>
      <c r="E191" s="142"/>
      <c r="F191" s="142"/>
      <c r="G191" s="142"/>
      <c r="I191" s="6" t="s">
        <v>411</v>
      </c>
      <c r="J191" s="6">
        <v>0</v>
      </c>
      <c r="K191" s="6">
        <v>0</v>
      </c>
      <c r="L191" s="6">
        <v>76.15</v>
      </c>
      <c r="M191" s="6">
        <v>76.15</v>
      </c>
    </row>
    <row r="192" ht="13.50" customHeight="true">
      <c r="C192" s="137"/>
      <c r="D192" s="138"/>
      <c r="E192" s="138"/>
      <c r="F192" s="138"/>
      <c r="G192" s="138"/>
      <c r="I192" s="6" t="s">
        <v>413</v>
      </c>
      <c r="J192" s="6">
        <v>0</v>
      </c>
      <c r="L192" s="6">
        <v>76.15</v>
      </c>
      <c r="M192" s="6">
        <v>76.15</v>
      </c>
    </row>
    <row r="193" ht="13.50" customHeight="true">
      <c r="C193" s="141"/>
      <c r="D193" s="142"/>
      <c r="E193" s="142"/>
      <c r="F193" s="142"/>
      <c r="G193" s="142"/>
      <c r="J193" s="6">
        <v>0</v>
      </c>
      <c r="K193" s="6">
        <v>0</v>
      </c>
      <c r="L193" s="6">
        <v>0</v>
      </c>
      <c r="M193" s="6">
        <v>0</v>
      </c>
    </row>
    <row r="194" ht="13.50" customHeight="true">
      <c r="C194" s="137"/>
      <c r="D194" s="138"/>
      <c r="E194" s="138"/>
      <c r="F194" s="138"/>
      <c r="G194" s="138"/>
      <c r="J194" s="6">
        <v>0</v>
      </c>
      <c r="K194" s="6">
        <v>0</v>
      </c>
      <c r="L194" s="6">
        <v>0</v>
      </c>
      <c r="M194" s="6">
        <v>0</v>
      </c>
    </row>
    <row r="195" ht="13.50" customHeight="true">
      <c r="C195" s="141"/>
      <c r="D195" s="142"/>
      <c r="E195" s="142"/>
      <c r="F195" s="142"/>
      <c r="G195" s="142"/>
    </row>
    <row r="196" ht="13.50" customHeight="true">
      <c r="C196" s="137"/>
      <c r="D196" s="138"/>
      <c r="E196" s="138"/>
      <c r="F196" s="138"/>
      <c r="G196" s="138"/>
    </row>
    <row r="197" ht="13.50" customHeight="true">
      <c r="C197" s="141"/>
      <c r="D197" s="142"/>
      <c r="E197" s="142"/>
      <c r="F197" s="142"/>
      <c r="G197" s="142"/>
    </row>
    <row r="198" ht="13.50" customHeight="true">
      <c r="C198" s="137"/>
      <c r="D198" s="138"/>
      <c r="E198" s="138"/>
      <c r="F198" s="138"/>
      <c r="G198" s="138"/>
    </row>
    <row r="199" ht="13.50" customHeight="true">
      <c r="C199" s="141"/>
      <c r="D199" s="142"/>
      <c r="E199" s="142"/>
      <c r="F199" s="142"/>
      <c r="G199" s="142"/>
    </row>
    <row r="200" ht="13.50" customHeight="true">
      <c r="C200" s="137"/>
      <c r="D200" s="138"/>
      <c r="E200" s="138"/>
      <c r="F200" s="138"/>
      <c r="G200" s="138"/>
    </row>
    <row r="201" ht="13.50" customHeight="true">
      <c r="C201" s="141"/>
      <c r="D201" s="142"/>
      <c r="E201" s="142"/>
      <c r="F201" s="142"/>
      <c r="G201" s="142"/>
    </row>
    <row r="202" ht="13.50" customHeight="true">
      <c r="C202" s="137"/>
      <c r="D202" s="138"/>
      <c r="E202" s="138"/>
      <c r="F202" s="138"/>
      <c r="G202" s="138"/>
    </row>
    <row r="203" ht="13.50" customHeight="true">
      <c r="C203" s="141"/>
      <c r="D203" s="142"/>
      <c r="E203" s="142"/>
      <c r="F203" s="142"/>
      <c r="G203" s="142"/>
    </row>
    <row r="204" ht="13.50" customHeight="true">
      <c r="C204" s="137"/>
      <c r="D204" s="138"/>
      <c r="E204" s="138"/>
      <c r="F204" s="138"/>
      <c r="G204" s="138"/>
    </row>
    <row r="205" ht="13.50" customHeight="true">
      <c r="C205" s="141"/>
      <c r="D205" s="142"/>
      <c r="E205" s="142"/>
      <c r="F205" s="142"/>
      <c r="G205" s="142"/>
    </row>
    <row r="206" ht="13.50" customHeight="true">
      <c r="C206" s="137"/>
      <c r="D206" s="138"/>
      <c r="E206" s="138"/>
      <c r="F206" s="138"/>
      <c r="G206" s="138"/>
    </row>
    <row r="207" ht="13.50" customHeight="true">
      <c r="C207" s="141"/>
      <c r="D207" s="142"/>
      <c r="E207" s="142"/>
      <c r="F207" s="142"/>
      <c r="G207" s="142"/>
    </row>
    <row r="208" ht="13.50" customHeight="true">
      <c r="C208" s="137"/>
      <c r="D208" s="138"/>
      <c r="E208" s="138"/>
      <c r="F208" s="138"/>
      <c r="G208" s="138"/>
    </row>
    <row r="209" ht="13.50" customHeight="true">
      <c r="C209" s="141"/>
      <c r="D209" s="142"/>
      <c r="E209" s="142"/>
      <c r="F209" s="142"/>
      <c r="G209" s="142"/>
    </row>
    <row r="210" ht="13.50" customHeight="true">
      <c r="C210" s="137"/>
      <c r="D210" s="138"/>
      <c r="E210" s="138"/>
      <c r="F210" s="138"/>
      <c r="G210" s="138"/>
    </row>
    <row r="211" ht="13.50" customHeight="true">
      <c r="C211" s="141"/>
      <c r="D211" s="142"/>
      <c r="E211" s="142"/>
      <c r="F211" s="142"/>
      <c r="G211" s="142"/>
    </row>
    <row r="212" ht="13.50" customHeight="true">
      <c r="C212" s="137"/>
      <c r="D212" s="138"/>
      <c r="E212" s="138"/>
      <c r="F212" s="138"/>
      <c r="G212" s="138"/>
    </row>
    <row r="213" ht="13.50" customHeight="true">
      <c r="C213" s="141"/>
      <c r="D213" s="142"/>
      <c r="E213" s="142"/>
      <c r="F213" s="142"/>
      <c r="G213" s="142"/>
    </row>
    <row r="214" ht="13.50" customHeight="true">
      <c r="C214" s="137"/>
      <c r="D214" s="138"/>
      <c r="E214" s="138"/>
      <c r="F214" s="138"/>
      <c r="G214" s="138"/>
    </row>
    <row r="215" ht="13.50" customHeight="true">
      <c r="C215" s="141"/>
      <c r="D215" s="142"/>
      <c r="E215" s="142"/>
      <c r="F215" s="142"/>
      <c r="G215" s="142"/>
    </row>
    <row r="216" ht="13.50" customHeight="true">
      <c r="C216" s="137"/>
      <c r="D216" s="138"/>
      <c r="E216" s="138"/>
      <c r="F216" s="138"/>
      <c r="G216" s="138"/>
    </row>
    <row r="217" ht="13.50" customHeight="true">
      <c r="C217" s="141"/>
      <c r="D217" s="142"/>
      <c r="E217" s="142"/>
      <c r="F217" s="142"/>
      <c r="G217" s="142"/>
    </row>
    <row r="218" ht="13.50" customHeight="true">
      <c r="C218" s="137"/>
      <c r="D218" s="138"/>
      <c r="E218" s="138"/>
      <c r="F218" s="138"/>
      <c r="G218" s="138"/>
    </row>
    <row r="219" ht="13.50" customHeight="true">
      <c r="C219" s="141"/>
      <c r="D219" s="142"/>
      <c r="E219" s="142"/>
      <c r="F219" s="142"/>
      <c r="G219" s="142"/>
    </row>
  </sheetData>
  <mergeCells count="4">
    <mergeCell ref="C1:G1"/>
    <mergeCell ref="C2:G2"/>
    <mergeCell ref="C3:G3"/>
    <mergeCell ref="C4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09"/>
  <cols>
    <col min="1" max="1" width="4.29" customWidth="1" hidden="0"/>
    <col min="2" max="2" width="2.94" customWidth="1" hidden="0"/>
    <col min="3" max="4" width="8.09" customWidth="1" hidden="0"/>
    <col min="5" max="5" width="8.59" customWidth="1" hidden="0"/>
    <col min="6" max="6" width="4.91" customWidth="1" hidden="0"/>
    <col min="7" max="7" width="6.01" customWidth="1" hidden="0"/>
    <col min="8" max="8" width="8.71" customWidth="1" hidden="0"/>
    <col min="9" max="9" width="8.09" customWidth="1" hidden="0"/>
    <col min="10" max="10" width="7.24" customWidth="1" hidden="0"/>
    <col min="11" max="11" width="4.91" customWidth="1" hidden="0"/>
    <col min="12" max="12" width="8.09" customWidth="1" hidden="0"/>
    <col min="13" max="13" width="4.91" customWidth="1" hidden="0"/>
    <col min="14" max="14" width="13.61" customWidth="1" hidden="0"/>
    <col min="15" max="15" width="20.97" customWidth="1" hidden="0"/>
    <col min="16" max="16" width="3.19" customWidth="1" hidden="0"/>
    <col min="17" max="17" width="3.68" customWidth="1" hidden="0"/>
    <col min="18" max="18" width="8.83" customWidth="1" hidden="0"/>
    <col min="19" max="19" width="12.27" customWidth="1" hidden="0"/>
    <col min="20" max="20" width="9.57" customWidth="1" hidden="0"/>
    <col min="21" max="21" width="8.09" customWidth="1" hidden="0"/>
    <col min="22" max="22" width="15.45" customWidth="1" hidden="0"/>
    <col min="23" max="23" width="8.09" customWidth="1" hidden="0"/>
    <col min="24" max="24" width="13.25" customWidth="1" hidden="0"/>
    <col min="25" max="25" width="8.09" customWidth="1" hidden="0"/>
    <col min="26" max="26" width="13.98" customWidth="1" hidden="0"/>
    <col min="27" max="257" width="8.09" customWidth="1" hidden="0"/>
    <col min="258" max="258" width="6.01" customWidth="1" hidden="0"/>
    <col min="259" max="260" width="8.09" customWidth="1" hidden="0"/>
    <col min="261" max="261" width="8.59" customWidth="1" hidden="0"/>
    <col min="262" max="262" width="4.91" customWidth="1" hidden="0"/>
    <col min="263" max="263" width="6.01" customWidth="1" hidden="0"/>
    <col min="264" max="264" width="8.71" customWidth="1" hidden="0"/>
    <col min="265" max="265" width="8.09" customWidth="1" hidden="0"/>
    <col min="266" max="266" width="7.24" customWidth="1" hidden="0"/>
    <col min="267" max="267" width="4.91" customWidth="1" hidden="0"/>
    <col min="268" max="268" width="8.09" customWidth="1" hidden="0"/>
    <col min="269" max="269" width="4.91" customWidth="1" hidden="0"/>
    <col min="270" max="270" width="13.61" customWidth="1" hidden="0"/>
    <col min="271" max="271" width="20.97" customWidth="1" hidden="0"/>
    <col min="272" max="272" width="4.54" customWidth="1" hidden="0"/>
    <col min="273" max="274" width="8.09" customWidth="1" hidden="0"/>
    <col min="275" max="275" width="12.27" customWidth="1" hidden="0"/>
    <col min="276" max="276" width="9.57" customWidth="1" hidden="0"/>
    <col min="277" max="277" width="8.09" customWidth="1" hidden="0"/>
    <col min="278" max="278" width="15.45" customWidth="1" hidden="0"/>
    <col min="279" max="279" width="8.09" customWidth="1" hidden="0"/>
    <col min="280" max="280" width="13.25" customWidth="1" hidden="0"/>
    <col min="281" max="281" width="8.09" customWidth="1" hidden="0"/>
    <col min="282" max="282" width="13.98" customWidth="1" hidden="0"/>
    <col min="283" max="513" width="8.09" customWidth="1" hidden="0"/>
    <col min="514" max="514" width="6.01" customWidth="1" hidden="0"/>
    <col min="515" max="516" width="8.09" customWidth="1" hidden="0"/>
    <col min="517" max="517" width="8.59" customWidth="1" hidden="0"/>
    <col min="518" max="518" width="4.91" customWidth="1" hidden="0"/>
    <col min="519" max="519" width="6.01" customWidth="1" hidden="0"/>
    <col min="520" max="520" width="8.71" customWidth="1" hidden="0"/>
    <col min="521" max="521" width="8.09" customWidth="1" hidden="0"/>
    <col min="522" max="522" width="7.24" customWidth="1" hidden="0"/>
    <col min="523" max="523" width="4.91" customWidth="1" hidden="0"/>
    <col min="524" max="524" width="8.09" customWidth="1" hidden="0"/>
    <col min="525" max="525" width="4.91" customWidth="1" hidden="0"/>
    <col min="526" max="526" width="13.61" customWidth="1" hidden="0"/>
    <col min="527" max="527" width="20.97" customWidth="1" hidden="0"/>
    <col min="528" max="528" width="4.54" customWidth="1" hidden="0"/>
    <col min="529" max="530" width="8.09" customWidth="1" hidden="0"/>
    <col min="531" max="531" width="12.27" customWidth="1" hidden="0"/>
    <col min="532" max="532" width="9.57" customWidth="1" hidden="0"/>
    <col min="533" max="533" width="8.09" customWidth="1" hidden="0"/>
    <col min="534" max="534" width="15.45" customWidth="1" hidden="0"/>
    <col min="535" max="535" width="8.09" customWidth="1" hidden="0"/>
    <col min="536" max="536" width="13.25" customWidth="1" hidden="0"/>
    <col min="537" max="537" width="8.09" customWidth="1" hidden="0"/>
    <col min="538" max="538" width="13.98" customWidth="1" hidden="0"/>
    <col min="539" max="769" width="8.09" customWidth="1" hidden="0"/>
    <col min="770" max="770" width="6.01" customWidth="1" hidden="0"/>
    <col min="771" max="772" width="8.09" customWidth="1" hidden="0"/>
    <col min="773" max="773" width="8.59" customWidth="1" hidden="0"/>
    <col min="774" max="774" width="4.91" customWidth="1" hidden="0"/>
    <col min="775" max="775" width="6.01" customWidth="1" hidden="0"/>
    <col min="776" max="776" width="8.71" customWidth="1" hidden="0"/>
    <col min="777" max="777" width="8.09" customWidth="1" hidden="0"/>
    <col min="778" max="778" width="7.24" customWidth="1" hidden="0"/>
    <col min="779" max="779" width="4.91" customWidth="1" hidden="0"/>
    <col min="780" max="780" width="8.09" customWidth="1" hidden="0"/>
    <col min="781" max="781" width="4.91" customWidth="1" hidden="0"/>
    <col min="782" max="782" width="13.61" customWidth="1" hidden="0"/>
    <col min="783" max="783" width="20.97" customWidth="1" hidden="0"/>
    <col min="784" max="784" width="4.54" customWidth="1" hidden="0"/>
    <col min="785" max="786" width="8.09" customWidth="1" hidden="0"/>
    <col min="787" max="787" width="12.27" customWidth="1" hidden="0"/>
    <col min="788" max="788" width="9.57" customWidth="1" hidden="0"/>
    <col min="789" max="789" width="8.09" customWidth="1" hidden="0"/>
    <col min="790" max="790" width="15.45" customWidth="1" hidden="0"/>
    <col min="791" max="791" width="8.09" customWidth="1" hidden="0"/>
    <col min="792" max="792" width="13.25" customWidth="1" hidden="0"/>
    <col min="793" max="793" width="8.09" customWidth="1" hidden="0"/>
    <col min="794" max="794" width="13.98" customWidth="1" hidden="0"/>
    <col min="795" max="1025" width="8.09" customWidth="1" hidden="0"/>
    <col min="1026" max="1026" width="6.01" customWidth="1" hidden="0"/>
    <col min="1027" max="1028" width="8.09" customWidth="1" hidden="0"/>
    <col min="1029" max="1029" width="8.59" customWidth="1" hidden="0"/>
    <col min="1030" max="1030" width="4.91" customWidth="1" hidden="0"/>
    <col min="1031" max="1031" width="6.01" customWidth="1" hidden="0"/>
    <col min="1032" max="1032" width="8.71" customWidth="1" hidden="0"/>
    <col min="1033" max="1033" width="8.09" customWidth="1" hidden="0"/>
    <col min="1034" max="1034" width="7.24" customWidth="1" hidden="0"/>
    <col min="1035" max="1035" width="4.91" customWidth="1" hidden="0"/>
    <col min="1036" max="1036" width="8.09" customWidth="1" hidden="0"/>
    <col min="1037" max="1037" width="4.91" customWidth="1" hidden="0"/>
    <col min="1038" max="1038" width="13.61" customWidth="1" hidden="0"/>
    <col min="1039" max="1039" width="20.97" customWidth="1" hidden="0"/>
    <col min="1040" max="1040" width="4.54" customWidth="1" hidden="0"/>
    <col min="1041" max="1042" width="8.09" customWidth="1" hidden="0"/>
    <col min="1043" max="1043" width="12.27" customWidth="1" hidden="0"/>
    <col min="1044" max="1044" width="9.57" customWidth="1" hidden="0"/>
    <col min="1045" max="1045" width="8.09" customWidth="1" hidden="0"/>
    <col min="1046" max="1046" width="15.45" customWidth="1" hidden="0"/>
    <col min="1047" max="1047" width="8.09" customWidth="1" hidden="0"/>
    <col min="1048" max="1048" width="13.25" customWidth="1" hidden="0"/>
    <col min="1049" max="1049" width="8.09" customWidth="1" hidden="0"/>
    <col min="1050" max="1050" width="13.98" customWidth="1" hidden="0"/>
    <col min="1051" max="1281" width="8.09" customWidth="1" hidden="0"/>
    <col min="1282" max="1282" width="6.01" customWidth="1" hidden="0"/>
    <col min="1283" max="1284" width="8.09" customWidth="1" hidden="0"/>
    <col min="1285" max="1285" width="8.59" customWidth="1" hidden="0"/>
    <col min="1286" max="1286" width="4.91" customWidth="1" hidden="0"/>
    <col min="1287" max="1287" width="6.01" customWidth="1" hidden="0"/>
    <col min="1288" max="1288" width="8.71" customWidth="1" hidden="0"/>
    <col min="1289" max="1289" width="8.09" customWidth="1" hidden="0"/>
    <col min="1290" max="1290" width="7.24" customWidth="1" hidden="0"/>
    <col min="1291" max="1291" width="4.91" customWidth="1" hidden="0"/>
    <col min="1292" max="1292" width="8.09" customWidth="1" hidden="0"/>
    <col min="1293" max="1293" width="4.91" customWidth="1" hidden="0"/>
    <col min="1294" max="1294" width="13.61" customWidth="1" hidden="0"/>
    <col min="1295" max="1295" width="20.97" customWidth="1" hidden="0"/>
    <col min="1296" max="1296" width="4.54" customWidth="1" hidden="0"/>
    <col min="1297" max="1298" width="8.09" customWidth="1" hidden="0"/>
    <col min="1299" max="1299" width="12.27" customWidth="1" hidden="0"/>
    <col min="1300" max="1300" width="9.57" customWidth="1" hidden="0"/>
    <col min="1301" max="1301" width="8.09" customWidth="1" hidden="0"/>
    <col min="1302" max="1302" width="15.45" customWidth="1" hidden="0"/>
    <col min="1303" max="1303" width="8.09" customWidth="1" hidden="0"/>
    <col min="1304" max="1304" width="13.25" customWidth="1" hidden="0"/>
    <col min="1305" max="1305" width="8.09" customWidth="1" hidden="0"/>
    <col min="1306" max="1306" width="13.98" customWidth="1" hidden="0"/>
    <col min="1307" max="1537" width="8.09" customWidth="1" hidden="0"/>
    <col min="1538" max="1538" width="6.01" customWidth="1" hidden="0"/>
    <col min="1539" max="1540" width="8.09" customWidth="1" hidden="0"/>
    <col min="1541" max="1541" width="8.59" customWidth="1" hidden="0"/>
    <col min="1542" max="1542" width="4.91" customWidth="1" hidden="0"/>
    <col min="1543" max="1543" width="6.01" customWidth="1" hidden="0"/>
    <col min="1544" max="1544" width="8.71" customWidth="1" hidden="0"/>
    <col min="1545" max="1545" width="8.09" customWidth="1" hidden="0"/>
    <col min="1546" max="1546" width="7.24" customWidth="1" hidden="0"/>
    <col min="1547" max="1547" width="4.91" customWidth="1" hidden="0"/>
    <col min="1548" max="1548" width="8.09" customWidth="1" hidden="0"/>
    <col min="1549" max="1549" width="4.91" customWidth="1" hidden="0"/>
    <col min="1550" max="1550" width="13.61" customWidth="1" hidden="0"/>
    <col min="1551" max="1551" width="20.97" customWidth="1" hidden="0"/>
    <col min="1552" max="1552" width="4.54" customWidth="1" hidden="0"/>
    <col min="1553" max="1554" width="8.09" customWidth="1" hidden="0"/>
    <col min="1555" max="1555" width="12.27" customWidth="1" hidden="0"/>
    <col min="1556" max="1556" width="9.57" customWidth="1" hidden="0"/>
    <col min="1557" max="1557" width="8.09" customWidth="1" hidden="0"/>
    <col min="1558" max="1558" width="15.45" customWidth="1" hidden="0"/>
    <col min="1559" max="1559" width="8.09" customWidth="1" hidden="0"/>
    <col min="1560" max="1560" width="13.25" customWidth="1" hidden="0"/>
    <col min="1561" max="1561" width="8.09" customWidth="1" hidden="0"/>
    <col min="1562" max="1562" width="13.98" customWidth="1" hidden="0"/>
    <col min="1563" max="1793" width="8.09" customWidth="1" hidden="0"/>
    <col min="1794" max="1794" width="6.01" customWidth="1" hidden="0"/>
    <col min="1795" max="1796" width="8.09" customWidth="1" hidden="0"/>
    <col min="1797" max="1797" width="8.59" customWidth="1" hidden="0"/>
    <col min="1798" max="1798" width="4.91" customWidth="1" hidden="0"/>
    <col min="1799" max="1799" width="6.01" customWidth="1" hidden="0"/>
    <col min="1800" max="1800" width="8.71" customWidth="1" hidden="0"/>
    <col min="1801" max="1801" width="8.09" customWidth="1" hidden="0"/>
    <col min="1802" max="1802" width="7.24" customWidth="1" hidden="0"/>
    <col min="1803" max="1803" width="4.91" customWidth="1" hidden="0"/>
    <col min="1804" max="1804" width="8.09" customWidth="1" hidden="0"/>
    <col min="1805" max="1805" width="4.91" customWidth="1" hidden="0"/>
    <col min="1806" max="1806" width="13.61" customWidth="1" hidden="0"/>
    <col min="1807" max="1807" width="20.97" customWidth="1" hidden="0"/>
    <col min="1808" max="1808" width="4.54" customWidth="1" hidden="0"/>
    <col min="1809" max="1810" width="8.09" customWidth="1" hidden="0"/>
    <col min="1811" max="1811" width="12.27" customWidth="1" hidden="0"/>
    <col min="1812" max="1812" width="9.57" customWidth="1" hidden="0"/>
    <col min="1813" max="1813" width="8.09" customWidth="1" hidden="0"/>
    <col min="1814" max="1814" width="15.45" customWidth="1" hidden="0"/>
    <col min="1815" max="1815" width="8.09" customWidth="1" hidden="0"/>
    <col min="1816" max="1816" width="13.25" customWidth="1" hidden="0"/>
    <col min="1817" max="1817" width="8.09" customWidth="1" hidden="0"/>
    <col min="1818" max="1818" width="13.98" customWidth="1" hidden="0"/>
    <col min="1819" max="2049" width="8.09" customWidth="1" hidden="0"/>
    <col min="2050" max="2050" width="6.01" customWidth="1" hidden="0"/>
    <col min="2051" max="2052" width="8.09" customWidth="1" hidden="0"/>
    <col min="2053" max="2053" width="8.59" customWidth="1" hidden="0"/>
    <col min="2054" max="2054" width="4.91" customWidth="1" hidden="0"/>
    <col min="2055" max="2055" width="6.01" customWidth="1" hidden="0"/>
    <col min="2056" max="2056" width="8.71" customWidth="1" hidden="0"/>
    <col min="2057" max="2057" width="8.09" customWidth="1" hidden="0"/>
    <col min="2058" max="2058" width="7.24" customWidth="1" hidden="0"/>
    <col min="2059" max="2059" width="4.91" customWidth="1" hidden="0"/>
    <col min="2060" max="2060" width="8.09" customWidth="1" hidden="0"/>
    <col min="2061" max="2061" width="4.91" customWidth="1" hidden="0"/>
    <col min="2062" max="2062" width="13.61" customWidth="1" hidden="0"/>
    <col min="2063" max="2063" width="20.97" customWidth="1" hidden="0"/>
    <col min="2064" max="2064" width="4.54" customWidth="1" hidden="0"/>
    <col min="2065" max="2066" width="8.09" customWidth="1" hidden="0"/>
    <col min="2067" max="2067" width="12.27" customWidth="1" hidden="0"/>
    <col min="2068" max="2068" width="9.57" customWidth="1" hidden="0"/>
    <col min="2069" max="2069" width="8.09" customWidth="1" hidden="0"/>
    <col min="2070" max="2070" width="15.45" customWidth="1" hidden="0"/>
    <col min="2071" max="2071" width="8.09" customWidth="1" hidden="0"/>
    <col min="2072" max="2072" width="13.25" customWidth="1" hidden="0"/>
    <col min="2073" max="2073" width="8.09" customWidth="1" hidden="0"/>
    <col min="2074" max="2074" width="13.98" customWidth="1" hidden="0"/>
    <col min="2075" max="2305" width="8.09" customWidth="1" hidden="0"/>
    <col min="2306" max="2306" width="6.01" customWidth="1" hidden="0"/>
    <col min="2307" max="2308" width="8.09" customWidth="1" hidden="0"/>
    <col min="2309" max="2309" width="8.59" customWidth="1" hidden="0"/>
    <col min="2310" max="2310" width="4.91" customWidth="1" hidden="0"/>
    <col min="2311" max="2311" width="6.01" customWidth="1" hidden="0"/>
    <col min="2312" max="2312" width="8.71" customWidth="1" hidden="0"/>
    <col min="2313" max="2313" width="8.09" customWidth="1" hidden="0"/>
    <col min="2314" max="2314" width="7.24" customWidth="1" hidden="0"/>
    <col min="2315" max="2315" width="4.91" customWidth="1" hidden="0"/>
    <col min="2316" max="2316" width="8.09" customWidth="1" hidden="0"/>
    <col min="2317" max="2317" width="4.91" customWidth="1" hidden="0"/>
    <col min="2318" max="2318" width="13.61" customWidth="1" hidden="0"/>
    <col min="2319" max="2319" width="20.97" customWidth="1" hidden="0"/>
    <col min="2320" max="2320" width="4.54" customWidth="1" hidden="0"/>
    <col min="2321" max="2322" width="8.09" customWidth="1" hidden="0"/>
    <col min="2323" max="2323" width="12.27" customWidth="1" hidden="0"/>
    <col min="2324" max="2324" width="9.57" customWidth="1" hidden="0"/>
    <col min="2325" max="2325" width="8.09" customWidth="1" hidden="0"/>
    <col min="2326" max="2326" width="15.45" customWidth="1" hidden="0"/>
    <col min="2327" max="2327" width="8.09" customWidth="1" hidden="0"/>
    <col min="2328" max="2328" width="13.25" customWidth="1" hidden="0"/>
    <col min="2329" max="2329" width="8.09" customWidth="1" hidden="0"/>
    <col min="2330" max="2330" width="13.98" customWidth="1" hidden="0"/>
    <col min="2331" max="2561" width="8.09" customWidth="1" hidden="0"/>
    <col min="2562" max="2562" width="6.01" customWidth="1" hidden="0"/>
    <col min="2563" max="2564" width="8.09" customWidth="1" hidden="0"/>
    <col min="2565" max="2565" width="8.59" customWidth="1" hidden="0"/>
    <col min="2566" max="2566" width="4.91" customWidth="1" hidden="0"/>
    <col min="2567" max="2567" width="6.01" customWidth="1" hidden="0"/>
    <col min="2568" max="2568" width="8.71" customWidth="1" hidden="0"/>
    <col min="2569" max="2569" width="8.09" customWidth="1" hidden="0"/>
    <col min="2570" max="2570" width="7.24" customWidth="1" hidden="0"/>
    <col min="2571" max="2571" width="4.91" customWidth="1" hidden="0"/>
    <col min="2572" max="2572" width="8.09" customWidth="1" hidden="0"/>
    <col min="2573" max="2573" width="4.91" customWidth="1" hidden="0"/>
    <col min="2574" max="2574" width="13.61" customWidth="1" hidden="0"/>
    <col min="2575" max="2575" width="20.97" customWidth="1" hidden="0"/>
    <col min="2576" max="2576" width="4.54" customWidth="1" hidden="0"/>
    <col min="2577" max="2578" width="8.09" customWidth="1" hidden="0"/>
    <col min="2579" max="2579" width="12.27" customWidth="1" hidden="0"/>
    <col min="2580" max="2580" width="9.57" customWidth="1" hidden="0"/>
    <col min="2581" max="2581" width="8.09" customWidth="1" hidden="0"/>
    <col min="2582" max="2582" width="15.45" customWidth="1" hidden="0"/>
    <col min="2583" max="2583" width="8.09" customWidth="1" hidden="0"/>
    <col min="2584" max="2584" width="13.25" customWidth="1" hidden="0"/>
    <col min="2585" max="2585" width="8.09" customWidth="1" hidden="0"/>
    <col min="2586" max="2586" width="13.98" customWidth="1" hidden="0"/>
    <col min="2587" max="2817" width="8.09" customWidth="1" hidden="0"/>
    <col min="2818" max="2818" width="6.01" customWidth="1" hidden="0"/>
    <col min="2819" max="2820" width="8.09" customWidth="1" hidden="0"/>
    <col min="2821" max="2821" width="8.59" customWidth="1" hidden="0"/>
    <col min="2822" max="2822" width="4.91" customWidth="1" hidden="0"/>
    <col min="2823" max="2823" width="6.01" customWidth="1" hidden="0"/>
    <col min="2824" max="2824" width="8.71" customWidth="1" hidden="0"/>
    <col min="2825" max="2825" width="8.09" customWidth="1" hidden="0"/>
    <col min="2826" max="2826" width="7.24" customWidth="1" hidden="0"/>
    <col min="2827" max="2827" width="4.91" customWidth="1" hidden="0"/>
    <col min="2828" max="2828" width="8.09" customWidth="1" hidden="0"/>
    <col min="2829" max="2829" width="4.91" customWidth="1" hidden="0"/>
    <col min="2830" max="2830" width="13.61" customWidth="1" hidden="0"/>
    <col min="2831" max="2831" width="20.97" customWidth="1" hidden="0"/>
    <col min="2832" max="2832" width="4.54" customWidth="1" hidden="0"/>
    <col min="2833" max="2834" width="8.09" customWidth="1" hidden="0"/>
    <col min="2835" max="2835" width="12.27" customWidth="1" hidden="0"/>
    <col min="2836" max="2836" width="9.57" customWidth="1" hidden="0"/>
    <col min="2837" max="2837" width="8.09" customWidth="1" hidden="0"/>
    <col min="2838" max="2838" width="15.45" customWidth="1" hidden="0"/>
    <col min="2839" max="2839" width="8.09" customWidth="1" hidden="0"/>
    <col min="2840" max="2840" width="13.25" customWidth="1" hidden="0"/>
    <col min="2841" max="2841" width="8.09" customWidth="1" hidden="0"/>
    <col min="2842" max="2842" width="13.98" customWidth="1" hidden="0"/>
    <col min="2843" max="3073" width="8.09" customWidth="1" hidden="0"/>
    <col min="3074" max="3074" width="6.01" customWidth="1" hidden="0"/>
    <col min="3075" max="3076" width="8.09" customWidth="1" hidden="0"/>
    <col min="3077" max="3077" width="8.59" customWidth="1" hidden="0"/>
    <col min="3078" max="3078" width="4.91" customWidth="1" hidden="0"/>
    <col min="3079" max="3079" width="6.01" customWidth="1" hidden="0"/>
    <col min="3080" max="3080" width="8.71" customWidth="1" hidden="0"/>
    <col min="3081" max="3081" width="8.09" customWidth="1" hidden="0"/>
    <col min="3082" max="3082" width="7.24" customWidth="1" hidden="0"/>
    <col min="3083" max="3083" width="4.91" customWidth="1" hidden="0"/>
    <col min="3084" max="3084" width="8.09" customWidth="1" hidden="0"/>
    <col min="3085" max="3085" width="4.91" customWidth="1" hidden="0"/>
    <col min="3086" max="3086" width="13.61" customWidth="1" hidden="0"/>
    <col min="3087" max="3087" width="20.97" customWidth="1" hidden="0"/>
    <col min="3088" max="3088" width="4.54" customWidth="1" hidden="0"/>
    <col min="3089" max="3090" width="8.09" customWidth="1" hidden="0"/>
    <col min="3091" max="3091" width="12.27" customWidth="1" hidden="0"/>
    <col min="3092" max="3092" width="9.57" customWidth="1" hidden="0"/>
    <col min="3093" max="3093" width="8.09" customWidth="1" hidden="0"/>
    <col min="3094" max="3094" width="15.45" customWidth="1" hidden="0"/>
    <col min="3095" max="3095" width="8.09" customWidth="1" hidden="0"/>
    <col min="3096" max="3096" width="13.25" customWidth="1" hidden="0"/>
    <col min="3097" max="3097" width="8.09" customWidth="1" hidden="0"/>
    <col min="3098" max="3098" width="13.98" customWidth="1" hidden="0"/>
    <col min="3099" max="3329" width="8.09" customWidth="1" hidden="0"/>
    <col min="3330" max="3330" width="6.01" customWidth="1" hidden="0"/>
    <col min="3331" max="3332" width="8.09" customWidth="1" hidden="0"/>
    <col min="3333" max="3333" width="8.59" customWidth="1" hidden="0"/>
    <col min="3334" max="3334" width="4.91" customWidth="1" hidden="0"/>
    <col min="3335" max="3335" width="6.01" customWidth="1" hidden="0"/>
    <col min="3336" max="3336" width="8.71" customWidth="1" hidden="0"/>
    <col min="3337" max="3337" width="8.09" customWidth="1" hidden="0"/>
    <col min="3338" max="3338" width="7.24" customWidth="1" hidden="0"/>
    <col min="3339" max="3339" width="4.91" customWidth="1" hidden="0"/>
    <col min="3340" max="3340" width="8.09" customWidth="1" hidden="0"/>
    <col min="3341" max="3341" width="4.91" customWidth="1" hidden="0"/>
    <col min="3342" max="3342" width="13.61" customWidth="1" hidden="0"/>
    <col min="3343" max="3343" width="20.97" customWidth="1" hidden="0"/>
    <col min="3344" max="3344" width="4.54" customWidth="1" hidden="0"/>
    <col min="3345" max="3346" width="8.09" customWidth="1" hidden="0"/>
    <col min="3347" max="3347" width="12.27" customWidth="1" hidden="0"/>
    <col min="3348" max="3348" width="9.57" customWidth="1" hidden="0"/>
    <col min="3349" max="3349" width="8.09" customWidth="1" hidden="0"/>
    <col min="3350" max="3350" width="15.45" customWidth="1" hidden="0"/>
    <col min="3351" max="3351" width="8.09" customWidth="1" hidden="0"/>
    <col min="3352" max="3352" width="13.25" customWidth="1" hidden="0"/>
    <col min="3353" max="3353" width="8.09" customWidth="1" hidden="0"/>
    <col min="3354" max="3354" width="13.98" customWidth="1" hidden="0"/>
    <col min="3355" max="3585" width="8.09" customWidth="1" hidden="0"/>
    <col min="3586" max="3586" width="6.01" customWidth="1" hidden="0"/>
    <col min="3587" max="3588" width="8.09" customWidth="1" hidden="0"/>
    <col min="3589" max="3589" width="8.59" customWidth="1" hidden="0"/>
    <col min="3590" max="3590" width="4.91" customWidth="1" hidden="0"/>
    <col min="3591" max="3591" width="6.01" customWidth="1" hidden="0"/>
    <col min="3592" max="3592" width="8.71" customWidth="1" hidden="0"/>
    <col min="3593" max="3593" width="8.09" customWidth="1" hidden="0"/>
    <col min="3594" max="3594" width="7.24" customWidth="1" hidden="0"/>
    <col min="3595" max="3595" width="4.91" customWidth="1" hidden="0"/>
    <col min="3596" max="3596" width="8.09" customWidth="1" hidden="0"/>
    <col min="3597" max="3597" width="4.91" customWidth="1" hidden="0"/>
    <col min="3598" max="3598" width="13.61" customWidth="1" hidden="0"/>
    <col min="3599" max="3599" width="20.97" customWidth="1" hidden="0"/>
    <col min="3600" max="3600" width="4.54" customWidth="1" hidden="0"/>
    <col min="3601" max="3602" width="8.09" customWidth="1" hidden="0"/>
    <col min="3603" max="3603" width="12.27" customWidth="1" hidden="0"/>
    <col min="3604" max="3604" width="9.57" customWidth="1" hidden="0"/>
    <col min="3605" max="3605" width="8.09" customWidth="1" hidden="0"/>
    <col min="3606" max="3606" width="15.45" customWidth="1" hidden="0"/>
    <col min="3607" max="3607" width="8.09" customWidth="1" hidden="0"/>
    <col min="3608" max="3608" width="13.25" customWidth="1" hidden="0"/>
    <col min="3609" max="3609" width="8.09" customWidth="1" hidden="0"/>
    <col min="3610" max="3610" width="13.98" customWidth="1" hidden="0"/>
    <col min="3611" max="3841" width="8.09" customWidth="1" hidden="0"/>
    <col min="3842" max="3842" width="6.01" customWidth="1" hidden="0"/>
    <col min="3843" max="3844" width="8.09" customWidth="1" hidden="0"/>
    <col min="3845" max="3845" width="8.59" customWidth="1" hidden="0"/>
    <col min="3846" max="3846" width="4.91" customWidth="1" hidden="0"/>
    <col min="3847" max="3847" width="6.01" customWidth="1" hidden="0"/>
    <col min="3848" max="3848" width="8.71" customWidth="1" hidden="0"/>
    <col min="3849" max="3849" width="8.09" customWidth="1" hidden="0"/>
    <col min="3850" max="3850" width="7.24" customWidth="1" hidden="0"/>
    <col min="3851" max="3851" width="4.91" customWidth="1" hidden="0"/>
    <col min="3852" max="3852" width="8.09" customWidth="1" hidden="0"/>
    <col min="3853" max="3853" width="4.91" customWidth="1" hidden="0"/>
    <col min="3854" max="3854" width="13.61" customWidth="1" hidden="0"/>
    <col min="3855" max="3855" width="20.97" customWidth="1" hidden="0"/>
    <col min="3856" max="3856" width="4.54" customWidth="1" hidden="0"/>
    <col min="3857" max="3858" width="8.09" customWidth="1" hidden="0"/>
    <col min="3859" max="3859" width="12.27" customWidth="1" hidden="0"/>
    <col min="3860" max="3860" width="9.57" customWidth="1" hidden="0"/>
    <col min="3861" max="3861" width="8.09" customWidth="1" hidden="0"/>
    <col min="3862" max="3862" width="15.45" customWidth="1" hidden="0"/>
    <col min="3863" max="3863" width="8.09" customWidth="1" hidden="0"/>
    <col min="3864" max="3864" width="13.25" customWidth="1" hidden="0"/>
    <col min="3865" max="3865" width="8.09" customWidth="1" hidden="0"/>
    <col min="3866" max="3866" width="13.98" customWidth="1" hidden="0"/>
    <col min="3867" max="4097" width="8.09" customWidth="1" hidden="0"/>
    <col min="4098" max="4098" width="6.01" customWidth="1" hidden="0"/>
    <col min="4099" max="4100" width="8.09" customWidth="1" hidden="0"/>
    <col min="4101" max="4101" width="8.59" customWidth="1" hidden="0"/>
    <col min="4102" max="4102" width="4.91" customWidth="1" hidden="0"/>
    <col min="4103" max="4103" width="6.01" customWidth="1" hidden="0"/>
    <col min="4104" max="4104" width="8.71" customWidth="1" hidden="0"/>
    <col min="4105" max="4105" width="8.09" customWidth="1" hidden="0"/>
    <col min="4106" max="4106" width="7.24" customWidth="1" hidden="0"/>
    <col min="4107" max="4107" width="4.91" customWidth="1" hidden="0"/>
    <col min="4108" max="4108" width="8.09" customWidth="1" hidden="0"/>
    <col min="4109" max="4109" width="4.91" customWidth="1" hidden="0"/>
    <col min="4110" max="4110" width="13.61" customWidth="1" hidden="0"/>
    <col min="4111" max="4111" width="20.97" customWidth="1" hidden="0"/>
    <col min="4112" max="4112" width="4.54" customWidth="1" hidden="0"/>
    <col min="4113" max="4114" width="8.09" customWidth="1" hidden="0"/>
    <col min="4115" max="4115" width="12.27" customWidth="1" hidden="0"/>
    <col min="4116" max="4116" width="9.57" customWidth="1" hidden="0"/>
    <col min="4117" max="4117" width="8.09" customWidth="1" hidden="0"/>
    <col min="4118" max="4118" width="15.45" customWidth="1" hidden="0"/>
    <col min="4119" max="4119" width="8.09" customWidth="1" hidden="0"/>
    <col min="4120" max="4120" width="13.25" customWidth="1" hidden="0"/>
    <col min="4121" max="4121" width="8.09" customWidth="1" hidden="0"/>
    <col min="4122" max="4122" width="13.98" customWidth="1" hidden="0"/>
    <col min="4123" max="4353" width="8.09" customWidth="1" hidden="0"/>
    <col min="4354" max="4354" width="6.01" customWidth="1" hidden="0"/>
    <col min="4355" max="4356" width="8.09" customWidth="1" hidden="0"/>
    <col min="4357" max="4357" width="8.59" customWidth="1" hidden="0"/>
    <col min="4358" max="4358" width="4.91" customWidth="1" hidden="0"/>
    <col min="4359" max="4359" width="6.01" customWidth="1" hidden="0"/>
    <col min="4360" max="4360" width="8.71" customWidth="1" hidden="0"/>
    <col min="4361" max="4361" width="8.09" customWidth="1" hidden="0"/>
    <col min="4362" max="4362" width="7.24" customWidth="1" hidden="0"/>
    <col min="4363" max="4363" width="4.91" customWidth="1" hidden="0"/>
    <col min="4364" max="4364" width="8.09" customWidth="1" hidden="0"/>
    <col min="4365" max="4365" width="4.91" customWidth="1" hidden="0"/>
    <col min="4366" max="4366" width="13.61" customWidth="1" hidden="0"/>
    <col min="4367" max="4367" width="20.97" customWidth="1" hidden="0"/>
    <col min="4368" max="4368" width="4.54" customWidth="1" hidden="0"/>
    <col min="4369" max="4370" width="8.09" customWidth="1" hidden="0"/>
    <col min="4371" max="4371" width="12.27" customWidth="1" hidden="0"/>
    <col min="4372" max="4372" width="9.57" customWidth="1" hidden="0"/>
    <col min="4373" max="4373" width="8.09" customWidth="1" hidden="0"/>
    <col min="4374" max="4374" width="15.45" customWidth="1" hidden="0"/>
    <col min="4375" max="4375" width="8.09" customWidth="1" hidden="0"/>
    <col min="4376" max="4376" width="13.25" customWidth="1" hidden="0"/>
    <col min="4377" max="4377" width="8.09" customWidth="1" hidden="0"/>
    <col min="4378" max="4378" width="13.98" customWidth="1" hidden="0"/>
    <col min="4379" max="4609" width="8.09" customWidth="1" hidden="0"/>
    <col min="4610" max="4610" width="6.01" customWidth="1" hidden="0"/>
    <col min="4611" max="4612" width="8.09" customWidth="1" hidden="0"/>
    <col min="4613" max="4613" width="8.59" customWidth="1" hidden="0"/>
    <col min="4614" max="4614" width="4.91" customWidth="1" hidden="0"/>
    <col min="4615" max="4615" width="6.01" customWidth="1" hidden="0"/>
    <col min="4616" max="4616" width="8.71" customWidth="1" hidden="0"/>
    <col min="4617" max="4617" width="8.09" customWidth="1" hidden="0"/>
    <col min="4618" max="4618" width="7.24" customWidth="1" hidden="0"/>
    <col min="4619" max="4619" width="4.91" customWidth="1" hidden="0"/>
    <col min="4620" max="4620" width="8.09" customWidth="1" hidden="0"/>
    <col min="4621" max="4621" width="4.91" customWidth="1" hidden="0"/>
    <col min="4622" max="4622" width="13.61" customWidth="1" hidden="0"/>
    <col min="4623" max="4623" width="20.97" customWidth="1" hidden="0"/>
    <col min="4624" max="4624" width="4.54" customWidth="1" hidden="0"/>
    <col min="4625" max="4626" width="8.09" customWidth="1" hidden="0"/>
    <col min="4627" max="4627" width="12.27" customWidth="1" hidden="0"/>
    <col min="4628" max="4628" width="9.57" customWidth="1" hidden="0"/>
    <col min="4629" max="4629" width="8.09" customWidth="1" hidden="0"/>
    <col min="4630" max="4630" width="15.45" customWidth="1" hidden="0"/>
    <col min="4631" max="4631" width="8.09" customWidth="1" hidden="0"/>
    <col min="4632" max="4632" width="13.25" customWidth="1" hidden="0"/>
    <col min="4633" max="4633" width="8.09" customWidth="1" hidden="0"/>
    <col min="4634" max="4634" width="13.98" customWidth="1" hidden="0"/>
    <col min="4635" max="4865" width="8.09" customWidth="1" hidden="0"/>
    <col min="4866" max="4866" width="6.01" customWidth="1" hidden="0"/>
    <col min="4867" max="4868" width="8.09" customWidth="1" hidden="0"/>
    <col min="4869" max="4869" width="8.59" customWidth="1" hidden="0"/>
    <col min="4870" max="4870" width="4.91" customWidth="1" hidden="0"/>
    <col min="4871" max="4871" width="6.01" customWidth="1" hidden="0"/>
    <col min="4872" max="4872" width="8.71" customWidth="1" hidden="0"/>
    <col min="4873" max="4873" width="8.09" customWidth="1" hidden="0"/>
    <col min="4874" max="4874" width="7.24" customWidth="1" hidden="0"/>
    <col min="4875" max="4875" width="4.91" customWidth="1" hidden="0"/>
    <col min="4876" max="4876" width="8.09" customWidth="1" hidden="0"/>
    <col min="4877" max="4877" width="4.91" customWidth="1" hidden="0"/>
    <col min="4878" max="4878" width="13.61" customWidth="1" hidden="0"/>
    <col min="4879" max="4879" width="20.97" customWidth="1" hidden="0"/>
    <col min="4880" max="4880" width="4.54" customWidth="1" hidden="0"/>
    <col min="4881" max="4882" width="8.09" customWidth="1" hidden="0"/>
    <col min="4883" max="4883" width="12.27" customWidth="1" hidden="0"/>
    <col min="4884" max="4884" width="9.57" customWidth="1" hidden="0"/>
    <col min="4885" max="4885" width="8.09" customWidth="1" hidden="0"/>
    <col min="4886" max="4886" width="15.45" customWidth="1" hidden="0"/>
    <col min="4887" max="4887" width="8.09" customWidth="1" hidden="0"/>
    <col min="4888" max="4888" width="13.25" customWidth="1" hidden="0"/>
    <col min="4889" max="4889" width="8.09" customWidth="1" hidden="0"/>
    <col min="4890" max="4890" width="13.98" customWidth="1" hidden="0"/>
    <col min="4891" max="5121" width="8.09" customWidth="1" hidden="0"/>
    <col min="5122" max="5122" width="6.01" customWidth="1" hidden="0"/>
    <col min="5123" max="5124" width="8.09" customWidth="1" hidden="0"/>
    <col min="5125" max="5125" width="8.59" customWidth="1" hidden="0"/>
    <col min="5126" max="5126" width="4.91" customWidth="1" hidden="0"/>
    <col min="5127" max="5127" width="6.01" customWidth="1" hidden="0"/>
    <col min="5128" max="5128" width="8.71" customWidth="1" hidden="0"/>
    <col min="5129" max="5129" width="8.09" customWidth="1" hidden="0"/>
    <col min="5130" max="5130" width="7.24" customWidth="1" hidden="0"/>
    <col min="5131" max="5131" width="4.91" customWidth="1" hidden="0"/>
    <col min="5132" max="5132" width="8.09" customWidth="1" hidden="0"/>
    <col min="5133" max="5133" width="4.91" customWidth="1" hidden="0"/>
    <col min="5134" max="5134" width="13.61" customWidth="1" hidden="0"/>
    <col min="5135" max="5135" width="20.97" customWidth="1" hidden="0"/>
    <col min="5136" max="5136" width="4.54" customWidth="1" hidden="0"/>
    <col min="5137" max="5138" width="8.09" customWidth="1" hidden="0"/>
    <col min="5139" max="5139" width="12.27" customWidth="1" hidden="0"/>
    <col min="5140" max="5140" width="9.57" customWidth="1" hidden="0"/>
    <col min="5141" max="5141" width="8.09" customWidth="1" hidden="0"/>
    <col min="5142" max="5142" width="15.45" customWidth="1" hidden="0"/>
    <col min="5143" max="5143" width="8.09" customWidth="1" hidden="0"/>
    <col min="5144" max="5144" width="13.25" customWidth="1" hidden="0"/>
    <col min="5145" max="5145" width="8.09" customWidth="1" hidden="0"/>
    <col min="5146" max="5146" width="13.98" customWidth="1" hidden="0"/>
    <col min="5147" max="5377" width="8.09" customWidth="1" hidden="0"/>
    <col min="5378" max="5378" width="6.01" customWidth="1" hidden="0"/>
    <col min="5379" max="5380" width="8.09" customWidth="1" hidden="0"/>
    <col min="5381" max="5381" width="8.59" customWidth="1" hidden="0"/>
    <col min="5382" max="5382" width="4.91" customWidth="1" hidden="0"/>
    <col min="5383" max="5383" width="6.01" customWidth="1" hidden="0"/>
    <col min="5384" max="5384" width="8.71" customWidth="1" hidden="0"/>
    <col min="5385" max="5385" width="8.09" customWidth="1" hidden="0"/>
    <col min="5386" max="5386" width="7.24" customWidth="1" hidden="0"/>
    <col min="5387" max="5387" width="4.91" customWidth="1" hidden="0"/>
    <col min="5388" max="5388" width="8.09" customWidth="1" hidden="0"/>
    <col min="5389" max="5389" width="4.91" customWidth="1" hidden="0"/>
    <col min="5390" max="5390" width="13.61" customWidth="1" hidden="0"/>
    <col min="5391" max="5391" width="20.97" customWidth="1" hidden="0"/>
    <col min="5392" max="5392" width="4.54" customWidth="1" hidden="0"/>
    <col min="5393" max="5394" width="8.09" customWidth="1" hidden="0"/>
    <col min="5395" max="5395" width="12.27" customWidth="1" hidden="0"/>
    <col min="5396" max="5396" width="9.57" customWidth="1" hidden="0"/>
    <col min="5397" max="5397" width="8.09" customWidth="1" hidden="0"/>
    <col min="5398" max="5398" width="15.45" customWidth="1" hidden="0"/>
    <col min="5399" max="5399" width="8.09" customWidth="1" hidden="0"/>
    <col min="5400" max="5400" width="13.25" customWidth="1" hidden="0"/>
    <col min="5401" max="5401" width="8.09" customWidth="1" hidden="0"/>
    <col min="5402" max="5402" width="13.98" customWidth="1" hidden="0"/>
    <col min="5403" max="5633" width="8.09" customWidth="1" hidden="0"/>
    <col min="5634" max="5634" width="6.01" customWidth="1" hidden="0"/>
    <col min="5635" max="5636" width="8.09" customWidth="1" hidden="0"/>
    <col min="5637" max="5637" width="8.59" customWidth="1" hidden="0"/>
    <col min="5638" max="5638" width="4.91" customWidth="1" hidden="0"/>
    <col min="5639" max="5639" width="6.01" customWidth="1" hidden="0"/>
    <col min="5640" max="5640" width="8.71" customWidth="1" hidden="0"/>
    <col min="5641" max="5641" width="8.09" customWidth="1" hidden="0"/>
    <col min="5642" max="5642" width="7.24" customWidth="1" hidden="0"/>
    <col min="5643" max="5643" width="4.91" customWidth="1" hidden="0"/>
    <col min="5644" max="5644" width="8.09" customWidth="1" hidden="0"/>
    <col min="5645" max="5645" width="4.91" customWidth="1" hidden="0"/>
    <col min="5646" max="5646" width="13.61" customWidth="1" hidden="0"/>
    <col min="5647" max="5647" width="20.97" customWidth="1" hidden="0"/>
    <col min="5648" max="5648" width="4.54" customWidth="1" hidden="0"/>
    <col min="5649" max="5650" width="8.09" customWidth="1" hidden="0"/>
    <col min="5651" max="5651" width="12.27" customWidth="1" hidden="0"/>
    <col min="5652" max="5652" width="9.57" customWidth="1" hidden="0"/>
    <col min="5653" max="5653" width="8.09" customWidth="1" hidden="0"/>
    <col min="5654" max="5654" width="15.45" customWidth="1" hidden="0"/>
    <col min="5655" max="5655" width="8.09" customWidth="1" hidden="0"/>
    <col min="5656" max="5656" width="13.25" customWidth="1" hidden="0"/>
    <col min="5657" max="5657" width="8.09" customWidth="1" hidden="0"/>
    <col min="5658" max="5658" width="13.98" customWidth="1" hidden="0"/>
    <col min="5659" max="5889" width="8.09" customWidth="1" hidden="0"/>
    <col min="5890" max="5890" width="6.01" customWidth="1" hidden="0"/>
    <col min="5891" max="5892" width="8.09" customWidth="1" hidden="0"/>
    <col min="5893" max="5893" width="8.59" customWidth="1" hidden="0"/>
    <col min="5894" max="5894" width="4.91" customWidth="1" hidden="0"/>
    <col min="5895" max="5895" width="6.01" customWidth="1" hidden="0"/>
    <col min="5896" max="5896" width="8.71" customWidth="1" hidden="0"/>
    <col min="5897" max="5897" width="8.09" customWidth="1" hidden="0"/>
    <col min="5898" max="5898" width="7.24" customWidth="1" hidden="0"/>
    <col min="5899" max="5899" width="4.91" customWidth="1" hidden="0"/>
    <col min="5900" max="5900" width="8.09" customWidth="1" hidden="0"/>
    <col min="5901" max="5901" width="4.91" customWidth="1" hidden="0"/>
    <col min="5902" max="5902" width="13.61" customWidth="1" hidden="0"/>
    <col min="5903" max="5903" width="20.97" customWidth="1" hidden="0"/>
    <col min="5904" max="5904" width="4.54" customWidth="1" hidden="0"/>
    <col min="5905" max="5906" width="8.09" customWidth="1" hidden="0"/>
    <col min="5907" max="5907" width="12.27" customWidth="1" hidden="0"/>
    <col min="5908" max="5908" width="9.57" customWidth="1" hidden="0"/>
    <col min="5909" max="5909" width="8.09" customWidth="1" hidden="0"/>
    <col min="5910" max="5910" width="15.45" customWidth="1" hidden="0"/>
    <col min="5911" max="5911" width="8.09" customWidth="1" hidden="0"/>
    <col min="5912" max="5912" width="13.25" customWidth="1" hidden="0"/>
    <col min="5913" max="5913" width="8.09" customWidth="1" hidden="0"/>
    <col min="5914" max="5914" width="13.98" customWidth="1" hidden="0"/>
    <col min="5915" max="6145" width="8.09" customWidth="1" hidden="0"/>
    <col min="6146" max="6146" width="6.01" customWidth="1" hidden="0"/>
    <col min="6147" max="6148" width="8.09" customWidth="1" hidden="0"/>
    <col min="6149" max="6149" width="8.59" customWidth="1" hidden="0"/>
    <col min="6150" max="6150" width="4.91" customWidth="1" hidden="0"/>
    <col min="6151" max="6151" width="6.01" customWidth="1" hidden="0"/>
    <col min="6152" max="6152" width="8.71" customWidth="1" hidden="0"/>
    <col min="6153" max="6153" width="8.09" customWidth="1" hidden="0"/>
    <col min="6154" max="6154" width="7.24" customWidth="1" hidden="0"/>
    <col min="6155" max="6155" width="4.91" customWidth="1" hidden="0"/>
    <col min="6156" max="6156" width="8.09" customWidth="1" hidden="0"/>
    <col min="6157" max="6157" width="4.91" customWidth="1" hidden="0"/>
    <col min="6158" max="6158" width="13.61" customWidth="1" hidden="0"/>
    <col min="6159" max="6159" width="20.97" customWidth="1" hidden="0"/>
    <col min="6160" max="6160" width="4.54" customWidth="1" hidden="0"/>
    <col min="6161" max="6162" width="8.09" customWidth="1" hidden="0"/>
    <col min="6163" max="6163" width="12.27" customWidth="1" hidden="0"/>
    <col min="6164" max="6164" width="9.57" customWidth="1" hidden="0"/>
    <col min="6165" max="6165" width="8.09" customWidth="1" hidden="0"/>
    <col min="6166" max="6166" width="15.45" customWidth="1" hidden="0"/>
    <col min="6167" max="6167" width="8.09" customWidth="1" hidden="0"/>
    <col min="6168" max="6168" width="13.25" customWidth="1" hidden="0"/>
    <col min="6169" max="6169" width="8.09" customWidth="1" hidden="0"/>
    <col min="6170" max="6170" width="13.98" customWidth="1" hidden="0"/>
    <col min="6171" max="6401" width="8.09" customWidth="1" hidden="0"/>
    <col min="6402" max="6402" width="6.01" customWidth="1" hidden="0"/>
    <col min="6403" max="6404" width="8.09" customWidth="1" hidden="0"/>
    <col min="6405" max="6405" width="8.59" customWidth="1" hidden="0"/>
    <col min="6406" max="6406" width="4.91" customWidth="1" hidden="0"/>
    <col min="6407" max="6407" width="6.01" customWidth="1" hidden="0"/>
    <col min="6408" max="6408" width="8.71" customWidth="1" hidden="0"/>
    <col min="6409" max="6409" width="8.09" customWidth="1" hidden="0"/>
    <col min="6410" max="6410" width="7.24" customWidth="1" hidden="0"/>
    <col min="6411" max="6411" width="4.91" customWidth="1" hidden="0"/>
    <col min="6412" max="6412" width="8.09" customWidth="1" hidden="0"/>
    <col min="6413" max="6413" width="4.91" customWidth="1" hidden="0"/>
    <col min="6414" max="6414" width="13.61" customWidth="1" hidden="0"/>
    <col min="6415" max="6415" width="20.97" customWidth="1" hidden="0"/>
    <col min="6416" max="6416" width="4.54" customWidth="1" hidden="0"/>
    <col min="6417" max="6418" width="8.09" customWidth="1" hidden="0"/>
    <col min="6419" max="6419" width="12.27" customWidth="1" hidden="0"/>
    <col min="6420" max="6420" width="9.57" customWidth="1" hidden="0"/>
    <col min="6421" max="6421" width="8.09" customWidth="1" hidden="0"/>
    <col min="6422" max="6422" width="15.45" customWidth="1" hidden="0"/>
    <col min="6423" max="6423" width="8.09" customWidth="1" hidden="0"/>
    <col min="6424" max="6424" width="13.25" customWidth="1" hidden="0"/>
    <col min="6425" max="6425" width="8.09" customWidth="1" hidden="0"/>
    <col min="6426" max="6426" width="13.98" customWidth="1" hidden="0"/>
    <col min="6427" max="6657" width="8.09" customWidth="1" hidden="0"/>
    <col min="6658" max="6658" width="6.01" customWidth="1" hidden="0"/>
    <col min="6659" max="6660" width="8.09" customWidth="1" hidden="0"/>
    <col min="6661" max="6661" width="8.59" customWidth="1" hidden="0"/>
    <col min="6662" max="6662" width="4.91" customWidth="1" hidden="0"/>
    <col min="6663" max="6663" width="6.01" customWidth="1" hidden="0"/>
    <col min="6664" max="6664" width="8.71" customWidth="1" hidden="0"/>
    <col min="6665" max="6665" width="8.09" customWidth="1" hidden="0"/>
    <col min="6666" max="6666" width="7.24" customWidth="1" hidden="0"/>
    <col min="6667" max="6667" width="4.91" customWidth="1" hidden="0"/>
    <col min="6668" max="6668" width="8.09" customWidth="1" hidden="0"/>
    <col min="6669" max="6669" width="4.91" customWidth="1" hidden="0"/>
    <col min="6670" max="6670" width="13.61" customWidth="1" hidden="0"/>
    <col min="6671" max="6671" width="20.97" customWidth="1" hidden="0"/>
    <col min="6672" max="6672" width="4.54" customWidth="1" hidden="0"/>
    <col min="6673" max="6674" width="8.09" customWidth="1" hidden="0"/>
    <col min="6675" max="6675" width="12.27" customWidth="1" hidden="0"/>
    <col min="6676" max="6676" width="9.57" customWidth="1" hidden="0"/>
    <col min="6677" max="6677" width="8.09" customWidth="1" hidden="0"/>
    <col min="6678" max="6678" width="15.45" customWidth="1" hidden="0"/>
    <col min="6679" max="6679" width="8.09" customWidth="1" hidden="0"/>
    <col min="6680" max="6680" width="13.25" customWidth="1" hidden="0"/>
    <col min="6681" max="6681" width="8.09" customWidth="1" hidden="0"/>
    <col min="6682" max="6682" width="13.98" customWidth="1" hidden="0"/>
    <col min="6683" max="6913" width="8.09" customWidth="1" hidden="0"/>
    <col min="6914" max="6914" width="6.01" customWidth="1" hidden="0"/>
    <col min="6915" max="6916" width="8.09" customWidth="1" hidden="0"/>
    <col min="6917" max="6917" width="8.59" customWidth="1" hidden="0"/>
    <col min="6918" max="6918" width="4.91" customWidth="1" hidden="0"/>
    <col min="6919" max="6919" width="6.01" customWidth="1" hidden="0"/>
    <col min="6920" max="6920" width="8.71" customWidth="1" hidden="0"/>
    <col min="6921" max="6921" width="8.09" customWidth="1" hidden="0"/>
    <col min="6922" max="6922" width="7.24" customWidth="1" hidden="0"/>
    <col min="6923" max="6923" width="4.91" customWidth="1" hidden="0"/>
    <col min="6924" max="6924" width="8.09" customWidth="1" hidden="0"/>
    <col min="6925" max="6925" width="4.91" customWidth="1" hidden="0"/>
    <col min="6926" max="6926" width="13.61" customWidth="1" hidden="0"/>
    <col min="6927" max="6927" width="20.97" customWidth="1" hidden="0"/>
    <col min="6928" max="6928" width="4.54" customWidth="1" hidden="0"/>
    <col min="6929" max="6930" width="8.09" customWidth="1" hidden="0"/>
    <col min="6931" max="6931" width="12.27" customWidth="1" hidden="0"/>
    <col min="6932" max="6932" width="9.57" customWidth="1" hidden="0"/>
    <col min="6933" max="6933" width="8.09" customWidth="1" hidden="0"/>
    <col min="6934" max="6934" width="15.45" customWidth="1" hidden="0"/>
    <col min="6935" max="6935" width="8.09" customWidth="1" hidden="0"/>
    <col min="6936" max="6936" width="13.25" customWidth="1" hidden="0"/>
    <col min="6937" max="6937" width="8.09" customWidth="1" hidden="0"/>
    <col min="6938" max="6938" width="13.98" customWidth="1" hidden="0"/>
    <col min="6939" max="7169" width="8.09" customWidth="1" hidden="0"/>
    <col min="7170" max="7170" width="6.01" customWidth="1" hidden="0"/>
    <col min="7171" max="7172" width="8.09" customWidth="1" hidden="0"/>
    <col min="7173" max="7173" width="8.59" customWidth="1" hidden="0"/>
    <col min="7174" max="7174" width="4.91" customWidth="1" hidden="0"/>
    <col min="7175" max="7175" width="6.01" customWidth="1" hidden="0"/>
    <col min="7176" max="7176" width="8.71" customWidth="1" hidden="0"/>
    <col min="7177" max="7177" width="8.09" customWidth="1" hidden="0"/>
    <col min="7178" max="7178" width="7.24" customWidth="1" hidden="0"/>
    <col min="7179" max="7179" width="4.91" customWidth="1" hidden="0"/>
    <col min="7180" max="7180" width="8.09" customWidth="1" hidden="0"/>
    <col min="7181" max="7181" width="4.91" customWidth="1" hidden="0"/>
    <col min="7182" max="7182" width="13.61" customWidth="1" hidden="0"/>
    <col min="7183" max="7183" width="20.97" customWidth="1" hidden="0"/>
    <col min="7184" max="7184" width="4.54" customWidth="1" hidden="0"/>
    <col min="7185" max="7186" width="8.09" customWidth="1" hidden="0"/>
    <col min="7187" max="7187" width="12.27" customWidth="1" hidden="0"/>
    <col min="7188" max="7188" width="9.57" customWidth="1" hidden="0"/>
    <col min="7189" max="7189" width="8.09" customWidth="1" hidden="0"/>
    <col min="7190" max="7190" width="15.45" customWidth="1" hidden="0"/>
    <col min="7191" max="7191" width="8.09" customWidth="1" hidden="0"/>
    <col min="7192" max="7192" width="13.25" customWidth="1" hidden="0"/>
    <col min="7193" max="7193" width="8.09" customWidth="1" hidden="0"/>
    <col min="7194" max="7194" width="13.98" customWidth="1" hidden="0"/>
    <col min="7195" max="7425" width="8.09" customWidth="1" hidden="0"/>
    <col min="7426" max="7426" width="6.01" customWidth="1" hidden="0"/>
    <col min="7427" max="7428" width="8.09" customWidth="1" hidden="0"/>
    <col min="7429" max="7429" width="8.59" customWidth="1" hidden="0"/>
    <col min="7430" max="7430" width="4.91" customWidth="1" hidden="0"/>
    <col min="7431" max="7431" width="6.01" customWidth="1" hidden="0"/>
    <col min="7432" max="7432" width="8.71" customWidth="1" hidden="0"/>
    <col min="7433" max="7433" width="8.09" customWidth="1" hidden="0"/>
    <col min="7434" max="7434" width="7.24" customWidth="1" hidden="0"/>
    <col min="7435" max="7435" width="4.91" customWidth="1" hidden="0"/>
    <col min="7436" max="7436" width="8.09" customWidth="1" hidden="0"/>
    <col min="7437" max="7437" width="4.91" customWidth="1" hidden="0"/>
    <col min="7438" max="7438" width="13.61" customWidth="1" hidden="0"/>
    <col min="7439" max="7439" width="20.97" customWidth="1" hidden="0"/>
    <col min="7440" max="7440" width="4.54" customWidth="1" hidden="0"/>
    <col min="7441" max="7442" width="8.09" customWidth="1" hidden="0"/>
    <col min="7443" max="7443" width="12.27" customWidth="1" hidden="0"/>
    <col min="7444" max="7444" width="9.57" customWidth="1" hidden="0"/>
    <col min="7445" max="7445" width="8.09" customWidth="1" hidden="0"/>
    <col min="7446" max="7446" width="15.45" customWidth="1" hidden="0"/>
    <col min="7447" max="7447" width="8.09" customWidth="1" hidden="0"/>
    <col min="7448" max="7448" width="13.25" customWidth="1" hidden="0"/>
    <col min="7449" max="7449" width="8.09" customWidth="1" hidden="0"/>
    <col min="7450" max="7450" width="13.98" customWidth="1" hidden="0"/>
    <col min="7451" max="7681" width="8.09" customWidth="1" hidden="0"/>
    <col min="7682" max="7682" width="6.01" customWidth="1" hidden="0"/>
    <col min="7683" max="7684" width="8.09" customWidth="1" hidden="0"/>
    <col min="7685" max="7685" width="8.59" customWidth="1" hidden="0"/>
    <col min="7686" max="7686" width="4.91" customWidth="1" hidden="0"/>
    <col min="7687" max="7687" width="6.01" customWidth="1" hidden="0"/>
    <col min="7688" max="7688" width="8.71" customWidth="1" hidden="0"/>
    <col min="7689" max="7689" width="8.09" customWidth="1" hidden="0"/>
    <col min="7690" max="7690" width="7.24" customWidth="1" hidden="0"/>
    <col min="7691" max="7691" width="4.91" customWidth="1" hidden="0"/>
    <col min="7692" max="7692" width="8.09" customWidth="1" hidden="0"/>
    <col min="7693" max="7693" width="4.91" customWidth="1" hidden="0"/>
    <col min="7694" max="7694" width="13.61" customWidth="1" hidden="0"/>
    <col min="7695" max="7695" width="20.97" customWidth="1" hidden="0"/>
    <col min="7696" max="7696" width="4.54" customWidth="1" hidden="0"/>
    <col min="7697" max="7698" width="8.09" customWidth="1" hidden="0"/>
    <col min="7699" max="7699" width="12.27" customWidth="1" hidden="0"/>
    <col min="7700" max="7700" width="9.57" customWidth="1" hidden="0"/>
    <col min="7701" max="7701" width="8.09" customWidth="1" hidden="0"/>
    <col min="7702" max="7702" width="15.45" customWidth="1" hidden="0"/>
    <col min="7703" max="7703" width="8.09" customWidth="1" hidden="0"/>
    <col min="7704" max="7704" width="13.25" customWidth="1" hidden="0"/>
    <col min="7705" max="7705" width="8.09" customWidth="1" hidden="0"/>
    <col min="7706" max="7706" width="13.98" customWidth="1" hidden="0"/>
    <col min="7707" max="7937" width="8.09" customWidth="1" hidden="0"/>
    <col min="7938" max="7938" width="6.01" customWidth="1" hidden="0"/>
    <col min="7939" max="7940" width="8.09" customWidth="1" hidden="0"/>
    <col min="7941" max="7941" width="8.59" customWidth="1" hidden="0"/>
    <col min="7942" max="7942" width="4.91" customWidth="1" hidden="0"/>
    <col min="7943" max="7943" width="6.01" customWidth="1" hidden="0"/>
    <col min="7944" max="7944" width="8.71" customWidth="1" hidden="0"/>
    <col min="7945" max="7945" width="8.09" customWidth="1" hidden="0"/>
    <col min="7946" max="7946" width="7.24" customWidth="1" hidden="0"/>
    <col min="7947" max="7947" width="4.91" customWidth="1" hidden="0"/>
    <col min="7948" max="7948" width="8.09" customWidth="1" hidden="0"/>
    <col min="7949" max="7949" width="4.91" customWidth="1" hidden="0"/>
    <col min="7950" max="7950" width="13.61" customWidth="1" hidden="0"/>
    <col min="7951" max="7951" width="20.97" customWidth="1" hidden="0"/>
    <col min="7952" max="7952" width="4.54" customWidth="1" hidden="0"/>
    <col min="7953" max="7954" width="8.09" customWidth="1" hidden="0"/>
    <col min="7955" max="7955" width="12.27" customWidth="1" hidden="0"/>
    <col min="7956" max="7956" width="9.57" customWidth="1" hidden="0"/>
    <col min="7957" max="7957" width="8.09" customWidth="1" hidden="0"/>
    <col min="7958" max="7958" width="15.45" customWidth="1" hidden="0"/>
    <col min="7959" max="7959" width="8.09" customWidth="1" hidden="0"/>
    <col min="7960" max="7960" width="13.25" customWidth="1" hidden="0"/>
    <col min="7961" max="7961" width="8.09" customWidth="1" hidden="0"/>
    <col min="7962" max="7962" width="13.98" customWidth="1" hidden="0"/>
    <col min="7963" max="8193" width="8.09" customWidth="1" hidden="0"/>
    <col min="8194" max="8194" width="6.01" customWidth="1" hidden="0"/>
    <col min="8195" max="8196" width="8.09" customWidth="1" hidden="0"/>
    <col min="8197" max="8197" width="8.59" customWidth="1" hidden="0"/>
    <col min="8198" max="8198" width="4.91" customWidth="1" hidden="0"/>
    <col min="8199" max="8199" width="6.01" customWidth="1" hidden="0"/>
    <col min="8200" max="8200" width="8.71" customWidth="1" hidden="0"/>
    <col min="8201" max="8201" width="8.09" customWidth="1" hidden="0"/>
    <col min="8202" max="8202" width="7.24" customWidth="1" hidden="0"/>
    <col min="8203" max="8203" width="4.91" customWidth="1" hidden="0"/>
    <col min="8204" max="8204" width="8.09" customWidth="1" hidden="0"/>
    <col min="8205" max="8205" width="4.91" customWidth="1" hidden="0"/>
    <col min="8206" max="8206" width="13.61" customWidth="1" hidden="0"/>
    <col min="8207" max="8207" width="20.97" customWidth="1" hidden="0"/>
    <col min="8208" max="8208" width="4.54" customWidth="1" hidden="0"/>
    <col min="8209" max="8210" width="8.09" customWidth="1" hidden="0"/>
    <col min="8211" max="8211" width="12.27" customWidth="1" hidden="0"/>
    <col min="8212" max="8212" width="9.57" customWidth="1" hidden="0"/>
    <col min="8213" max="8213" width="8.09" customWidth="1" hidden="0"/>
    <col min="8214" max="8214" width="15.45" customWidth="1" hidden="0"/>
    <col min="8215" max="8215" width="8.09" customWidth="1" hidden="0"/>
    <col min="8216" max="8216" width="13.25" customWidth="1" hidden="0"/>
    <col min="8217" max="8217" width="8.09" customWidth="1" hidden="0"/>
    <col min="8218" max="8218" width="13.98" customWidth="1" hidden="0"/>
    <col min="8219" max="8449" width="8.09" customWidth="1" hidden="0"/>
    <col min="8450" max="8450" width="6.01" customWidth="1" hidden="0"/>
    <col min="8451" max="8452" width="8.09" customWidth="1" hidden="0"/>
    <col min="8453" max="8453" width="8.59" customWidth="1" hidden="0"/>
    <col min="8454" max="8454" width="4.91" customWidth="1" hidden="0"/>
    <col min="8455" max="8455" width="6.01" customWidth="1" hidden="0"/>
    <col min="8456" max="8456" width="8.71" customWidth="1" hidden="0"/>
    <col min="8457" max="8457" width="8.09" customWidth="1" hidden="0"/>
    <col min="8458" max="8458" width="7.24" customWidth="1" hidden="0"/>
    <col min="8459" max="8459" width="4.91" customWidth="1" hidden="0"/>
    <col min="8460" max="8460" width="8.09" customWidth="1" hidden="0"/>
    <col min="8461" max="8461" width="4.91" customWidth="1" hidden="0"/>
    <col min="8462" max="8462" width="13.61" customWidth="1" hidden="0"/>
    <col min="8463" max="8463" width="20.97" customWidth="1" hidden="0"/>
    <col min="8464" max="8464" width="4.54" customWidth="1" hidden="0"/>
    <col min="8465" max="8466" width="8.09" customWidth="1" hidden="0"/>
    <col min="8467" max="8467" width="12.27" customWidth="1" hidden="0"/>
    <col min="8468" max="8468" width="9.57" customWidth="1" hidden="0"/>
    <col min="8469" max="8469" width="8.09" customWidth="1" hidden="0"/>
    <col min="8470" max="8470" width="15.45" customWidth="1" hidden="0"/>
    <col min="8471" max="8471" width="8.09" customWidth="1" hidden="0"/>
    <col min="8472" max="8472" width="13.25" customWidth="1" hidden="0"/>
    <col min="8473" max="8473" width="8.09" customWidth="1" hidden="0"/>
    <col min="8474" max="8474" width="13.98" customWidth="1" hidden="0"/>
    <col min="8475" max="8705" width="8.09" customWidth="1" hidden="0"/>
    <col min="8706" max="8706" width="6.01" customWidth="1" hidden="0"/>
    <col min="8707" max="8708" width="8.09" customWidth="1" hidden="0"/>
    <col min="8709" max="8709" width="8.59" customWidth="1" hidden="0"/>
    <col min="8710" max="8710" width="4.91" customWidth="1" hidden="0"/>
    <col min="8711" max="8711" width="6.01" customWidth="1" hidden="0"/>
    <col min="8712" max="8712" width="8.71" customWidth="1" hidden="0"/>
    <col min="8713" max="8713" width="8.09" customWidth="1" hidden="0"/>
    <col min="8714" max="8714" width="7.24" customWidth="1" hidden="0"/>
    <col min="8715" max="8715" width="4.91" customWidth="1" hidden="0"/>
    <col min="8716" max="8716" width="8.09" customWidth="1" hidden="0"/>
    <col min="8717" max="8717" width="4.91" customWidth="1" hidden="0"/>
    <col min="8718" max="8718" width="13.61" customWidth="1" hidden="0"/>
    <col min="8719" max="8719" width="20.97" customWidth="1" hidden="0"/>
    <col min="8720" max="8720" width="4.54" customWidth="1" hidden="0"/>
    <col min="8721" max="8722" width="8.09" customWidth="1" hidden="0"/>
    <col min="8723" max="8723" width="12.27" customWidth="1" hidden="0"/>
    <col min="8724" max="8724" width="9.57" customWidth="1" hidden="0"/>
    <col min="8725" max="8725" width="8.09" customWidth="1" hidden="0"/>
    <col min="8726" max="8726" width="15.45" customWidth="1" hidden="0"/>
    <col min="8727" max="8727" width="8.09" customWidth="1" hidden="0"/>
    <col min="8728" max="8728" width="13.25" customWidth="1" hidden="0"/>
    <col min="8729" max="8729" width="8.09" customWidth="1" hidden="0"/>
    <col min="8730" max="8730" width="13.98" customWidth="1" hidden="0"/>
    <col min="8731" max="8961" width="8.09" customWidth="1" hidden="0"/>
    <col min="8962" max="8962" width="6.01" customWidth="1" hidden="0"/>
    <col min="8963" max="8964" width="8.09" customWidth="1" hidden="0"/>
    <col min="8965" max="8965" width="8.59" customWidth="1" hidden="0"/>
    <col min="8966" max="8966" width="4.91" customWidth="1" hidden="0"/>
    <col min="8967" max="8967" width="6.01" customWidth="1" hidden="0"/>
    <col min="8968" max="8968" width="8.71" customWidth="1" hidden="0"/>
    <col min="8969" max="8969" width="8.09" customWidth="1" hidden="0"/>
    <col min="8970" max="8970" width="7.24" customWidth="1" hidden="0"/>
    <col min="8971" max="8971" width="4.91" customWidth="1" hidden="0"/>
    <col min="8972" max="8972" width="8.09" customWidth="1" hidden="0"/>
    <col min="8973" max="8973" width="4.91" customWidth="1" hidden="0"/>
    <col min="8974" max="8974" width="13.61" customWidth="1" hidden="0"/>
    <col min="8975" max="8975" width="20.97" customWidth="1" hidden="0"/>
    <col min="8976" max="8976" width="4.54" customWidth="1" hidden="0"/>
    <col min="8977" max="8978" width="8.09" customWidth="1" hidden="0"/>
    <col min="8979" max="8979" width="12.27" customWidth="1" hidden="0"/>
    <col min="8980" max="8980" width="9.57" customWidth="1" hidden="0"/>
    <col min="8981" max="8981" width="8.09" customWidth="1" hidden="0"/>
    <col min="8982" max="8982" width="15.45" customWidth="1" hidden="0"/>
    <col min="8983" max="8983" width="8.09" customWidth="1" hidden="0"/>
    <col min="8984" max="8984" width="13.25" customWidth="1" hidden="0"/>
    <col min="8985" max="8985" width="8.09" customWidth="1" hidden="0"/>
    <col min="8986" max="8986" width="13.98" customWidth="1" hidden="0"/>
    <col min="8987" max="9217" width="8.09" customWidth="1" hidden="0"/>
    <col min="9218" max="9218" width="6.01" customWidth="1" hidden="0"/>
    <col min="9219" max="9220" width="8.09" customWidth="1" hidden="0"/>
    <col min="9221" max="9221" width="8.59" customWidth="1" hidden="0"/>
    <col min="9222" max="9222" width="4.91" customWidth="1" hidden="0"/>
    <col min="9223" max="9223" width="6.01" customWidth="1" hidden="0"/>
    <col min="9224" max="9224" width="8.71" customWidth="1" hidden="0"/>
    <col min="9225" max="9225" width="8.09" customWidth="1" hidden="0"/>
    <col min="9226" max="9226" width="7.24" customWidth="1" hidden="0"/>
    <col min="9227" max="9227" width="4.91" customWidth="1" hidden="0"/>
    <col min="9228" max="9228" width="8.09" customWidth="1" hidden="0"/>
    <col min="9229" max="9229" width="4.91" customWidth="1" hidden="0"/>
    <col min="9230" max="9230" width="13.61" customWidth="1" hidden="0"/>
    <col min="9231" max="9231" width="20.97" customWidth="1" hidden="0"/>
    <col min="9232" max="9232" width="4.54" customWidth="1" hidden="0"/>
    <col min="9233" max="9234" width="8.09" customWidth="1" hidden="0"/>
    <col min="9235" max="9235" width="12.27" customWidth="1" hidden="0"/>
    <col min="9236" max="9236" width="9.57" customWidth="1" hidden="0"/>
    <col min="9237" max="9237" width="8.09" customWidth="1" hidden="0"/>
    <col min="9238" max="9238" width="15.45" customWidth="1" hidden="0"/>
    <col min="9239" max="9239" width="8.09" customWidth="1" hidden="0"/>
    <col min="9240" max="9240" width="13.25" customWidth="1" hidden="0"/>
    <col min="9241" max="9241" width="8.09" customWidth="1" hidden="0"/>
    <col min="9242" max="9242" width="13.98" customWidth="1" hidden="0"/>
    <col min="9243" max="9473" width="8.09" customWidth="1" hidden="0"/>
    <col min="9474" max="9474" width="6.01" customWidth="1" hidden="0"/>
    <col min="9475" max="9476" width="8.09" customWidth="1" hidden="0"/>
    <col min="9477" max="9477" width="8.59" customWidth="1" hidden="0"/>
    <col min="9478" max="9478" width="4.91" customWidth="1" hidden="0"/>
    <col min="9479" max="9479" width="6.01" customWidth="1" hidden="0"/>
    <col min="9480" max="9480" width="8.71" customWidth="1" hidden="0"/>
    <col min="9481" max="9481" width="8.09" customWidth="1" hidden="0"/>
    <col min="9482" max="9482" width="7.24" customWidth="1" hidden="0"/>
    <col min="9483" max="9483" width="4.91" customWidth="1" hidden="0"/>
    <col min="9484" max="9484" width="8.09" customWidth="1" hidden="0"/>
    <col min="9485" max="9485" width="4.91" customWidth="1" hidden="0"/>
    <col min="9486" max="9486" width="13.61" customWidth="1" hidden="0"/>
    <col min="9487" max="9487" width="20.97" customWidth="1" hidden="0"/>
    <col min="9488" max="9488" width="4.54" customWidth="1" hidden="0"/>
    <col min="9489" max="9490" width="8.09" customWidth="1" hidden="0"/>
    <col min="9491" max="9491" width="12.27" customWidth="1" hidden="0"/>
    <col min="9492" max="9492" width="9.57" customWidth="1" hidden="0"/>
    <col min="9493" max="9493" width="8.09" customWidth="1" hidden="0"/>
    <col min="9494" max="9494" width="15.45" customWidth="1" hidden="0"/>
    <col min="9495" max="9495" width="8.09" customWidth="1" hidden="0"/>
    <col min="9496" max="9496" width="13.25" customWidth="1" hidden="0"/>
    <col min="9497" max="9497" width="8.09" customWidth="1" hidden="0"/>
    <col min="9498" max="9498" width="13.98" customWidth="1" hidden="0"/>
    <col min="9499" max="9729" width="8.09" customWidth="1" hidden="0"/>
    <col min="9730" max="9730" width="6.01" customWidth="1" hidden="0"/>
    <col min="9731" max="9732" width="8.09" customWidth="1" hidden="0"/>
    <col min="9733" max="9733" width="8.59" customWidth="1" hidden="0"/>
    <col min="9734" max="9734" width="4.91" customWidth="1" hidden="0"/>
    <col min="9735" max="9735" width="6.01" customWidth="1" hidden="0"/>
    <col min="9736" max="9736" width="8.71" customWidth="1" hidden="0"/>
    <col min="9737" max="9737" width="8.09" customWidth="1" hidden="0"/>
    <col min="9738" max="9738" width="7.24" customWidth="1" hidden="0"/>
    <col min="9739" max="9739" width="4.91" customWidth="1" hidden="0"/>
    <col min="9740" max="9740" width="8.09" customWidth="1" hidden="0"/>
    <col min="9741" max="9741" width="4.91" customWidth="1" hidden="0"/>
    <col min="9742" max="9742" width="13.61" customWidth="1" hidden="0"/>
    <col min="9743" max="9743" width="20.97" customWidth="1" hidden="0"/>
    <col min="9744" max="9744" width="4.54" customWidth="1" hidden="0"/>
    <col min="9745" max="9746" width="8.09" customWidth="1" hidden="0"/>
    <col min="9747" max="9747" width="12.27" customWidth="1" hidden="0"/>
    <col min="9748" max="9748" width="9.57" customWidth="1" hidden="0"/>
    <col min="9749" max="9749" width="8.09" customWidth="1" hidden="0"/>
    <col min="9750" max="9750" width="15.45" customWidth="1" hidden="0"/>
    <col min="9751" max="9751" width="8.09" customWidth="1" hidden="0"/>
    <col min="9752" max="9752" width="13.25" customWidth="1" hidden="0"/>
    <col min="9753" max="9753" width="8.09" customWidth="1" hidden="0"/>
    <col min="9754" max="9754" width="13.98" customWidth="1" hidden="0"/>
    <col min="9755" max="9985" width="8.09" customWidth="1" hidden="0"/>
    <col min="9986" max="9986" width="6.01" customWidth="1" hidden="0"/>
    <col min="9987" max="9988" width="8.09" customWidth="1" hidden="0"/>
    <col min="9989" max="9989" width="8.59" customWidth="1" hidden="0"/>
    <col min="9990" max="9990" width="4.91" customWidth="1" hidden="0"/>
    <col min="9991" max="9991" width="6.01" customWidth="1" hidden="0"/>
    <col min="9992" max="9992" width="8.71" customWidth="1" hidden="0"/>
    <col min="9993" max="9993" width="8.09" customWidth="1" hidden="0"/>
    <col min="9994" max="9994" width="7.24" customWidth="1" hidden="0"/>
    <col min="9995" max="9995" width="4.91" customWidth="1" hidden="0"/>
    <col min="9996" max="9996" width="8.09" customWidth="1" hidden="0"/>
    <col min="9997" max="9997" width="4.91" customWidth="1" hidden="0"/>
    <col min="9998" max="9998" width="13.61" customWidth="1" hidden="0"/>
    <col min="9999" max="9999" width="20.97" customWidth="1" hidden="0"/>
    <col min="10000" max="10000" width="4.54" customWidth="1" hidden="0"/>
    <col min="10001" max="10002" width="8.09" customWidth="1" hidden="0"/>
    <col min="10003" max="10003" width="12.27" customWidth="1" hidden="0"/>
    <col min="10004" max="10004" width="9.57" customWidth="1" hidden="0"/>
    <col min="10005" max="10005" width="8.09" customWidth="1" hidden="0"/>
    <col min="10006" max="10006" width="15.45" customWidth="1" hidden="0"/>
    <col min="10007" max="10007" width="8.09" customWidth="1" hidden="0"/>
    <col min="10008" max="10008" width="13.25" customWidth="1" hidden="0"/>
    <col min="10009" max="10009" width="8.09" customWidth="1" hidden="0"/>
    <col min="10010" max="10010" width="13.98" customWidth="1" hidden="0"/>
    <col min="10011" max="10241" width="8.09" customWidth="1" hidden="0"/>
    <col min="10242" max="10242" width="6.01" customWidth="1" hidden="0"/>
    <col min="10243" max="10244" width="8.09" customWidth="1" hidden="0"/>
    <col min="10245" max="10245" width="8.59" customWidth="1" hidden="0"/>
    <col min="10246" max="10246" width="4.91" customWidth="1" hidden="0"/>
    <col min="10247" max="10247" width="6.01" customWidth="1" hidden="0"/>
    <col min="10248" max="10248" width="8.71" customWidth="1" hidden="0"/>
    <col min="10249" max="10249" width="8.09" customWidth="1" hidden="0"/>
    <col min="10250" max="10250" width="7.24" customWidth="1" hidden="0"/>
    <col min="10251" max="10251" width="4.91" customWidth="1" hidden="0"/>
    <col min="10252" max="10252" width="8.09" customWidth="1" hidden="0"/>
    <col min="10253" max="10253" width="4.91" customWidth="1" hidden="0"/>
    <col min="10254" max="10254" width="13.61" customWidth="1" hidden="0"/>
    <col min="10255" max="10255" width="20.97" customWidth="1" hidden="0"/>
    <col min="10256" max="10256" width="4.54" customWidth="1" hidden="0"/>
    <col min="10257" max="10258" width="8.09" customWidth="1" hidden="0"/>
    <col min="10259" max="10259" width="12.27" customWidth="1" hidden="0"/>
    <col min="10260" max="10260" width="9.57" customWidth="1" hidden="0"/>
    <col min="10261" max="10261" width="8.09" customWidth="1" hidden="0"/>
    <col min="10262" max="10262" width="15.45" customWidth="1" hidden="0"/>
    <col min="10263" max="10263" width="8.09" customWidth="1" hidden="0"/>
    <col min="10264" max="10264" width="13.25" customWidth="1" hidden="0"/>
    <col min="10265" max="10265" width="8.09" customWidth="1" hidden="0"/>
    <col min="10266" max="10266" width="13.98" customWidth="1" hidden="0"/>
    <col min="10267" max="10497" width="8.09" customWidth="1" hidden="0"/>
    <col min="10498" max="10498" width="6.01" customWidth="1" hidden="0"/>
    <col min="10499" max="10500" width="8.09" customWidth="1" hidden="0"/>
    <col min="10501" max="10501" width="8.59" customWidth="1" hidden="0"/>
    <col min="10502" max="10502" width="4.91" customWidth="1" hidden="0"/>
    <col min="10503" max="10503" width="6.01" customWidth="1" hidden="0"/>
    <col min="10504" max="10504" width="8.71" customWidth="1" hidden="0"/>
    <col min="10505" max="10505" width="8.09" customWidth="1" hidden="0"/>
    <col min="10506" max="10506" width="7.24" customWidth="1" hidden="0"/>
    <col min="10507" max="10507" width="4.91" customWidth="1" hidden="0"/>
    <col min="10508" max="10508" width="8.09" customWidth="1" hidden="0"/>
    <col min="10509" max="10509" width="4.91" customWidth="1" hidden="0"/>
    <col min="10510" max="10510" width="13.61" customWidth="1" hidden="0"/>
    <col min="10511" max="10511" width="20.97" customWidth="1" hidden="0"/>
    <col min="10512" max="10512" width="4.54" customWidth="1" hidden="0"/>
    <col min="10513" max="10514" width="8.09" customWidth="1" hidden="0"/>
    <col min="10515" max="10515" width="12.27" customWidth="1" hidden="0"/>
    <col min="10516" max="10516" width="9.57" customWidth="1" hidden="0"/>
    <col min="10517" max="10517" width="8.09" customWidth="1" hidden="0"/>
    <col min="10518" max="10518" width="15.45" customWidth="1" hidden="0"/>
    <col min="10519" max="10519" width="8.09" customWidth="1" hidden="0"/>
    <col min="10520" max="10520" width="13.25" customWidth="1" hidden="0"/>
    <col min="10521" max="10521" width="8.09" customWidth="1" hidden="0"/>
    <col min="10522" max="10522" width="13.98" customWidth="1" hidden="0"/>
    <col min="10523" max="10753" width="8.09" customWidth="1" hidden="0"/>
    <col min="10754" max="10754" width="6.01" customWidth="1" hidden="0"/>
    <col min="10755" max="10756" width="8.09" customWidth="1" hidden="0"/>
    <col min="10757" max="10757" width="8.59" customWidth="1" hidden="0"/>
    <col min="10758" max="10758" width="4.91" customWidth="1" hidden="0"/>
    <col min="10759" max="10759" width="6.01" customWidth="1" hidden="0"/>
    <col min="10760" max="10760" width="8.71" customWidth="1" hidden="0"/>
    <col min="10761" max="10761" width="8.09" customWidth="1" hidden="0"/>
    <col min="10762" max="10762" width="7.24" customWidth="1" hidden="0"/>
    <col min="10763" max="10763" width="4.91" customWidth="1" hidden="0"/>
    <col min="10764" max="10764" width="8.09" customWidth="1" hidden="0"/>
    <col min="10765" max="10765" width="4.91" customWidth="1" hidden="0"/>
    <col min="10766" max="10766" width="13.61" customWidth="1" hidden="0"/>
    <col min="10767" max="10767" width="20.97" customWidth="1" hidden="0"/>
    <col min="10768" max="10768" width="4.54" customWidth="1" hidden="0"/>
    <col min="10769" max="10770" width="8.09" customWidth="1" hidden="0"/>
    <col min="10771" max="10771" width="12.27" customWidth="1" hidden="0"/>
    <col min="10772" max="10772" width="9.57" customWidth="1" hidden="0"/>
    <col min="10773" max="10773" width="8.09" customWidth="1" hidden="0"/>
    <col min="10774" max="10774" width="15.45" customWidth="1" hidden="0"/>
    <col min="10775" max="10775" width="8.09" customWidth="1" hidden="0"/>
    <col min="10776" max="10776" width="13.25" customWidth="1" hidden="0"/>
    <col min="10777" max="10777" width="8.09" customWidth="1" hidden="0"/>
    <col min="10778" max="10778" width="13.98" customWidth="1" hidden="0"/>
    <col min="10779" max="11009" width="8.09" customWidth="1" hidden="0"/>
    <col min="11010" max="11010" width="6.01" customWidth="1" hidden="0"/>
    <col min="11011" max="11012" width="8.09" customWidth="1" hidden="0"/>
    <col min="11013" max="11013" width="8.59" customWidth="1" hidden="0"/>
    <col min="11014" max="11014" width="4.91" customWidth="1" hidden="0"/>
    <col min="11015" max="11015" width="6.01" customWidth="1" hidden="0"/>
    <col min="11016" max="11016" width="8.71" customWidth="1" hidden="0"/>
    <col min="11017" max="11017" width="8.09" customWidth="1" hidden="0"/>
    <col min="11018" max="11018" width="7.24" customWidth="1" hidden="0"/>
    <col min="11019" max="11019" width="4.91" customWidth="1" hidden="0"/>
    <col min="11020" max="11020" width="8.09" customWidth="1" hidden="0"/>
    <col min="11021" max="11021" width="4.91" customWidth="1" hidden="0"/>
    <col min="11022" max="11022" width="13.61" customWidth="1" hidden="0"/>
    <col min="11023" max="11023" width="20.97" customWidth="1" hidden="0"/>
    <col min="11024" max="11024" width="4.54" customWidth="1" hidden="0"/>
    <col min="11025" max="11026" width="8.09" customWidth="1" hidden="0"/>
    <col min="11027" max="11027" width="12.27" customWidth="1" hidden="0"/>
    <col min="11028" max="11028" width="9.57" customWidth="1" hidden="0"/>
    <col min="11029" max="11029" width="8.09" customWidth="1" hidden="0"/>
    <col min="11030" max="11030" width="15.45" customWidth="1" hidden="0"/>
    <col min="11031" max="11031" width="8.09" customWidth="1" hidden="0"/>
    <col min="11032" max="11032" width="13.25" customWidth="1" hidden="0"/>
    <col min="11033" max="11033" width="8.09" customWidth="1" hidden="0"/>
    <col min="11034" max="11034" width="13.98" customWidth="1" hidden="0"/>
    <col min="11035" max="11265" width="8.09" customWidth="1" hidden="0"/>
    <col min="11266" max="11266" width="6.01" customWidth="1" hidden="0"/>
    <col min="11267" max="11268" width="8.09" customWidth="1" hidden="0"/>
    <col min="11269" max="11269" width="8.59" customWidth="1" hidden="0"/>
    <col min="11270" max="11270" width="4.91" customWidth="1" hidden="0"/>
    <col min="11271" max="11271" width="6.01" customWidth="1" hidden="0"/>
    <col min="11272" max="11272" width="8.71" customWidth="1" hidden="0"/>
    <col min="11273" max="11273" width="8.09" customWidth="1" hidden="0"/>
    <col min="11274" max="11274" width="7.24" customWidth="1" hidden="0"/>
    <col min="11275" max="11275" width="4.91" customWidth="1" hidden="0"/>
    <col min="11276" max="11276" width="8.09" customWidth="1" hidden="0"/>
    <col min="11277" max="11277" width="4.91" customWidth="1" hidden="0"/>
    <col min="11278" max="11278" width="13.61" customWidth="1" hidden="0"/>
    <col min="11279" max="11279" width="20.97" customWidth="1" hidden="0"/>
    <col min="11280" max="11280" width="4.54" customWidth="1" hidden="0"/>
    <col min="11281" max="11282" width="8.09" customWidth="1" hidden="0"/>
    <col min="11283" max="11283" width="12.27" customWidth="1" hidden="0"/>
    <col min="11284" max="11284" width="9.57" customWidth="1" hidden="0"/>
    <col min="11285" max="11285" width="8.09" customWidth="1" hidden="0"/>
    <col min="11286" max="11286" width="15.45" customWidth="1" hidden="0"/>
    <col min="11287" max="11287" width="8.09" customWidth="1" hidden="0"/>
    <col min="11288" max="11288" width="13.25" customWidth="1" hidden="0"/>
    <col min="11289" max="11289" width="8.09" customWidth="1" hidden="0"/>
    <col min="11290" max="11290" width="13.98" customWidth="1" hidden="0"/>
    <col min="11291" max="11521" width="8.09" customWidth="1" hidden="0"/>
    <col min="11522" max="11522" width="6.01" customWidth="1" hidden="0"/>
    <col min="11523" max="11524" width="8.09" customWidth="1" hidden="0"/>
    <col min="11525" max="11525" width="8.59" customWidth="1" hidden="0"/>
    <col min="11526" max="11526" width="4.91" customWidth="1" hidden="0"/>
    <col min="11527" max="11527" width="6.01" customWidth="1" hidden="0"/>
    <col min="11528" max="11528" width="8.71" customWidth="1" hidden="0"/>
    <col min="11529" max="11529" width="8.09" customWidth="1" hidden="0"/>
    <col min="11530" max="11530" width="7.24" customWidth="1" hidden="0"/>
    <col min="11531" max="11531" width="4.91" customWidth="1" hidden="0"/>
    <col min="11532" max="11532" width="8.09" customWidth="1" hidden="0"/>
    <col min="11533" max="11533" width="4.91" customWidth="1" hidden="0"/>
    <col min="11534" max="11534" width="13.61" customWidth="1" hidden="0"/>
    <col min="11535" max="11535" width="20.97" customWidth="1" hidden="0"/>
    <col min="11536" max="11536" width="4.54" customWidth="1" hidden="0"/>
    <col min="11537" max="11538" width="8.09" customWidth="1" hidden="0"/>
    <col min="11539" max="11539" width="12.27" customWidth="1" hidden="0"/>
    <col min="11540" max="11540" width="9.57" customWidth="1" hidden="0"/>
    <col min="11541" max="11541" width="8.09" customWidth="1" hidden="0"/>
    <col min="11542" max="11542" width="15.45" customWidth="1" hidden="0"/>
    <col min="11543" max="11543" width="8.09" customWidth="1" hidden="0"/>
    <col min="11544" max="11544" width="13.25" customWidth="1" hidden="0"/>
    <col min="11545" max="11545" width="8.09" customWidth="1" hidden="0"/>
    <col min="11546" max="11546" width="13.98" customWidth="1" hidden="0"/>
    <col min="11547" max="11777" width="8.09" customWidth="1" hidden="0"/>
    <col min="11778" max="11778" width="6.01" customWidth="1" hidden="0"/>
    <col min="11779" max="11780" width="8.09" customWidth="1" hidden="0"/>
    <col min="11781" max="11781" width="8.59" customWidth="1" hidden="0"/>
    <col min="11782" max="11782" width="4.91" customWidth="1" hidden="0"/>
    <col min="11783" max="11783" width="6.01" customWidth="1" hidden="0"/>
    <col min="11784" max="11784" width="8.71" customWidth="1" hidden="0"/>
    <col min="11785" max="11785" width="8.09" customWidth="1" hidden="0"/>
    <col min="11786" max="11786" width="7.24" customWidth="1" hidden="0"/>
    <col min="11787" max="11787" width="4.91" customWidth="1" hidden="0"/>
    <col min="11788" max="11788" width="8.09" customWidth="1" hidden="0"/>
    <col min="11789" max="11789" width="4.91" customWidth="1" hidden="0"/>
    <col min="11790" max="11790" width="13.61" customWidth="1" hidden="0"/>
    <col min="11791" max="11791" width="20.97" customWidth="1" hidden="0"/>
    <col min="11792" max="11792" width="4.54" customWidth="1" hidden="0"/>
    <col min="11793" max="11794" width="8.09" customWidth="1" hidden="0"/>
    <col min="11795" max="11795" width="12.27" customWidth="1" hidden="0"/>
    <col min="11796" max="11796" width="9.57" customWidth="1" hidden="0"/>
    <col min="11797" max="11797" width="8.09" customWidth="1" hidden="0"/>
    <col min="11798" max="11798" width="15.45" customWidth="1" hidden="0"/>
    <col min="11799" max="11799" width="8.09" customWidth="1" hidden="0"/>
    <col min="11800" max="11800" width="13.25" customWidth="1" hidden="0"/>
    <col min="11801" max="11801" width="8.09" customWidth="1" hidden="0"/>
    <col min="11802" max="11802" width="13.98" customWidth="1" hidden="0"/>
    <col min="11803" max="12033" width="8.09" customWidth="1" hidden="0"/>
    <col min="12034" max="12034" width="6.01" customWidth="1" hidden="0"/>
    <col min="12035" max="12036" width="8.09" customWidth="1" hidden="0"/>
    <col min="12037" max="12037" width="8.59" customWidth="1" hidden="0"/>
    <col min="12038" max="12038" width="4.91" customWidth="1" hidden="0"/>
    <col min="12039" max="12039" width="6.01" customWidth="1" hidden="0"/>
    <col min="12040" max="12040" width="8.71" customWidth="1" hidden="0"/>
    <col min="12041" max="12041" width="8.09" customWidth="1" hidden="0"/>
    <col min="12042" max="12042" width="7.24" customWidth="1" hidden="0"/>
    <col min="12043" max="12043" width="4.91" customWidth="1" hidden="0"/>
    <col min="12044" max="12044" width="8.09" customWidth="1" hidden="0"/>
    <col min="12045" max="12045" width="4.91" customWidth="1" hidden="0"/>
    <col min="12046" max="12046" width="13.61" customWidth="1" hidden="0"/>
    <col min="12047" max="12047" width="20.97" customWidth="1" hidden="0"/>
    <col min="12048" max="12048" width="4.54" customWidth="1" hidden="0"/>
    <col min="12049" max="12050" width="8.09" customWidth="1" hidden="0"/>
    <col min="12051" max="12051" width="12.27" customWidth="1" hidden="0"/>
    <col min="12052" max="12052" width="9.57" customWidth="1" hidden="0"/>
    <col min="12053" max="12053" width="8.09" customWidth="1" hidden="0"/>
    <col min="12054" max="12054" width="15.45" customWidth="1" hidden="0"/>
    <col min="12055" max="12055" width="8.09" customWidth="1" hidden="0"/>
    <col min="12056" max="12056" width="13.25" customWidth="1" hidden="0"/>
    <col min="12057" max="12057" width="8.09" customWidth="1" hidden="0"/>
    <col min="12058" max="12058" width="13.98" customWidth="1" hidden="0"/>
    <col min="12059" max="12289" width="8.09" customWidth="1" hidden="0"/>
    <col min="12290" max="12290" width="6.01" customWidth="1" hidden="0"/>
    <col min="12291" max="12292" width="8.09" customWidth="1" hidden="0"/>
    <col min="12293" max="12293" width="8.59" customWidth="1" hidden="0"/>
    <col min="12294" max="12294" width="4.91" customWidth="1" hidden="0"/>
    <col min="12295" max="12295" width="6.01" customWidth="1" hidden="0"/>
    <col min="12296" max="12296" width="8.71" customWidth="1" hidden="0"/>
    <col min="12297" max="12297" width="8.09" customWidth="1" hidden="0"/>
    <col min="12298" max="12298" width="7.24" customWidth="1" hidden="0"/>
    <col min="12299" max="12299" width="4.91" customWidth="1" hidden="0"/>
    <col min="12300" max="12300" width="8.09" customWidth="1" hidden="0"/>
    <col min="12301" max="12301" width="4.91" customWidth="1" hidden="0"/>
    <col min="12302" max="12302" width="13.61" customWidth="1" hidden="0"/>
    <col min="12303" max="12303" width="20.97" customWidth="1" hidden="0"/>
    <col min="12304" max="12304" width="4.54" customWidth="1" hidden="0"/>
    <col min="12305" max="12306" width="8.09" customWidth="1" hidden="0"/>
    <col min="12307" max="12307" width="12.27" customWidth="1" hidden="0"/>
    <col min="12308" max="12308" width="9.57" customWidth="1" hidden="0"/>
    <col min="12309" max="12309" width="8.09" customWidth="1" hidden="0"/>
    <col min="12310" max="12310" width="15.45" customWidth="1" hidden="0"/>
    <col min="12311" max="12311" width="8.09" customWidth="1" hidden="0"/>
    <col min="12312" max="12312" width="13.25" customWidth="1" hidden="0"/>
    <col min="12313" max="12313" width="8.09" customWidth="1" hidden="0"/>
    <col min="12314" max="12314" width="13.98" customWidth="1" hidden="0"/>
    <col min="12315" max="12545" width="8.09" customWidth="1" hidden="0"/>
    <col min="12546" max="12546" width="6.01" customWidth="1" hidden="0"/>
    <col min="12547" max="12548" width="8.09" customWidth="1" hidden="0"/>
    <col min="12549" max="12549" width="8.59" customWidth="1" hidden="0"/>
    <col min="12550" max="12550" width="4.91" customWidth="1" hidden="0"/>
    <col min="12551" max="12551" width="6.01" customWidth="1" hidden="0"/>
    <col min="12552" max="12552" width="8.71" customWidth="1" hidden="0"/>
    <col min="12553" max="12553" width="8.09" customWidth="1" hidden="0"/>
    <col min="12554" max="12554" width="7.24" customWidth="1" hidden="0"/>
    <col min="12555" max="12555" width="4.91" customWidth="1" hidden="0"/>
    <col min="12556" max="12556" width="8.09" customWidth="1" hidden="0"/>
    <col min="12557" max="12557" width="4.91" customWidth="1" hidden="0"/>
    <col min="12558" max="12558" width="13.61" customWidth="1" hidden="0"/>
    <col min="12559" max="12559" width="20.97" customWidth="1" hidden="0"/>
    <col min="12560" max="12560" width="4.54" customWidth="1" hidden="0"/>
    <col min="12561" max="12562" width="8.09" customWidth="1" hidden="0"/>
    <col min="12563" max="12563" width="12.27" customWidth="1" hidden="0"/>
    <col min="12564" max="12564" width="9.57" customWidth="1" hidden="0"/>
    <col min="12565" max="12565" width="8.09" customWidth="1" hidden="0"/>
    <col min="12566" max="12566" width="15.45" customWidth="1" hidden="0"/>
    <col min="12567" max="12567" width="8.09" customWidth="1" hidden="0"/>
    <col min="12568" max="12568" width="13.25" customWidth="1" hidden="0"/>
    <col min="12569" max="12569" width="8.09" customWidth="1" hidden="0"/>
    <col min="12570" max="12570" width="13.98" customWidth="1" hidden="0"/>
    <col min="12571" max="12801" width="8.09" customWidth="1" hidden="0"/>
    <col min="12802" max="12802" width="6.01" customWidth="1" hidden="0"/>
    <col min="12803" max="12804" width="8.09" customWidth="1" hidden="0"/>
    <col min="12805" max="12805" width="8.59" customWidth="1" hidden="0"/>
    <col min="12806" max="12806" width="4.91" customWidth="1" hidden="0"/>
    <col min="12807" max="12807" width="6.01" customWidth="1" hidden="0"/>
    <col min="12808" max="12808" width="8.71" customWidth="1" hidden="0"/>
    <col min="12809" max="12809" width="8.09" customWidth="1" hidden="0"/>
    <col min="12810" max="12810" width="7.24" customWidth="1" hidden="0"/>
    <col min="12811" max="12811" width="4.91" customWidth="1" hidden="0"/>
    <col min="12812" max="12812" width="8.09" customWidth="1" hidden="0"/>
    <col min="12813" max="12813" width="4.91" customWidth="1" hidden="0"/>
    <col min="12814" max="12814" width="13.61" customWidth="1" hidden="0"/>
    <col min="12815" max="12815" width="20.97" customWidth="1" hidden="0"/>
    <col min="12816" max="12816" width="4.54" customWidth="1" hidden="0"/>
    <col min="12817" max="12818" width="8.09" customWidth="1" hidden="0"/>
    <col min="12819" max="12819" width="12.27" customWidth="1" hidden="0"/>
    <col min="12820" max="12820" width="9.57" customWidth="1" hidden="0"/>
    <col min="12821" max="12821" width="8.09" customWidth="1" hidden="0"/>
    <col min="12822" max="12822" width="15.45" customWidth="1" hidden="0"/>
    <col min="12823" max="12823" width="8.09" customWidth="1" hidden="0"/>
    <col min="12824" max="12824" width="13.25" customWidth="1" hidden="0"/>
    <col min="12825" max="12825" width="8.09" customWidth="1" hidden="0"/>
    <col min="12826" max="12826" width="13.98" customWidth="1" hidden="0"/>
    <col min="12827" max="13057" width="8.09" customWidth="1" hidden="0"/>
    <col min="13058" max="13058" width="6.01" customWidth="1" hidden="0"/>
    <col min="13059" max="13060" width="8.09" customWidth="1" hidden="0"/>
    <col min="13061" max="13061" width="8.59" customWidth="1" hidden="0"/>
    <col min="13062" max="13062" width="4.91" customWidth="1" hidden="0"/>
    <col min="13063" max="13063" width="6.01" customWidth="1" hidden="0"/>
    <col min="13064" max="13064" width="8.71" customWidth="1" hidden="0"/>
    <col min="13065" max="13065" width="8.09" customWidth="1" hidden="0"/>
    <col min="13066" max="13066" width="7.24" customWidth="1" hidden="0"/>
    <col min="13067" max="13067" width="4.91" customWidth="1" hidden="0"/>
    <col min="13068" max="13068" width="8.09" customWidth="1" hidden="0"/>
    <col min="13069" max="13069" width="4.91" customWidth="1" hidden="0"/>
    <col min="13070" max="13070" width="13.61" customWidth="1" hidden="0"/>
    <col min="13071" max="13071" width="20.97" customWidth="1" hidden="0"/>
    <col min="13072" max="13072" width="4.54" customWidth="1" hidden="0"/>
    <col min="13073" max="13074" width="8.09" customWidth="1" hidden="0"/>
    <col min="13075" max="13075" width="12.27" customWidth="1" hidden="0"/>
    <col min="13076" max="13076" width="9.57" customWidth="1" hidden="0"/>
    <col min="13077" max="13077" width="8.09" customWidth="1" hidden="0"/>
    <col min="13078" max="13078" width="15.45" customWidth="1" hidden="0"/>
    <col min="13079" max="13079" width="8.09" customWidth="1" hidden="0"/>
    <col min="13080" max="13080" width="13.25" customWidth="1" hidden="0"/>
    <col min="13081" max="13081" width="8.09" customWidth="1" hidden="0"/>
    <col min="13082" max="13082" width="13.98" customWidth="1" hidden="0"/>
    <col min="13083" max="13313" width="8.09" customWidth="1" hidden="0"/>
    <col min="13314" max="13314" width="6.01" customWidth="1" hidden="0"/>
    <col min="13315" max="13316" width="8.09" customWidth="1" hidden="0"/>
    <col min="13317" max="13317" width="8.59" customWidth="1" hidden="0"/>
    <col min="13318" max="13318" width="4.91" customWidth="1" hidden="0"/>
    <col min="13319" max="13319" width="6.01" customWidth="1" hidden="0"/>
    <col min="13320" max="13320" width="8.71" customWidth="1" hidden="0"/>
    <col min="13321" max="13321" width="8.09" customWidth="1" hidden="0"/>
    <col min="13322" max="13322" width="7.24" customWidth="1" hidden="0"/>
    <col min="13323" max="13323" width="4.91" customWidth="1" hidden="0"/>
    <col min="13324" max="13324" width="8.09" customWidth="1" hidden="0"/>
    <col min="13325" max="13325" width="4.91" customWidth="1" hidden="0"/>
    <col min="13326" max="13326" width="13.61" customWidth="1" hidden="0"/>
    <col min="13327" max="13327" width="20.97" customWidth="1" hidden="0"/>
    <col min="13328" max="13328" width="4.54" customWidth="1" hidden="0"/>
    <col min="13329" max="13330" width="8.09" customWidth="1" hidden="0"/>
    <col min="13331" max="13331" width="12.27" customWidth="1" hidden="0"/>
    <col min="13332" max="13332" width="9.57" customWidth="1" hidden="0"/>
    <col min="13333" max="13333" width="8.09" customWidth="1" hidden="0"/>
    <col min="13334" max="13334" width="15.45" customWidth="1" hidden="0"/>
    <col min="13335" max="13335" width="8.09" customWidth="1" hidden="0"/>
    <col min="13336" max="13336" width="13.25" customWidth="1" hidden="0"/>
    <col min="13337" max="13337" width="8.09" customWidth="1" hidden="0"/>
    <col min="13338" max="13338" width="13.98" customWidth="1" hidden="0"/>
    <col min="13339" max="13569" width="8.09" customWidth="1" hidden="0"/>
    <col min="13570" max="13570" width="6.01" customWidth="1" hidden="0"/>
    <col min="13571" max="13572" width="8.09" customWidth="1" hidden="0"/>
    <col min="13573" max="13573" width="8.59" customWidth="1" hidden="0"/>
    <col min="13574" max="13574" width="4.91" customWidth="1" hidden="0"/>
    <col min="13575" max="13575" width="6.01" customWidth="1" hidden="0"/>
    <col min="13576" max="13576" width="8.71" customWidth="1" hidden="0"/>
    <col min="13577" max="13577" width="8.09" customWidth="1" hidden="0"/>
    <col min="13578" max="13578" width="7.24" customWidth="1" hidden="0"/>
    <col min="13579" max="13579" width="4.91" customWidth="1" hidden="0"/>
    <col min="13580" max="13580" width="8.09" customWidth="1" hidden="0"/>
    <col min="13581" max="13581" width="4.91" customWidth="1" hidden="0"/>
    <col min="13582" max="13582" width="13.61" customWidth="1" hidden="0"/>
    <col min="13583" max="13583" width="20.97" customWidth="1" hidden="0"/>
    <col min="13584" max="13584" width="4.54" customWidth="1" hidden="0"/>
    <col min="13585" max="13586" width="8.09" customWidth="1" hidden="0"/>
    <col min="13587" max="13587" width="12.27" customWidth="1" hidden="0"/>
    <col min="13588" max="13588" width="9.57" customWidth="1" hidden="0"/>
    <col min="13589" max="13589" width="8.09" customWidth="1" hidden="0"/>
    <col min="13590" max="13590" width="15.45" customWidth="1" hidden="0"/>
    <col min="13591" max="13591" width="8.09" customWidth="1" hidden="0"/>
    <col min="13592" max="13592" width="13.25" customWidth="1" hidden="0"/>
    <col min="13593" max="13593" width="8.09" customWidth="1" hidden="0"/>
    <col min="13594" max="13594" width="13.98" customWidth="1" hidden="0"/>
    <col min="13595" max="13825" width="8.09" customWidth="1" hidden="0"/>
    <col min="13826" max="13826" width="6.01" customWidth="1" hidden="0"/>
    <col min="13827" max="13828" width="8.09" customWidth="1" hidden="0"/>
    <col min="13829" max="13829" width="8.59" customWidth="1" hidden="0"/>
    <col min="13830" max="13830" width="4.91" customWidth="1" hidden="0"/>
    <col min="13831" max="13831" width="6.01" customWidth="1" hidden="0"/>
    <col min="13832" max="13832" width="8.71" customWidth="1" hidden="0"/>
    <col min="13833" max="13833" width="8.09" customWidth="1" hidden="0"/>
    <col min="13834" max="13834" width="7.24" customWidth="1" hidden="0"/>
    <col min="13835" max="13835" width="4.91" customWidth="1" hidden="0"/>
    <col min="13836" max="13836" width="8.09" customWidth="1" hidden="0"/>
    <col min="13837" max="13837" width="4.91" customWidth="1" hidden="0"/>
    <col min="13838" max="13838" width="13.61" customWidth="1" hidden="0"/>
    <col min="13839" max="13839" width="20.97" customWidth="1" hidden="0"/>
    <col min="13840" max="13840" width="4.54" customWidth="1" hidden="0"/>
    <col min="13841" max="13842" width="8.09" customWidth="1" hidden="0"/>
    <col min="13843" max="13843" width="12.27" customWidth="1" hidden="0"/>
    <col min="13844" max="13844" width="9.57" customWidth="1" hidden="0"/>
    <col min="13845" max="13845" width="8.09" customWidth="1" hidden="0"/>
    <col min="13846" max="13846" width="15.45" customWidth="1" hidden="0"/>
    <col min="13847" max="13847" width="8.09" customWidth="1" hidden="0"/>
    <col min="13848" max="13848" width="13.25" customWidth="1" hidden="0"/>
    <col min="13849" max="13849" width="8.09" customWidth="1" hidden="0"/>
    <col min="13850" max="13850" width="13.98" customWidth="1" hidden="0"/>
    <col min="13851" max="14081" width="8.09" customWidth="1" hidden="0"/>
    <col min="14082" max="14082" width="6.01" customWidth="1" hidden="0"/>
    <col min="14083" max="14084" width="8.09" customWidth="1" hidden="0"/>
    <col min="14085" max="14085" width="8.59" customWidth="1" hidden="0"/>
    <col min="14086" max="14086" width="4.91" customWidth="1" hidden="0"/>
    <col min="14087" max="14087" width="6.01" customWidth="1" hidden="0"/>
    <col min="14088" max="14088" width="8.71" customWidth="1" hidden="0"/>
    <col min="14089" max="14089" width="8.09" customWidth="1" hidden="0"/>
    <col min="14090" max="14090" width="7.24" customWidth="1" hidden="0"/>
    <col min="14091" max="14091" width="4.91" customWidth="1" hidden="0"/>
    <col min="14092" max="14092" width="8.09" customWidth="1" hidden="0"/>
    <col min="14093" max="14093" width="4.91" customWidth="1" hidden="0"/>
    <col min="14094" max="14094" width="13.61" customWidth="1" hidden="0"/>
    <col min="14095" max="14095" width="20.97" customWidth="1" hidden="0"/>
    <col min="14096" max="14096" width="4.54" customWidth="1" hidden="0"/>
    <col min="14097" max="14098" width="8.09" customWidth="1" hidden="0"/>
    <col min="14099" max="14099" width="12.27" customWidth="1" hidden="0"/>
    <col min="14100" max="14100" width="9.57" customWidth="1" hidden="0"/>
    <col min="14101" max="14101" width="8.09" customWidth="1" hidden="0"/>
    <col min="14102" max="14102" width="15.45" customWidth="1" hidden="0"/>
    <col min="14103" max="14103" width="8.09" customWidth="1" hidden="0"/>
    <col min="14104" max="14104" width="13.25" customWidth="1" hidden="0"/>
    <col min="14105" max="14105" width="8.09" customWidth="1" hidden="0"/>
    <col min="14106" max="14106" width="13.98" customWidth="1" hidden="0"/>
    <col min="14107" max="14337" width="8.09" customWidth="1" hidden="0"/>
    <col min="14338" max="14338" width="6.01" customWidth="1" hidden="0"/>
    <col min="14339" max="14340" width="8.09" customWidth="1" hidden="0"/>
    <col min="14341" max="14341" width="8.59" customWidth="1" hidden="0"/>
    <col min="14342" max="14342" width="4.91" customWidth="1" hidden="0"/>
    <col min="14343" max="14343" width="6.01" customWidth="1" hidden="0"/>
    <col min="14344" max="14344" width="8.71" customWidth="1" hidden="0"/>
    <col min="14345" max="14345" width="8.09" customWidth="1" hidden="0"/>
    <col min="14346" max="14346" width="7.24" customWidth="1" hidden="0"/>
    <col min="14347" max="14347" width="4.91" customWidth="1" hidden="0"/>
    <col min="14348" max="14348" width="8.09" customWidth="1" hidden="0"/>
    <col min="14349" max="14349" width="4.91" customWidth="1" hidden="0"/>
    <col min="14350" max="14350" width="13.61" customWidth="1" hidden="0"/>
    <col min="14351" max="14351" width="20.97" customWidth="1" hidden="0"/>
    <col min="14352" max="14352" width="4.54" customWidth="1" hidden="0"/>
    <col min="14353" max="14354" width="8.09" customWidth="1" hidden="0"/>
    <col min="14355" max="14355" width="12.27" customWidth="1" hidden="0"/>
    <col min="14356" max="14356" width="9.57" customWidth="1" hidden="0"/>
    <col min="14357" max="14357" width="8.09" customWidth="1" hidden="0"/>
    <col min="14358" max="14358" width="15.45" customWidth="1" hidden="0"/>
    <col min="14359" max="14359" width="8.09" customWidth="1" hidden="0"/>
    <col min="14360" max="14360" width="13.25" customWidth="1" hidden="0"/>
    <col min="14361" max="14361" width="8.09" customWidth="1" hidden="0"/>
    <col min="14362" max="14362" width="13.98" customWidth="1" hidden="0"/>
    <col min="14363" max="14593" width="8.09" customWidth="1" hidden="0"/>
    <col min="14594" max="14594" width="6.01" customWidth="1" hidden="0"/>
    <col min="14595" max="14596" width="8.09" customWidth="1" hidden="0"/>
    <col min="14597" max="14597" width="8.59" customWidth="1" hidden="0"/>
    <col min="14598" max="14598" width="4.91" customWidth="1" hidden="0"/>
    <col min="14599" max="14599" width="6.01" customWidth="1" hidden="0"/>
    <col min="14600" max="14600" width="8.71" customWidth="1" hidden="0"/>
    <col min="14601" max="14601" width="8.09" customWidth="1" hidden="0"/>
    <col min="14602" max="14602" width="7.24" customWidth="1" hidden="0"/>
    <col min="14603" max="14603" width="4.91" customWidth="1" hidden="0"/>
    <col min="14604" max="14604" width="8.09" customWidth="1" hidden="0"/>
    <col min="14605" max="14605" width="4.91" customWidth="1" hidden="0"/>
    <col min="14606" max="14606" width="13.61" customWidth="1" hidden="0"/>
    <col min="14607" max="14607" width="20.97" customWidth="1" hidden="0"/>
    <col min="14608" max="14608" width="4.54" customWidth="1" hidden="0"/>
    <col min="14609" max="14610" width="8.09" customWidth="1" hidden="0"/>
    <col min="14611" max="14611" width="12.27" customWidth="1" hidden="0"/>
    <col min="14612" max="14612" width="9.57" customWidth="1" hidden="0"/>
    <col min="14613" max="14613" width="8.09" customWidth="1" hidden="0"/>
    <col min="14614" max="14614" width="15.45" customWidth="1" hidden="0"/>
    <col min="14615" max="14615" width="8.09" customWidth="1" hidden="0"/>
    <col min="14616" max="14616" width="13.25" customWidth="1" hidden="0"/>
    <col min="14617" max="14617" width="8.09" customWidth="1" hidden="0"/>
    <col min="14618" max="14618" width="13.98" customWidth="1" hidden="0"/>
    <col min="14619" max="14849" width="8.09" customWidth="1" hidden="0"/>
    <col min="14850" max="14850" width="6.01" customWidth="1" hidden="0"/>
    <col min="14851" max="14852" width="8.09" customWidth="1" hidden="0"/>
    <col min="14853" max="14853" width="8.59" customWidth="1" hidden="0"/>
    <col min="14854" max="14854" width="4.91" customWidth="1" hidden="0"/>
    <col min="14855" max="14855" width="6.01" customWidth="1" hidden="0"/>
    <col min="14856" max="14856" width="8.71" customWidth="1" hidden="0"/>
    <col min="14857" max="14857" width="8.09" customWidth="1" hidden="0"/>
    <col min="14858" max="14858" width="7.24" customWidth="1" hidden="0"/>
    <col min="14859" max="14859" width="4.91" customWidth="1" hidden="0"/>
    <col min="14860" max="14860" width="8.09" customWidth="1" hidden="0"/>
    <col min="14861" max="14861" width="4.91" customWidth="1" hidden="0"/>
    <col min="14862" max="14862" width="13.61" customWidth="1" hidden="0"/>
    <col min="14863" max="14863" width="20.97" customWidth="1" hidden="0"/>
    <col min="14864" max="14864" width="4.54" customWidth="1" hidden="0"/>
    <col min="14865" max="14866" width="8.09" customWidth="1" hidden="0"/>
    <col min="14867" max="14867" width="12.27" customWidth="1" hidden="0"/>
    <col min="14868" max="14868" width="9.57" customWidth="1" hidden="0"/>
    <col min="14869" max="14869" width="8.09" customWidth="1" hidden="0"/>
    <col min="14870" max="14870" width="15.45" customWidth="1" hidden="0"/>
    <col min="14871" max="14871" width="8.09" customWidth="1" hidden="0"/>
    <col min="14872" max="14872" width="13.25" customWidth="1" hidden="0"/>
    <col min="14873" max="14873" width="8.09" customWidth="1" hidden="0"/>
    <col min="14874" max="14874" width="13.98" customWidth="1" hidden="0"/>
    <col min="14875" max="15105" width="8.09" customWidth="1" hidden="0"/>
    <col min="15106" max="15106" width="6.01" customWidth="1" hidden="0"/>
    <col min="15107" max="15108" width="8.09" customWidth="1" hidden="0"/>
    <col min="15109" max="15109" width="8.59" customWidth="1" hidden="0"/>
    <col min="15110" max="15110" width="4.91" customWidth="1" hidden="0"/>
    <col min="15111" max="15111" width="6.01" customWidth="1" hidden="0"/>
    <col min="15112" max="15112" width="8.71" customWidth="1" hidden="0"/>
    <col min="15113" max="15113" width="8.09" customWidth="1" hidden="0"/>
    <col min="15114" max="15114" width="7.24" customWidth="1" hidden="0"/>
    <col min="15115" max="15115" width="4.91" customWidth="1" hidden="0"/>
    <col min="15116" max="15116" width="8.09" customWidth="1" hidden="0"/>
    <col min="15117" max="15117" width="4.91" customWidth="1" hidden="0"/>
    <col min="15118" max="15118" width="13.61" customWidth="1" hidden="0"/>
    <col min="15119" max="15119" width="20.97" customWidth="1" hidden="0"/>
    <col min="15120" max="15120" width="4.54" customWidth="1" hidden="0"/>
    <col min="15121" max="15122" width="8.09" customWidth="1" hidden="0"/>
    <col min="15123" max="15123" width="12.27" customWidth="1" hidden="0"/>
    <col min="15124" max="15124" width="9.57" customWidth="1" hidden="0"/>
    <col min="15125" max="15125" width="8.09" customWidth="1" hidden="0"/>
    <col min="15126" max="15126" width="15.45" customWidth="1" hidden="0"/>
    <col min="15127" max="15127" width="8.09" customWidth="1" hidden="0"/>
    <col min="15128" max="15128" width="13.25" customWidth="1" hidden="0"/>
    <col min="15129" max="15129" width="8.09" customWidth="1" hidden="0"/>
    <col min="15130" max="15130" width="13.98" customWidth="1" hidden="0"/>
    <col min="15131" max="15361" width="8.09" customWidth="1" hidden="0"/>
    <col min="15362" max="15362" width="6.01" customWidth="1" hidden="0"/>
    <col min="15363" max="15364" width="8.09" customWidth="1" hidden="0"/>
    <col min="15365" max="15365" width="8.59" customWidth="1" hidden="0"/>
    <col min="15366" max="15366" width="4.91" customWidth="1" hidden="0"/>
    <col min="15367" max="15367" width="6.01" customWidth="1" hidden="0"/>
    <col min="15368" max="15368" width="8.71" customWidth="1" hidden="0"/>
    <col min="15369" max="15369" width="8.09" customWidth="1" hidden="0"/>
    <col min="15370" max="15370" width="7.24" customWidth="1" hidden="0"/>
    <col min="15371" max="15371" width="4.91" customWidth="1" hidden="0"/>
    <col min="15372" max="15372" width="8.09" customWidth="1" hidden="0"/>
    <col min="15373" max="15373" width="4.91" customWidth="1" hidden="0"/>
    <col min="15374" max="15374" width="13.61" customWidth="1" hidden="0"/>
    <col min="15375" max="15375" width="20.97" customWidth="1" hidden="0"/>
    <col min="15376" max="15376" width="4.54" customWidth="1" hidden="0"/>
    <col min="15377" max="15378" width="8.09" customWidth="1" hidden="0"/>
    <col min="15379" max="15379" width="12.27" customWidth="1" hidden="0"/>
    <col min="15380" max="15380" width="9.57" customWidth="1" hidden="0"/>
    <col min="15381" max="15381" width="8.09" customWidth="1" hidden="0"/>
    <col min="15382" max="15382" width="15.45" customWidth="1" hidden="0"/>
    <col min="15383" max="15383" width="8.09" customWidth="1" hidden="0"/>
    <col min="15384" max="15384" width="13.25" customWidth="1" hidden="0"/>
    <col min="15385" max="15385" width="8.09" customWidth="1" hidden="0"/>
    <col min="15386" max="15386" width="13.98" customWidth="1" hidden="0"/>
    <col min="15387" max="15617" width="8.09" customWidth="1" hidden="0"/>
    <col min="15618" max="15618" width="6.01" customWidth="1" hidden="0"/>
    <col min="15619" max="15620" width="8.09" customWidth="1" hidden="0"/>
    <col min="15621" max="15621" width="8.59" customWidth="1" hidden="0"/>
    <col min="15622" max="15622" width="4.91" customWidth="1" hidden="0"/>
    <col min="15623" max="15623" width="6.01" customWidth="1" hidden="0"/>
    <col min="15624" max="15624" width="8.71" customWidth="1" hidden="0"/>
    <col min="15625" max="15625" width="8.09" customWidth="1" hidden="0"/>
    <col min="15626" max="15626" width="7.24" customWidth="1" hidden="0"/>
    <col min="15627" max="15627" width="4.91" customWidth="1" hidden="0"/>
    <col min="15628" max="15628" width="8.09" customWidth="1" hidden="0"/>
    <col min="15629" max="15629" width="4.91" customWidth="1" hidden="0"/>
    <col min="15630" max="15630" width="13.61" customWidth="1" hidden="0"/>
    <col min="15631" max="15631" width="20.97" customWidth="1" hidden="0"/>
    <col min="15632" max="15632" width="4.54" customWidth="1" hidden="0"/>
    <col min="15633" max="15634" width="8.09" customWidth="1" hidden="0"/>
    <col min="15635" max="15635" width="12.27" customWidth="1" hidden="0"/>
    <col min="15636" max="15636" width="9.57" customWidth="1" hidden="0"/>
    <col min="15637" max="15637" width="8.09" customWidth="1" hidden="0"/>
    <col min="15638" max="15638" width="15.45" customWidth="1" hidden="0"/>
    <col min="15639" max="15639" width="8.09" customWidth="1" hidden="0"/>
    <col min="15640" max="15640" width="13.25" customWidth="1" hidden="0"/>
    <col min="15641" max="15641" width="8.09" customWidth="1" hidden="0"/>
    <col min="15642" max="15642" width="13.98" customWidth="1" hidden="0"/>
    <col min="15643" max="15873" width="8.09" customWidth="1" hidden="0"/>
    <col min="15874" max="15874" width="6.01" customWidth="1" hidden="0"/>
    <col min="15875" max="15876" width="8.09" customWidth="1" hidden="0"/>
    <col min="15877" max="15877" width="8.59" customWidth="1" hidden="0"/>
    <col min="15878" max="15878" width="4.91" customWidth="1" hidden="0"/>
    <col min="15879" max="15879" width="6.01" customWidth="1" hidden="0"/>
    <col min="15880" max="15880" width="8.71" customWidth="1" hidden="0"/>
    <col min="15881" max="15881" width="8.09" customWidth="1" hidden="0"/>
    <col min="15882" max="15882" width="7.24" customWidth="1" hidden="0"/>
    <col min="15883" max="15883" width="4.91" customWidth="1" hidden="0"/>
    <col min="15884" max="15884" width="8.09" customWidth="1" hidden="0"/>
    <col min="15885" max="15885" width="4.91" customWidth="1" hidden="0"/>
    <col min="15886" max="15886" width="13.61" customWidth="1" hidden="0"/>
    <col min="15887" max="15887" width="20.97" customWidth="1" hidden="0"/>
    <col min="15888" max="15888" width="4.54" customWidth="1" hidden="0"/>
    <col min="15889" max="15890" width="8.09" customWidth="1" hidden="0"/>
    <col min="15891" max="15891" width="12.27" customWidth="1" hidden="0"/>
    <col min="15892" max="15892" width="9.57" customWidth="1" hidden="0"/>
    <col min="15893" max="15893" width="8.09" customWidth="1" hidden="0"/>
    <col min="15894" max="15894" width="15.45" customWidth="1" hidden="0"/>
    <col min="15895" max="15895" width="8.09" customWidth="1" hidden="0"/>
    <col min="15896" max="15896" width="13.25" customWidth="1" hidden="0"/>
    <col min="15897" max="15897" width="8.09" customWidth="1" hidden="0"/>
    <col min="15898" max="15898" width="13.98" customWidth="1" hidden="0"/>
    <col min="15899" max="16129" width="8.09" customWidth="1" hidden="0"/>
    <col min="16130" max="16130" width="6.01" customWidth="1" hidden="0"/>
    <col min="16131" max="16132" width="8.09" customWidth="1" hidden="0"/>
    <col min="16133" max="16133" width="8.59" customWidth="1" hidden="0"/>
    <col min="16134" max="16134" width="4.91" customWidth="1" hidden="0"/>
    <col min="16135" max="16135" width="6.01" customWidth="1" hidden="0"/>
    <col min="16136" max="16136" width="8.71" customWidth="1" hidden="0"/>
    <col min="16137" max="16137" width="8.09" customWidth="1" hidden="0"/>
    <col min="16138" max="16138" width="7.24" customWidth="1" hidden="0"/>
    <col min="16139" max="16139" width="4.91" customWidth="1" hidden="0"/>
    <col min="16140" max="16140" width="8.09" customWidth="1" hidden="0"/>
    <col min="16141" max="16141" width="4.91" customWidth="1" hidden="0"/>
    <col min="16142" max="16142" width="13.61" customWidth="1" hidden="0"/>
    <col min="16143" max="16143" width="20.97" customWidth="1" hidden="0"/>
    <col min="16144" max="16144" width="4.54" customWidth="1" hidden="0"/>
    <col min="16145" max="16146" width="8.09" customWidth="1" hidden="0"/>
    <col min="16147" max="16147" width="12.27" customWidth="1" hidden="0"/>
    <col min="16148" max="16148" width="9.57" customWidth="1" hidden="0"/>
    <col min="16149" max="16149" width="8.09" customWidth="1" hidden="0"/>
    <col min="16150" max="16150" width="15.45" customWidth="1" hidden="0"/>
    <col min="16151" max="16151" width="8.09" customWidth="1" hidden="0"/>
    <col min="16152" max="16152" width="13.25" customWidth="1" hidden="0"/>
    <col min="16153" max="16153" width="8.09" customWidth="1" hidden="0"/>
    <col min="16154" max="16154" width="13.98" customWidth="1" hidden="0"/>
    <col min="16155" max="16384" width="8.09" customWidth="1" hidden="0"/>
  </cols>
  <sheetData>
    <row r="2" ht="18.00" customHeight="true">
      <c r="B2" s="143" t="s">
        <v>415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</row>
    <row r="3" ht="18.00" customHeight="true">
      <c r="B3" s="143" t="s">
        <v>416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</row>
    <row r="6" ht="18.00" customHeight="true">
      <c r="B6" s="144" t="s">
        <v>417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</row>
    <row r="8" ht="13.50" customHeight="true">
      <c r="C8" s="52" t="s">
        <v>418</v>
      </c>
      <c r="G8" s="145" t="s">
        <v>419</v>
      </c>
      <c r="H8" s="146"/>
      <c r="I8" s="147"/>
      <c r="J8" s="44"/>
    </row>
    <row r="10" ht="13.50" customHeight="true">
      <c r="C10" s="52" t="s">
        <v>420</v>
      </c>
      <c r="G10" s="148">
        <f>=+CCF!A2</f>
      </c>
      <c r="H10" s="149"/>
      <c r="I10" s="149"/>
      <c r="J10" s="149"/>
      <c r="K10" s="149"/>
      <c r="L10" s="149"/>
      <c r="M10" s="149"/>
      <c r="N10" s="150"/>
    </row>
    <row r="12" ht="18.00" customHeight="true">
      <c r="B12" s="144" t="s">
        <v>421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</row>
    <row r="14" ht="13.50" customHeight="true">
      <c r="C14" s="52" t="s">
        <v>422</v>
      </c>
      <c r="G14" s="151" t="s">
        <v>423</v>
      </c>
      <c r="H14" s="152"/>
      <c r="I14" s="153"/>
      <c r="J14" s="154"/>
      <c r="L14" s="52" t="s">
        <v>424</v>
      </c>
      <c r="O14" s="155"/>
    </row>
    <row r="16" ht="13.50" customHeight="true">
      <c r="C16" s="52" t="s">
        <v>425</v>
      </c>
      <c r="G16" s="151" t="s">
        <v>426</v>
      </c>
      <c r="H16" s="152"/>
      <c r="I16" s="153"/>
      <c r="J16" s="154"/>
      <c r="L16" s="52" t="s">
        <v>427</v>
      </c>
      <c r="O16" s="155">
        <v>2024</v>
      </c>
    </row>
    <row r="18" ht="13.50" customHeight="true">
      <c r="C18" s="52" t="s">
        <v>428</v>
      </c>
      <c r="K18" s="155" t="s">
        <v>429</v>
      </c>
    </row>
    <row r="20" hidden="1" ht="18.00" customHeight="true">
      <c r="B20" s="144" t="s">
        <v>430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</row>
    <row r="22" hidden="1" ht="13.50" customHeight="true">
      <c r="C22" s="52" t="s">
        <v>431</v>
      </c>
      <c r="E22" s="156"/>
      <c r="F22" s="149"/>
      <c r="G22" s="149"/>
      <c r="H22" s="149"/>
      <c r="I22" s="149"/>
      <c r="J22" s="149"/>
      <c r="K22" s="149"/>
      <c r="L22" s="150"/>
      <c r="N22" s="52" t="s">
        <v>432</v>
      </c>
      <c r="O22" s="157"/>
    </row>
    <row r="24" hidden="1" ht="13.50" customHeight="true">
      <c r="C24" s="52" t="s">
        <v>433</v>
      </c>
      <c r="E24" s="156"/>
      <c r="F24" s="150"/>
      <c r="H24" s="52" t="s">
        <v>434</v>
      </c>
      <c r="I24" s="156"/>
      <c r="J24" s="149"/>
      <c r="K24" s="149"/>
      <c r="L24" s="149"/>
      <c r="M24" s="149"/>
      <c r="N24" s="149"/>
      <c r="O24" s="150"/>
    </row>
    <row r="26" hidden="1" ht="13.50" customHeight="true">
      <c r="C26" s="52" t="s">
        <v>435</v>
      </c>
      <c r="E26" s="145"/>
      <c r="F26" s="147"/>
      <c r="H26" s="52" t="s">
        <v>436</v>
      </c>
      <c r="I26" s="151" t="s">
        <v>437</v>
      </c>
      <c r="J26" s="152"/>
      <c r="K26" s="152"/>
      <c r="L26" s="152"/>
      <c r="M26" s="153"/>
      <c r="N26" s="44" t="s">
        <v>438</v>
      </c>
      <c r="O26" s="158" t="s">
        <v>437</v>
      </c>
    </row>
    <row r="28" hidden="1" ht="13.50" customHeight="true">
      <c r="C28" s="52" t="s">
        <v>439</v>
      </c>
      <c r="D28" s="145"/>
      <c r="E28" s="146"/>
      <c r="F28" s="147"/>
      <c r="H28" s="52" t="s">
        <v>440</v>
      </c>
      <c r="I28" s="145"/>
      <c r="J28" s="146"/>
      <c r="K28" s="146"/>
      <c r="L28" s="146"/>
      <c r="M28" s="147"/>
    </row>
    <row r="30" hidden="1" ht="14.25" customHeight="true">
      <c r="B30" s="52" t="s">
        <v>441</v>
      </c>
    </row>
    <row r="32" ht="18.00" customHeight="true">
      <c r="B32" s="144" t="s">
        <v>442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</row>
    <row r="34" hidden="1" ht="17.25" customHeight="true">
      <c r="C34" s="159" t="s">
        <v>443</v>
      </c>
      <c r="D34" s="160"/>
      <c r="E34" s="160"/>
      <c r="F34" s="160"/>
      <c r="G34" s="161">
        <v>0</v>
      </c>
      <c r="H34" s="162"/>
      <c r="I34" s="163"/>
      <c r="J34" s="160"/>
      <c r="K34" s="52" t="s">
        <v>444</v>
      </c>
      <c r="O34" s="164">
        <v>0</v>
      </c>
      <c r="V34" s="52"/>
    </row>
    <row r="35" hidden="1" ht="14.25" customHeight="true">
      <c r="C35" s="159"/>
      <c r="D35" s="160"/>
      <c r="E35" s="160"/>
      <c r="F35" s="160"/>
      <c r="G35" s="160"/>
      <c r="O35" s="160"/>
    </row>
    <row r="36" hidden="1" ht="17.25" customHeight="true">
      <c r="C36" s="52" t="s">
        <v>445</v>
      </c>
      <c r="D36" s="160"/>
      <c r="E36" s="160"/>
      <c r="F36" s="160"/>
      <c r="G36" s="161">
        <f>=+[21]CCF!B8</f>
      </c>
      <c r="H36" s="162"/>
      <c r="I36" s="163"/>
      <c r="J36" s="160"/>
      <c r="K36" s="52" t="s">
        <v>446</v>
      </c>
      <c r="O36" s="164">
        <f>=+[21]CCF!D78</f>
      </c>
      <c r="V36" s="52"/>
    </row>
    <row r="37" hidden="1" ht="14.25" customHeight="true">
      <c r="C37" s="159"/>
      <c r="D37" s="160"/>
      <c r="E37" s="160"/>
      <c r="F37" s="160"/>
      <c r="G37" s="160"/>
      <c r="O37" s="160"/>
    </row>
    <row r="38" hidden="1" ht="17.25" customHeight="true">
      <c r="C38" s="52" t="s">
        <v>447</v>
      </c>
      <c r="D38" s="160"/>
      <c r="E38" s="160"/>
      <c r="F38" s="160"/>
      <c r="G38" s="161">
        <f>=+G36-G34</f>
      </c>
      <c r="H38" s="162"/>
      <c r="I38" s="163"/>
      <c r="J38" s="52">
        <f>=+G38/G34*100%</f>
      </c>
      <c r="K38" s="52" t="s">
        <v>448</v>
      </c>
      <c r="O38" s="164">
        <f>=+O36-O34</f>
      </c>
      <c r="P38" s="52">
        <f>=+O38/O34*100%</f>
      </c>
      <c r="X38" s="52"/>
      <c r="Z38" s="52"/>
    </row>
    <row r="39" hidden="1" ht="17.25" customHeight="true">
      <c r="C39" s="159"/>
      <c r="D39" s="160"/>
      <c r="E39" s="160"/>
      <c r="F39" s="160"/>
      <c r="G39" s="160"/>
      <c r="H39" s="160"/>
      <c r="K39" s="159"/>
      <c r="L39" s="160"/>
      <c r="M39" s="160"/>
      <c r="N39" s="160"/>
      <c r="O39" s="160"/>
    </row>
    <row r="40" hidden="1" ht="6.00" customHeight="true">
      <c r="C40" s="159"/>
      <c r="D40" s="160"/>
      <c r="E40" s="160"/>
      <c r="F40" s="160"/>
      <c r="G40" s="160"/>
      <c r="H40" s="160"/>
      <c r="K40" s="159"/>
      <c r="L40" s="160"/>
      <c r="M40" s="160"/>
      <c r="N40" s="160"/>
      <c r="O40" s="160"/>
    </row>
    <row r="41" hidden="1" ht="17.25" customHeight="true">
      <c r="C41" s="52" t="s">
        <v>449</v>
      </c>
      <c r="D41" s="160"/>
      <c r="E41" s="160"/>
      <c r="F41" s="160"/>
      <c r="G41" s="161">
        <f>=+G38-O38</f>
      </c>
      <c r="H41" s="162"/>
      <c r="I41" s="163"/>
      <c r="K41" s="159" t="s">
        <v>450</v>
      </c>
      <c r="L41" s="160"/>
      <c r="M41" s="160"/>
      <c r="N41" s="160"/>
      <c r="O41" s="164">
        <f>=+G41*0.3</f>
      </c>
      <c r="V41" s="52"/>
      <c r="X41" s="52"/>
      <c r="Z41" s="52"/>
    </row>
    <row r="42" hidden="1" ht="14.25" customHeight="true">
      <c r="C42" s="159"/>
      <c r="D42" s="160"/>
      <c r="E42" s="160"/>
      <c r="F42" s="160"/>
      <c r="G42" s="160"/>
      <c r="H42" s="160"/>
      <c r="K42" s="159"/>
      <c r="L42" s="160"/>
      <c r="M42" s="160"/>
      <c r="N42" s="160"/>
      <c r="O42" s="160"/>
      <c r="S42" s="52"/>
    </row>
    <row r="43" hidden="1" ht="17.25" customHeight="true">
      <c r="C43" s="52" t="s">
        <v>451</v>
      </c>
      <c r="D43" s="160"/>
      <c r="E43" s="160"/>
      <c r="F43" s="160"/>
      <c r="G43" s="161">
        <v>0</v>
      </c>
      <c r="H43" s="162"/>
      <c r="I43" s="163"/>
      <c r="K43" s="159" t="s">
        <v>452</v>
      </c>
      <c r="L43" s="160"/>
      <c r="M43" s="160"/>
      <c r="N43" s="160"/>
      <c r="O43" s="164">
        <f>=+G43+O41</f>
      </c>
      <c r="V43" s="52"/>
      <c r="X43" s="52"/>
    </row>
    <row r="44" hidden="1" ht="14.25" customHeight="true">
      <c r="C44" s="159"/>
      <c r="D44" s="160"/>
      <c r="E44" s="160"/>
      <c r="F44" s="160"/>
      <c r="G44" s="160"/>
      <c r="H44" s="160"/>
      <c r="K44" s="159"/>
      <c r="L44" s="160"/>
      <c r="M44" s="160"/>
      <c r="N44" s="160"/>
      <c r="O44" s="160"/>
    </row>
    <row r="45" hidden="1" ht="17.25" customHeight="true">
      <c r="C45" s="159" t="s">
        <v>453</v>
      </c>
      <c r="D45" s="160"/>
      <c r="E45" s="160"/>
      <c r="F45" s="160"/>
      <c r="G45" s="161">
        <f>=+O49-G43</f>
      </c>
      <c r="H45" s="162"/>
      <c r="I45" s="163"/>
      <c r="K45" s="159"/>
      <c r="L45" s="160"/>
      <c r="M45" s="160"/>
      <c r="N45" s="160"/>
      <c r="O45" s="160"/>
    </row>
    <row r="46" hidden="1" ht="17.25" customHeight="true">
      <c r="C46" s="165"/>
      <c r="D46" s="166"/>
      <c r="E46" s="166"/>
      <c r="F46" s="166"/>
      <c r="G46" s="166"/>
      <c r="H46" s="166"/>
      <c r="I46" s="98"/>
      <c r="J46" s="98"/>
      <c r="K46" s="165"/>
      <c r="L46" s="166"/>
      <c r="M46" s="166"/>
      <c r="N46" s="166"/>
      <c r="O46" s="166"/>
    </row>
    <row r="47" hidden="1" ht="17.25" customHeight="true">
      <c r="C47" s="159"/>
      <c r="D47" s="160"/>
      <c r="E47" s="160"/>
      <c r="F47" s="160"/>
      <c r="G47" s="160"/>
      <c r="H47" s="160"/>
      <c r="K47" s="159"/>
      <c r="L47" s="160"/>
      <c r="M47" s="160"/>
      <c r="N47" s="160"/>
      <c r="O47" s="160"/>
    </row>
    <row r="48" ht="14.25" customHeight="true">
      <c r="C48" s="159"/>
      <c r="D48" s="160"/>
      <c r="E48" s="160"/>
      <c r="F48" s="160"/>
      <c r="G48" s="160"/>
      <c r="H48" s="160"/>
      <c r="K48" s="159"/>
      <c r="L48" s="160"/>
      <c r="M48" s="160"/>
      <c r="N48" s="160"/>
      <c r="O48" s="160"/>
    </row>
    <row r="49" ht="20.25" customHeight="true">
      <c r="C49" s="159" t="s">
        <v>454</v>
      </c>
      <c r="D49" s="167"/>
      <c r="E49" s="167"/>
      <c r="F49" s="167"/>
      <c r="G49" s="161">
        <v>11850829</v>
      </c>
      <c r="H49" s="162"/>
      <c r="I49" s="163"/>
      <c r="K49" s="159" t="s">
        <v>455</v>
      </c>
      <c r="L49" s="160"/>
      <c r="M49" s="160"/>
      <c r="N49" s="160"/>
      <c r="O49" s="164">
        <f>=+CCF!D87*1</f>
      </c>
    </row>
    <row r="50" ht="11.25" customHeight="true">
      <c r="C50" s="167"/>
      <c r="D50" s="167"/>
      <c r="E50" s="167"/>
      <c r="F50" s="168"/>
      <c r="K50" s="159"/>
      <c r="L50" s="160"/>
      <c r="M50" s="160"/>
      <c r="N50" s="160"/>
      <c r="O50" s="160"/>
    </row>
    <row r="51" ht="20.25" customHeight="true">
      <c r="C51" s="159" t="s">
        <v>456</v>
      </c>
      <c r="D51" s="160"/>
      <c r="E51" s="160"/>
      <c r="F51" s="160"/>
      <c r="G51" s="161">
        <f>=+CCF!D36</f>
      </c>
      <c r="H51" s="162"/>
      <c r="I51" s="163"/>
      <c r="K51" s="159" t="s">
        <v>457</v>
      </c>
      <c r="L51" s="160"/>
      <c r="M51" s="160"/>
      <c r="N51" s="160"/>
      <c r="O51" s="164">
        <f>=+CCF!D91*0</f>
      </c>
      <c r="R51" s="52">
        <f>=+G51-G49</f>
      </c>
    </row>
    <row r="52" ht="14.25" customHeight="true">
      <c r="C52" s="159"/>
      <c r="D52" s="160"/>
      <c r="E52" s="160"/>
      <c r="F52" s="160"/>
      <c r="G52" s="160"/>
      <c r="H52" s="160"/>
      <c r="K52" s="159"/>
      <c r="L52" s="160"/>
      <c r="M52" s="160"/>
      <c r="N52" s="160"/>
      <c r="O52" s="160"/>
    </row>
    <row r="53" ht="18.00" customHeight="true">
      <c r="C53" s="159" t="s">
        <v>458</v>
      </c>
      <c r="D53" s="160"/>
      <c r="E53" s="160"/>
      <c r="F53" s="160"/>
      <c r="G53" s="160"/>
      <c r="H53" s="160"/>
      <c r="K53" s="159" t="s">
        <v>459</v>
      </c>
      <c r="L53" s="160"/>
      <c r="M53" s="160"/>
      <c r="N53" s="160"/>
      <c r="O53" s="164">
        <f>=O49/G60</f>
      </c>
    </row>
    <row r="54" ht="15.75" customHeight="true">
      <c r="C54" s="159"/>
      <c r="E54" s="169" t="s">
        <v>460</v>
      </c>
      <c r="F54" s="160"/>
      <c r="G54" s="161">
        <f>=+CCF!D80*1</f>
      </c>
      <c r="H54" s="162"/>
      <c r="I54" s="163"/>
      <c r="J54" s="160"/>
      <c r="K54" s="159"/>
      <c r="L54" s="160"/>
      <c r="M54" s="160"/>
      <c r="N54" s="160"/>
      <c r="O54" s="160"/>
    </row>
    <row r="55" ht="6.75" customHeight="true">
      <c r="C55" s="159"/>
      <c r="E55" s="160"/>
      <c r="F55" s="160"/>
      <c r="G55" s="160"/>
      <c r="H55" s="160"/>
      <c r="I55" s="160"/>
      <c r="J55" s="160"/>
      <c r="K55" s="159"/>
      <c r="L55" s="160"/>
      <c r="M55" s="160"/>
      <c r="N55" s="160"/>
      <c r="O55" s="160"/>
    </row>
    <row r="56" ht="15.75" customHeight="true">
      <c r="C56" s="159"/>
      <c r="E56" s="169" t="s">
        <v>461</v>
      </c>
      <c r="F56" s="160"/>
      <c r="G56" s="161">
        <f>=+CCF!D4</f>
      </c>
      <c r="H56" s="162"/>
      <c r="I56" s="163"/>
      <c r="J56" s="160"/>
      <c r="K56" s="159" t="s">
        <v>462</v>
      </c>
      <c r="O56" s="164">
        <f>=IFERROR(O49/G54,0)</f>
      </c>
    </row>
    <row r="57" ht="14.25" customHeight="true">
      <c r="C57" s="159"/>
      <c r="D57" s="160"/>
      <c r="E57" s="160"/>
      <c r="F57" s="160"/>
      <c r="G57" s="160"/>
      <c r="H57" s="160"/>
    </row>
    <row r="58" ht="14.25" customHeight="true">
      <c r="C58" s="159"/>
      <c r="D58" s="160"/>
      <c r="E58" s="169" t="s">
        <v>463</v>
      </c>
      <c r="F58" s="160"/>
      <c r="G58" s="161">
        <f>=+CCF!D84*1</f>
      </c>
      <c r="H58" s="162"/>
      <c r="I58" s="163"/>
      <c r="K58" s="159" t="s">
        <v>464</v>
      </c>
      <c r="O58" s="164">
        <f>=IFERROR(O49/G56,0)</f>
      </c>
    </row>
    <row r="59" ht="14.25" customHeight="true">
      <c r="C59" s="159"/>
      <c r="D59" s="160"/>
      <c r="E59" s="160"/>
      <c r="F59" s="160"/>
      <c r="G59" s="160"/>
      <c r="H59" s="160"/>
    </row>
    <row r="60" ht="14.25" customHeight="true">
      <c r="C60" s="159" t="s">
        <v>465</v>
      </c>
      <c r="D60" s="160"/>
      <c r="E60" s="160"/>
      <c r="F60" s="160"/>
      <c r="G60" s="161">
        <f>=+G51</f>
      </c>
      <c r="H60" s="162"/>
      <c r="I60" s="163"/>
      <c r="J60" s="160"/>
      <c r="K60" s="159" t="s">
        <v>466</v>
      </c>
      <c r="L60" s="160"/>
      <c r="M60" s="160"/>
      <c r="N60" s="160"/>
      <c r="O60" s="164">
        <f>=-CCF!D91*1</f>
      </c>
    </row>
    <row r="61" ht="14.25" customHeight="true">
      <c r="C61" s="159"/>
      <c r="D61" s="160"/>
      <c r="E61" s="160"/>
      <c r="F61" s="160"/>
      <c r="G61" s="160"/>
      <c r="H61" s="160"/>
      <c r="I61" s="159"/>
      <c r="J61" s="159"/>
    </row>
    <row r="62" ht="14.25" customHeight="true">
      <c r="C62" s="159" t="s">
        <v>467</v>
      </c>
      <c r="D62" s="160"/>
      <c r="E62" s="160"/>
      <c r="F62" s="160"/>
      <c r="H62" s="160">
        <v>0.0304</v>
      </c>
      <c r="I62" s="160">
        <f>=+H62</f>
      </c>
      <c r="J62" s="160"/>
      <c r="K62" s="159" t="s">
        <v>468</v>
      </c>
      <c r="L62" s="160"/>
      <c r="M62" s="160"/>
      <c r="N62" s="160"/>
      <c r="O62" s="164">
        <v>2275</v>
      </c>
    </row>
    <row r="63" ht="14.25" customHeight="true">
      <c r="C63" s="159" t="s">
        <v>469</v>
      </c>
      <c r="D63" s="160"/>
      <c r="E63" s="160"/>
      <c r="F63" s="160"/>
      <c r="H63" s="170">
        <f>=IF((CCF!E84&lt;0),H62,CCF!E84)</f>
      </c>
      <c r="I63" s="166">
        <f>=+H63</f>
      </c>
      <c r="J63" s="160"/>
    </row>
    <row r="64" ht="14.25" customHeight="true">
      <c r="C64" s="159" t="s">
        <v>470</v>
      </c>
      <c r="D64" s="160"/>
      <c r="E64" s="160"/>
      <c r="F64" s="160"/>
      <c r="H64" s="160">
        <f>=+H63-H62</f>
      </c>
      <c r="I64" s="160">
        <f>=+I63-I62</f>
      </c>
      <c r="J64" s="160"/>
      <c r="K64" s="159" t="s">
        <v>471</v>
      </c>
      <c r="L64" s="160"/>
      <c r="M64" s="160"/>
      <c r="N64" s="160"/>
      <c r="O64" s="164">
        <v>1200449</v>
      </c>
      <c r="S64" s="52"/>
    </row>
    <row r="65" ht="13.50" customHeight="true">
      <c r="S65" s="52"/>
    </row>
    <row r="67" hidden="1" ht="14.25" customHeight="true">
      <c r="C67" s="171"/>
      <c r="D67" s="172"/>
      <c r="E67" s="171"/>
      <c r="F67" s="173"/>
      <c r="G67" s="173"/>
      <c r="H67" s="173"/>
      <c r="I67" s="174"/>
      <c r="J67" s="173"/>
      <c r="K67" s="173"/>
      <c r="L67" s="173"/>
      <c r="N67" s="174"/>
      <c r="O67" s="172"/>
    </row>
    <row r="68" hidden="1" ht="14.25" customHeight="true">
      <c r="C68" s="175" t="s">
        <v>472</v>
      </c>
      <c r="D68" s="175"/>
      <c r="E68" s="175" t="s">
        <v>473</v>
      </c>
      <c r="F68" s="175"/>
      <c r="G68" s="175"/>
      <c r="H68" s="175"/>
      <c r="I68" s="175" t="s">
        <v>474</v>
      </c>
      <c r="J68" s="175"/>
      <c r="K68" s="175"/>
      <c r="L68" s="175"/>
      <c r="M68" s="175"/>
      <c r="N68" s="175" t="s">
        <v>475</v>
      </c>
      <c r="O68" s="175"/>
    </row>
    <row r="69" hidden="1" ht="13.50" customHeight="true">
      <c r="B69" s="44"/>
      <c r="C69" s="44"/>
      <c r="D69" s="44"/>
      <c r="E69" s="44"/>
      <c r="F69" s="44"/>
      <c r="G69" s="44"/>
      <c r="H69" s="44"/>
      <c r="I69" s="44"/>
      <c r="J69" s="44"/>
    </row>
    <row r="70" hidden="1" ht="15.00" customHeight="true">
      <c r="C70" s="52" t="s">
        <v>476</v>
      </c>
      <c r="G70" s="171"/>
      <c r="H70" s="173"/>
      <c r="I70" s="173"/>
      <c r="J70" s="176" t="s">
        <v>477</v>
      </c>
      <c r="K70" s="160"/>
      <c r="L70" s="160"/>
      <c r="M70" s="177"/>
      <c r="N70" s="174"/>
      <c r="O70" s="172"/>
    </row>
    <row r="73" ht="13.50" customHeight="true">
      <c r="G73" s="44" t="s">
        <v>478</v>
      </c>
      <c r="H73" s="44"/>
      <c r="J73" s="44" t="s">
        <v>479</v>
      </c>
      <c r="K73" s="44"/>
    </row>
    <row r="74" ht="13.50" customHeight="true">
      <c r="C74" s="52" t="s">
        <v>480</v>
      </c>
      <c r="G74" s="44">
        <f>=+ER!M28</f>
      </c>
      <c r="H74" s="44"/>
      <c r="J74" s="44">
        <v>75993</v>
      </c>
      <c r="K74" s="44"/>
    </row>
    <row r="75" ht="13.50" customHeight="true">
      <c r="G75" s="52"/>
      <c r="H75" s="52"/>
    </row>
    <row r="76" ht="13.50" customHeight="true">
      <c r="C76" s="52" t="s">
        <v>481</v>
      </c>
      <c r="G76" s="58">
        <f>=+ER!H28</f>
      </c>
      <c r="H76" s="58"/>
      <c r="J76" s="58">
        <v>75993</v>
      </c>
      <c r="K76" s="58"/>
    </row>
    <row r="78" ht="13.50" customHeight="true">
      <c r="C78" s="52" t="s">
        <v>482</v>
      </c>
      <c r="G78" s="44">
        <f>=+G74-G76</f>
      </c>
      <c r="H78" s="44"/>
      <c r="J78" s="44">
        <f>=+J74-J76</f>
      </c>
      <c r="K78" s="44"/>
    </row>
  </sheetData>
  <mergeCells count="40">
    <mergeCell ref="G76:H76"/>
    <mergeCell ref="G78:H78"/>
    <mergeCell ref="J74:K74"/>
    <mergeCell ref="J76:K76"/>
    <mergeCell ref="J78:K78"/>
    <mergeCell ref="N68:O68"/>
    <mergeCell ref="G74:H74"/>
    <mergeCell ref="G73:H73"/>
    <mergeCell ref="J73:K73"/>
    <mergeCell ref="G70:I70"/>
    <mergeCell ref="J70:M70"/>
    <mergeCell ref="G54:I54"/>
    <mergeCell ref="G56:I56"/>
    <mergeCell ref="C68:D68"/>
    <mergeCell ref="E68:H68"/>
    <mergeCell ref="I68:M68"/>
    <mergeCell ref="G60:I60"/>
    <mergeCell ref="E67:H67"/>
    <mergeCell ref="G58:I58"/>
    <mergeCell ref="G34:I34"/>
    <mergeCell ref="G36:I36"/>
    <mergeCell ref="G38:I38"/>
    <mergeCell ref="G41:I41"/>
    <mergeCell ref="G51:I51"/>
    <mergeCell ref="G45:I45"/>
    <mergeCell ref="G49:I49"/>
    <mergeCell ref="G43:I43"/>
    <mergeCell ref="G14:I14"/>
    <mergeCell ref="B2:O2"/>
    <mergeCell ref="B3:O3"/>
    <mergeCell ref="B6:P6"/>
    <mergeCell ref="G8:I8"/>
    <mergeCell ref="B12:P12"/>
    <mergeCell ref="B32:P32"/>
    <mergeCell ref="G16:I16"/>
    <mergeCell ref="B20:P20"/>
    <mergeCell ref="E26:F26"/>
    <mergeCell ref="I26:M26"/>
    <mergeCell ref="D28:F28"/>
    <mergeCell ref="I28:M28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34"/>
  <cols>
    <col min="3" max="3" width="11.77" customWidth="1" hidden="0"/>
    <col min="4" max="4" width="13.37" customWidth="1" hidden="0"/>
    <col min="5" max="5" width="13.25" customWidth="1" hidden="0"/>
  </cols>
  <sheetData>
    <row r="1" ht="13.50" customHeight="true">
      <c r="D1" s="6"/>
      <c r="E1" s="6"/>
      <c r="F1" s="6"/>
    </row>
    <row r="4" ht="13.50" customHeight="true">
      <c r="C4" s="6" t="s">
        <v>483</v>
      </c>
      <c r="D4" s="9" t="s">
        <v>484</v>
      </c>
    </row>
    <row r="5" ht="13.50" customHeight="true">
      <c r="B5" s="6" t="s">
        <v>485</v>
      </c>
      <c r="C5" s="6"/>
    </row>
    <row r="6" ht="13.50" customHeight="true">
      <c r="B6" s="6" t="s">
        <v>486</v>
      </c>
      <c r="C6" s="6"/>
    </row>
    <row r="7" ht="13.50" customHeight="true">
      <c r="B7" s="6" t="s">
        <v>487</v>
      </c>
      <c r="C7" s="6"/>
    </row>
    <row r="8" ht="13.50" customHeight="true">
      <c r="B8" s="6" t="s">
        <v>488</v>
      </c>
    </row>
    <row r="9" ht="13.50" customHeight="true">
      <c r="B9" s="6" t="s">
        <v>489</v>
      </c>
    </row>
    <row r="10" ht="13.50" customHeight="true">
      <c r="B10" s="6" t="s">
        <v>490</v>
      </c>
    </row>
    <row r="11" ht="13.50" customHeight="true">
      <c r="B11" s="6" t="s">
        <v>491</v>
      </c>
    </row>
    <row r="12" ht="13.50" customHeight="true">
      <c r="B12" s="6" t="s">
        <v>492</v>
      </c>
    </row>
    <row r="13" ht="13.50" customHeight="true">
      <c r="B13" s="6" t="s">
        <v>493</v>
      </c>
    </row>
    <row r="14" ht="13.50" customHeight="true">
      <c r="B14" s="6" t="s">
        <v>494</v>
      </c>
      <c r="D14" s="6"/>
      <c r="E14" s="6"/>
    </row>
    <row r="15" ht="13.50" customHeight="true">
      <c r="B15" s="6" t="s">
        <v>495</v>
      </c>
      <c r="D15" s="6"/>
      <c r="E15" s="6"/>
    </row>
    <row r="16" ht="13.50" customHeight="true">
      <c r="B16" s="6" t="s">
        <v>496</v>
      </c>
      <c r="C16" s="178"/>
      <c r="D16" s="178"/>
      <c r="E16" s="6"/>
    </row>
    <row r="17" ht="13.50" customHeight="true">
      <c r="C17" s="6">
        <f>=SUM(C5:C16)</f>
      </c>
      <c r="D17" s="6">
        <f>=SUM(D5:D16)</f>
      </c>
    </row>
    <row r="19" ht="13.50" customHeight="true">
      <c r="B19" s="179" t="s">
        <v>497</v>
      </c>
      <c r="C19" s="178"/>
      <c r="D19" s="178"/>
    </row>
    <row r="20" ht="13.50" customHeight="true">
      <c r="C20" s="6">
        <f>=+C17-C19</f>
      </c>
      <c r="D20" s="6">
        <f>=+D17-D19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8</vt:i4>
      </vt:variant>
    </vt:vector>
  </HeadingPairs>
  <TitlesOfParts>
    <vt:vector size="8" baseType="lpstr">
      <vt:lpstr>CUCA</vt:lpstr>
      <vt:lpstr>CUFIN</vt:lpstr>
      <vt:lpstr>BG</vt:lpstr>
      <vt:lpstr>Ret ISR Hon</vt:lpstr>
      <vt:lpstr>BAL</vt:lpstr>
      <vt:lpstr>CCF</vt:lpstr>
      <vt:lpstr>ER</vt:lpstr>
      <vt:lpstr>Res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2026-07-20T16:32:05Z</dcterms:created>
  <dcterms:modified xsi:type="dcterms:W3CDTF">2026-07-20T16:32:05Z</dcterms:modified>
</cp:coreProperties>
</file>