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comments7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externalLinks/externalLink10.xml" ContentType="application/vnd.openxmlformats-officedocument.spreadsheetml.externalLink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media/image1.emf" ContentType="image/x-emf"/>
  <Override PartName="/xl/media/image2.emf" ContentType="image/x-emf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3" activeTab="5"/>
  </bookViews>
  <sheets>
    <sheet name="CUCA" sheetId="1" state="hidden" r:id="rId3"/>
    <sheet name="CUFIN" sheetId="2" state="hidden" r:id="rId4"/>
    <sheet name="CCF" sheetId="3" state="hidden" r:id="rId5"/>
    <sheet name="BG" sheetId="4" state="visible" r:id="rId6"/>
    <sheet name="ER" sheetId="5" state="visible" r:id="rId7"/>
    <sheet name="BAL" sheetId="6" state="visible" r:id="rId8"/>
    <sheet name="Res" sheetId="7" state="hidden" r:id="rId9"/>
    <sheet name="Ret ISR Hon" sheetId="8" state="hidden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</externalReferences>
  <definedNames>
    <definedName function="false" hidden="false" localSheetId="5" name="_xlnm.Print_Area" vbProcedure="false">BAL!$C$1:$G$185</definedName>
    <definedName function="false" hidden="false" localSheetId="5" name="_xlnm.Print_Titles" vbProcedure="false">BAL!$1:$6</definedName>
    <definedName function="false" hidden="true" localSheetId="5" name="_xlnm._FilterDatabase" vbProcedure="false">BAL!$A$5:$N$190</definedName>
    <definedName function="false" hidden="false" localSheetId="6" name="_xlnm.Print_Area" vbProcedure="false">Res!$B$1:$P$87</definedName>
    <definedName function="false" hidden="false" name="ABRIL" vbProcedure="false">[1]AB!$A$6:$H$58</definedName>
    <definedName function="false" hidden="false" name="AGOSTO" vbProcedure="false">[1]AGO!$A$6:$H$84</definedName>
    <definedName function="false" hidden="false" name="ALIANZA" vbProcedure="false">#ref!</definedName>
    <definedName function="false" hidden="false" name="ALIMENTOS" vbProcedure="false">#ref!</definedName>
    <definedName function="false" hidden="false" name="ALIMENTOS_1" vbProcedure="false">#ref!</definedName>
    <definedName function="false" hidden="false" name="ALIMENTOS_2" vbProcedure="false">#ref!</definedName>
    <definedName function="false" hidden="true" name="AMBI98" vbProcedure="false">{#N/A,#N/A,FALSE,"Aging Summary";#N/A,#N/A,FALSE,"Ratio Analysis";#N/A,#N/A,FALSE,"Test 120 Day Accts";#N/A,#N/A,FALSE,"Tickmarks"}</definedName>
    <definedName function="false" hidden="false" name="AMBI99" vbProcedure="false">#ref!</definedName>
    <definedName function="false" hidden="false" name="AMBIT009" vbProcedure="false">[2]CONCIL!$D$15</definedName>
    <definedName function="false" hidden="false" name="AMBIT08" vbProcedure="false">#ref!</definedName>
    <definedName function="false" hidden="false" name="AMBIT09" vbProcedure="false">#ref!</definedName>
    <definedName function="false" hidden="false" name="ANEXO" vbProcedure="false">[3]ANEXO5!$A$2:$V$21</definedName>
    <definedName function="false" hidden="false" name="ANEXO1" vbProcedure="false">#ref!</definedName>
    <definedName function="false" hidden="false" name="ANEXO10" vbProcedure="false">#ref!</definedName>
    <definedName function="false" hidden="false" name="ANEXO2" vbProcedure="false">#ref!</definedName>
    <definedName function="false" hidden="false" name="ANEXO3" vbProcedure="false">#ref!</definedName>
    <definedName function="false" hidden="false" name="ANEXO4" vbProcedure="false">#ref!</definedName>
    <definedName function="false" hidden="false" name="ANEXO5" vbProcedure="false">#ref!</definedName>
    <definedName function="false" hidden="false" name="ANEXO6" vbProcedure="false">#ref!</definedName>
    <definedName function="false" hidden="false" name="ANEXO7" vbProcedure="false">#ref!</definedName>
    <definedName function="false" hidden="false" name="ANEXO8" vbProcedure="false">#ref!</definedName>
    <definedName function="false" hidden="false" name="ANEXO9" vbProcedure="false">#ref!</definedName>
    <definedName function="false" hidden="false" name="ARA_Threshold" vbProcedure="false">#ref!</definedName>
    <definedName function="false" hidden="true" name="AS2DocOpenMode" vbProcedure="false">"AS2DocumentEdit"</definedName>
    <definedName function="false" hidden="true" name="AS2NamedRange" vbProcedure="false">2</definedName>
    <definedName function="false" hidden="true" name="AS2ReportLS" vbProcedure="false">1</definedName>
    <definedName function="false" hidden="true" name="AS2SyncStepLS" vbProcedure="false">0</definedName>
    <definedName function="false" hidden="true" name="AS2TickmarkLS" vbProcedure="false">#ref!</definedName>
    <definedName function="false" hidden="true" name="AS2VersionLS" vbProcedure="false">300</definedName>
    <definedName function="false" hidden="false" name="A_ESPEC" vbProcedure="false">#ref!</definedName>
    <definedName function="false" hidden="false" name="A_impresión_IM" vbProcedure="false">#ref!</definedName>
    <definedName function="false" hidden="false" name="año" vbProcedure="false">'[4]1441'!$B$4</definedName>
    <definedName function="false" hidden="false" name="BALANZA" vbProcedure="false">'[5]Bal Dic M3 (Vaciado)'!$A$1:$G$313</definedName>
    <definedName function="false" hidden="false" name="BALANZA_ABRIL" vbProcedure="false">'[6]04'!$A$1:$IV$65536</definedName>
    <definedName function="false" hidden="false" name="BALANZA_AGOSTO" vbProcedure="false">'[6]08'!$A$1:$IV$65536</definedName>
    <definedName function="false" hidden="false" name="BALANZA_DICIEMBRE" vbProcedure="false">'[6]12'!$A$1:$IV$65536</definedName>
    <definedName function="false" hidden="false" name="BALANZA_ENERO" vbProcedure="false">'[6]01'!$A$1:$IV$65536</definedName>
    <definedName function="false" hidden="false" name="BALANZA_FEBRERO" vbProcedure="false">'[6]02'!$A$1:$IV$65536</definedName>
    <definedName function="false" hidden="false" name="BALANZA_JULIO" vbProcedure="false">'[6]07'!$A$1:$IV$65536</definedName>
    <definedName function="false" hidden="false" name="BALANZA_JUNIO" vbProcedure="false">'[6]06'!$A$1:$IV$65536</definedName>
    <definedName function="false" hidden="false" name="BALANZA_MARZO" vbProcedure="false">'[6]03'!$A$1:$IV$65536</definedName>
    <definedName function="false" hidden="false" name="BALANZA_MAYO" vbProcedure="false">'[6]05'!$A$1:$IV$65536</definedName>
    <definedName function="false" hidden="false" name="BALANZA_NOVIEMBRE" vbProcedure="false">'[6]11'!$A$1:$IV$65536</definedName>
    <definedName function="false" hidden="false" name="BALANZA_OCTUBRE" vbProcedure="false">'[6]10'!$A$1:$IV$65536</definedName>
    <definedName function="false" hidden="false" name="BALANZA_SEPTIEMBRE" vbProcedure="false">'[6]9'!$A$1:$IV$65536</definedName>
    <definedName function="false" hidden="false" name="BELLAVISTA" vbProcedure="false">#ref!</definedName>
    <definedName function="false" hidden="true" name="BG_Del" vbProcedure="false">15</definedName>
    <definedName function="false" hidden="true" name="BG_Ins" vbProcedure="false">4</definedName>
    <definedName function="false" hidden="true" name="BG_Mod" vbProcedure="false">6</definedName>
    <definedName function="false" hidden="false" name="B_DESCR" vbProcedure="false">#ref!</definedName>
    <definedName function="false" hidden="false" name="CAASS" vbProcedure="false">#ref!</definedName>
    <definedName function="false" hidden="false" name="CAPITAL" vbProcedure="false">#ref!</definedName>
    <definedName function="false" hidden="false" name="CAT" vbProcedure="false">#ref!</definedName>
    <definedName function="false" hidden="false" name="CEDULA_1" vbProcedure="false">#ref!</definedName>
    <definedName function="false" hidden="false" name="CEDULA_2" vbProcedure="false">#ref!</definedName>
    <definedName function="false" hidden="false" name="CEDULA_2.1" vbProcedure="false">#ref!</definedName>
    <definedName function="false" hidden="false" name="CEDULA_2.2" vbProcedure="false">#ref!</definedName>
    <definedName function="false" hidden="false" name="CEDULA_2.3" vbProcedure="false">#ref!</definedName>
    <definedName function="false" hidden="false" name="CEDULA_2.4" vbProcedure="false">#ref!</definedName>
    <definedName function="false" hidden="false" name="CEDULA_2.5" vbProcedure="false">#ref!</definedName>
    <definedName function="false" hidden="false" name="CEDULA_2.6" vbProcedure="false">#ref!</definedName>
    <definedName function="false" hidden="false" name="CEDULA_2.7" vbProcedure="false">#ref!</definedName>
    <definedName function="false" hidden="false" name="CEDULA_3" vbProcedure="false">#ref!</definedName>
    <definedName function="false" hidden="false" name="CIASA" vbProcedure="false">#ref!</definedName>
    <definedName function="false" hidden="false" name="COMPRAS" vbProcedure="false">[7]COSTO!$H$15,[7]COSTO!$H$16,[7]COSTO!$H$26,[7]COSTO!$H$27,[7]COSTO!$H$34,[7]COSTO!$H$35</definedName>
    <definedName function="false" hidden="false" name="CONSOLIDADDO" vbProcedure="false">#ref!</definedName>
    <definedName function="false" hidden="false" name="CONTABLE" vbProcedure="false">#ref!</definedName>
    <definedName function="false" hidden="false" name="CUENTAS" vbProcedure="false">#ref!</definedName>
    <definedName function="false" hidden="false" name="C_ULNAT" vbProcedure="false">#ref!</definedName>
    <definedName function="false" hidden="false" name="DEST_PDN" vbProcedure="false">#ref!</definedName>
    <definedName function="false" hidden="false" name="DETERM_BASE" vbProcedure="false">#ref!</definedName>
    <definedName function="false" hidden="false" name="DET_ABR" vbProcedure="false">#ref!</definedName>
    <definedName function="false" hidden="false" name="DET_AGO" vbProcedure="false">#ref!</definedName>
    <definedName function="false" hidden="false" name="DET_DIC" vbProcedure="false">#ref!</definedName>
    <definedName function="false" hidden="false" name="DET_ENE" vbProcedure="false">#ref!</definedName>
    <definedName function="false" hidden="false" name="DET_FEB" vbProcedure="false">#ref!</definedName>
    <definedName function="false" hidden="false" name="DET_JUL" vbProcedure="false">#ref!</definedName>
    <definedName function="false" hidden="false" name="DET_JUN" vbProcedure="false">#ref!</definedName>
    <definedName function="false" hidden="false" name="DET_MAR" vbProcedure="false">#ref!</definedName>
    <definedName function="false" hidden="false" name="DET_MAY" vbProcedure="false">#ref!</definedName>
    <definedName function="false" hidden="false" name="DET_NOV" vbProcedure="false">#ref!</definedName>
    <definedName function="false" hidden="false" name="DET_OCT" vbProcedure="false">#ref!</definedName>
    <definedName function="false" hidden="false" name="DET_SEP" vbProcedure="false">#ref!</definedName>
    <definedName function="false" hidden="false" name="DICIEMBRE" vbProcedure="false">'[1]Dic 09'!$A$6:$H$462</definedName>
    <definedName function="false" hidden="false" name="D_ULSAB" vbProcedure="false">#ref!</definedName>
    <definedName function="false" hidden="false" name="ENERO" vbProcedure="false">[1]ENE!$A$6:$H$66</definedName>
    <definedName function="false" hidden="false" name="E_YOBAT" vbProcedure="false">#ref!</definedName>
    <definedName function="false" hidden="false" name="FEBRERO" vbProcedure="false">[1]FEB!$A$6:$H$71</definedName>
    <definedName function="false" hidden="false" name="fecha" vbProcedure="false">[8]ductos!#ref!</definedName>
    <definedName function="false" hidden="false" name="F_YOLIQ" vbProcedure="false">#ref!</definedName>
    <definedName function="false" hidden="false" name="GPO" vbProcedure="false">#N/A</definedName>
    <definedName function="false" hidden="false" name="G_CREMA" vbProcedure="false">#ref!</definedName>
    <definedName function="false" hidden="false" name="H_QUESO" vbProcedure="false">#ref!</definedName>
    <definedName function="false" hidden="false" name="IETU" vbProcedure="false">'[9]ajuste anual'!#ref!</definedName>
    <definedName function="false" hidden="false" name="INPC" vbProcedure="false">[7]INPC!$C$69:$D$749</definedName>
    <definedName function="false" hidden="false" name="INTERESES" vbProcedure="false">#ref!</definedName>
    <definedName function="false" hidden="false" name="INTRODUCCION" vbProcedure="false">#ref!</definedName>
    <definedName function="false" hidden="false" name="I_JUGO" vbProcedure="false">#ref!</definedName>
    <definedName function="false" hidden="false" name="JULIO" vbProcedure="false">[1]JUL!$A$6:$H$78</definedName>
    <definedName function="false" hidden="false" name="JUNIO" vbProcedure="false">[1]JUN!$A$6:$H$63</definedName>
    <definedName function="false" hidden="false" name="J_FRESQ" vbProcedure="false">#ref!</definedName>
    <definedName function="false" hidden="false" name="KAPP" vbProcedure="false">#ref!</definedName>
    <definedName function="false" hidden="false" name="K_RESUM1" vbProcedure="false">#ref!</definedName>
    <definedName function="false" hidden="false" name="LAURA" vbProcedure="false">'[10]ajuste anual'!#ref!</definedName>
    <definedName function="false" hidden="false" name="L_RESUM2" vbProcedure="false">#ref!</definedName>
    <definedName function="false" hidden="false" name="MARZO" vbProcedure="false">[1]MAR!$A$6:$H$59</definedName>
    <definedName function="false" hidden="false" name="MAYO" vbProcedure="false">[1]MAYO!$A$6:$H$67</definedName>
    <definedName function="false" hidden="false" name="mes" vbProcedure="false">'[4]1441'!$B$3</definedName>
    <definedName function="false" hidden="false" name="MIRA" vbProcedure="false">'[9]ajuste anual'!#ref!</definedName>
    <definedName function="false" hidden="false" name="M_CONC" vbProcedure="false">#ref!</definedName>
    <definedName function="false" hidden="false" name="NADA1" vbProcedure="false">'[9]ajuste anual'!#ref!</definedName>
    <definedName function="false" hidden="false" name="NIDIA" vbProcedure="false">'[9]ajuste anual'!#ref!</definedName>
    <definedName function="false" hidden="true" name="NombreCía" vbProcedure="false">#ref!</definedName>
    <definedName function="false" hidden="false" name="NOVIEMBRE" vbProcedure="false">[1]NOV!$A$6:$H$98</definedName>
    <definedName function="false" hidden="false" name="N_RESUM3" vbProcedure="false">#ref!</definedName>
    <definedName function="false" hidden="false" name="OCTUBRE" vbProcedure="false">[1]OCT!$A$6:$H$95</definedName>
    <definedName function="false" hidden="false" name="O_SEMI" vbProcedure="false">#ref!</definedName>
    <definedName function="false" hidden="false" name="PAGOS" vbProcedure="false">#ref!</definedName>
    <definedName function="false" hidden="false" name="PARCIAL" vbProcedure="false">#ref!</definedName>
    <definedName function="false" hidden="false" name="PARCIAL1" vbProcedure="false">#ref!</definedName>
    <definedName function="false" hidden="false" name="PARCIAL2" vbProcedure="false">#ref!</definedName>
    <definedName function="false" hidden="false" name="PARCIAL4" vbProcedure="false">#ref!</definedName>
    <definedName function="false" hidden="false" name="PARCIAL5" vbProcedure="false">#ref!</definedName>
    <definedName function="false" hidden="false" name="PARCIAL6" vbProcedure="false">#ref!</definedName>
    <definedName function="false" hidden="false" name="PDEAYALA" vbProcedure="false">#ref!</definedName>
    <definedName function="false" hidden="false" name="PEDERNALES" vbProcedure="false">#ref!</definedName>
    <definedName function="false" hidden="false" name="PERDIDAS" vbProcedure="false">#ref!</definedName>
    <definedName function="false" hidden="false" name="PERSONAL" vbProcedure="false">#ref!</definedName>
    <definedName function="false" hidden="false" name="POLIZA" vbProcedure="false">#ref!</definedName>
    <definedName function="false" hidden="false" name="PRCIAL3" vbProcedure="false">#ref!</definedName>
    <definedName function="false" hidden="false" name="PRINT1" vbProcedure="false">#ref!</definedName>
    <definedName function="false" hidden="false" name="PRINT2" vbProcedure="false">#ref!</definedName>
    <definedName function="false" hidden="false" name="procesos" vbProcedure="false">[8]Procesos!$A$4:$B$44</definedName>
    <definedName function="false" hidden="false" name="PROMEDIO" vbProcedure="false">#ref!</definedName>
    <definedName function="false" hidden="false" name="PROMEDIO_ACTIVOS" vbProcedure="false">'[7]ACTIVOS FIJOS IMPAC'!$AB$13,'[7]ACTIVOS FIJOS IMPAC'!$AB$17,'[7]ACTIVOS FIJOS IMPAC'!$AB$20,'[7]ACTIVOS FIJOS IMPAC'!$AB$23,'[7]ACTIVOS FIJOS IMPAC'!$AB$26,'[7]ACTIVOS FIJOS IMPAC'!$AB$31</definedName>
    <definedName function="false" hidden="false" name="PRUEBA" vbProcedure="false">#ref!</definedName>
    <definedName function="false" hidden="false" name="q" vbProcedure="false">#ref!</definedName>
    <definedName function="false" hidden="false" name="RANGO" vbProcedure="false">#ref!</definedName>
    <definedName function="false" hidden="false" name="Rango1" vbProcedure="false">#ref!</definedName>
    <definedName function="false" hidden="false" name="Ref_1" vbProcedure="false">[13]inventarios!#ref!</definedName>
    <definedName function="false" hidden="false" name="REL" vbProcedure="false">#ref!</definedName>
    <definedName function="false" hidden="false" name="RESUMEN" vbProcedure="false">[9]Procesos!$A$4:$B$29</definedName>
    <definedName function="false" hidden="false" name="rngCF3" vbProcedure="false">'[10]Sch 2.2 - Other Carryovers'!$G$1179</definedName>
    <definedName function="false" hidden="false" name="rngCF3Type" vbProcedure="false">'[10]Sch 2.2 - Other Carryovers'!$G$1180</definedName>
    <definedName function="false" hidden="false" name="rngCRN" vbProcedure="false">'[10]Template Data'!$A$59</definedName>
    <definedName function="false" hidden="false" name="rngHide22_3" vbProcedure="false">'[10]Sch 2.2 - Other Carryovers'!$A$1182</definedName>
    <definedName function="false" hidden="false" name="SAGABRIEL" vbProcedure="false">#ref!</definedName>
    <definedName function="false" hidden="false" name="SANTOSEIMP" vbProcedure="false">#ref!</definedName>
    <definedName function="false" hidden="true" name="sd" vbProcedure="false">#ref!</definedName>
    <definedName function="false" hidden="false" name="SEPTIEMBRE" vbProcedure="false">[1]SEP!$A$6:$H$90</definedName>
    <definedName function="false" hidden="false" name="SJJ" vbProcedure="false">#ref!</definedName>
    <definedName function="false" hidden="false" name="SMGDF3" vbProcedure="false">[11]VARIABLES!$B$16</definedName>
    <definedName function="false" hidden="false" name="SMGZ" vbProcedure="false">[11]VARIABLES!$B$8</definedName>
    <definedName function="false" hidden="false" name="Subsidio" vbProcedure="false">#ref!</definedName>
    <definedName function="false" hidden="false" name="SUMA1" vbProcedure="false">#ref!</definedName>
    <definedName function="false" hidden="false" name="SUMA2" vbProcedure="false">#ref!</definedName>
    <definedName function="false" hidden="false" name="SUMA3" vbProcedure="false">#ref!</definedName>
    <definedName function="false" hidden="false" name="SUMA4" vbProcedure="false">#ref!</definedName>
    <definedName function="false" hidden="false" name="SUMA5" vbProcedure="false">#ref!</definedName>
    <definedName function="false" hidden="false" name="SUMA6" vbProcedure="false">#ref!</definedName>
    <definedName function="false" hidden="false" name="TABLA" vbProcedure="false">#ref!</definedName>
    <definedName function="false" hidden="false" name="TABLA1" vbProcedure="false">[6]TABLA1!$A$6:$M$71</definedName>
    <definedName function="false" hidden="false" name="TABLA2" vbProcedure="false">[6]TABLA1!$A$5:$M$72</definedName>
    <definedName function="false" hidden="false" name="TABLAS" vbProcedure="false">#ref!</definedName>
    <definedName function="false" hidden="false" name="TABLON" vbProcedure="false">'[12]INPC (2)'!$A$5:$M$68</definedName>
    <definedName function="false" hidden="false" name="Tarifa" vbProcedure="false">#ref!</definedName>
    <definedName function="false" hidden="false" name="tasa" vbProcedure="false">[13]DEPRECIACION!$E$2</definedName>
    <definedName function="false" hidden="false" name="TEMO" vbProcedure="false">#ref!</definedName>
    <definedName function="false" hidden="false" name="TextRefCopy1" vbProcedure="false">#ref!</definedName>
    <definedName function="false" hidden="false" name="TextRefCopy10" vbProcedure="false">#ref!</definedName>
    <definedName function="false" hidden="false" name="TextRefCopy11" vbProcedure="false">#ref!</definedName>
    <definedName function="false" hidden="false" name="TextRefCopy12" vbProcedure="false">#ref!</definedName>
    <definedName function="false" hidden="false" name="TextRefCopy13" vbProcedure="false">#ref!</definedName>
    <definedName function="false" hidden="false" name="TextRefCopy14" vbProcedure="false">#ref!</definedName>
    <definedName function="false" hidden="false" name="TextRefCopy15" vbProcedure="false">#ref!</definedName>
    <definedName function="false" hidden="false" name="TextRefCopy16" vbProcedure="false">#ref!</definedName>
    <definedName function="false" hidden="false" name="TextRefCopy17" vbProcedure="false">#ref!</definedName>
    <definedName function="false" hidden="false" name="TextRefCopy18" vbProcedure="false">#ref!</definedName>
    <definedName function="false" hidden="false" name="TextRefCopy19" vbProcedure="false">#ref!</definedName>
    <definedName function="false" hidden="false" name="TextRefCopy2" vbProcedure="false">#ref!</definedName>
    <definedName function="false" hidden="false" name="TextRefCopy20" vbProcedure="false">#ref!</definedName>
    <definedName function="false" hidden="false" name="TextRefCopy21" vbProcedure="false">#ref!</definedName>
    <definedName function="false" hidden="false" name="TextRefCopy22" vbProcedure="false">#ref!</definedName>
    <definedName function="false" hidden="false" name="TextRefCopy23" vbProcedure="false">#ref!</definedName>
    <definedName function="false" hidden="false" name="TextRefCopy24" vbProcedure="false">#ref!</definedName>
    <definedName function="false" hidden="false" name="TextRefCopy25" vbProcedure="false">#ref!</definedName>
    <definedName function="false" hidden="false" name="TextRefCopy26" vbProcedure="false">#ref!</definedName>
    <definedName function="false" hidden="false" name="TextRefCopy27" vbProcedure="false">#ref!</definedName>
    <definedName function="false" hidden="false" name="TextRefCopy28" vbProcedure="false">#ref!</definedName>
    <definedName function="false" hidden="false" name="TextRefCopy29" vbProcedure="false">#ref!</definedName>
    <definedName function="false" hidden="false" name="TextRefCopy3" vbProcedure="false">#ref!</definedName>
    <definedName function="false" hidden="false" name="TextRefCopy30" vbProcedure="false">#ref!</definedName>
    <definedName function="false" hidden="false" name="TextRefCopy31" vbProcedure="false">#ref!</definedName>
    <definedName function="false" hidden="false" name="TextRefCopy32" vbProcedure="false">#ref!</definedName>
    <definedName function="false" hidden="false" name="TextRefCopy33" vbProcedure="false">#ref!</definedName>
    <definedName function="false" hidden="false" name="TextRefCopy34" vbProcedure="false">[14]Conciliacion!$D$9</definedName>
    <definedName function="false" hidden="false" name="TextRefCopy35" vbProcedure="false">#ref!</definedName>
    <definedName function="false" hidden="false" name="TextRefCopy36" vbProcedure="false">[14]Resultados!$B$7</definedName>
    <definedName function="false" hidden="false" name="TextRefCopy37" vbProcedure="false">[14]Resultados!$B$10</definedName>
    <definedName function="false" hidden="false" name="TextRefCopy38" vbProcedure="false">[14]Resultados!$B$18</definedName>
    <definedName function="false" hidden="false" name="TextRefCopy39" vbProcedure="false">#ref!</definedName>
    <definedName function="false" hidden="false" name="TextRefCopy4" vbProcedure="false">#ref!</definedName>
    <definedName function="false" hidden="false" name="TextRefCopy40" vbProcedure="false">[14]Conciliacion!$D$10</definedName>
    <definedName function="false" hidden="false" name="TextRefCopy45" vbProcedure="false">'[9]ajuste anual'!#ref!</definedName>
    <definedName function="false" hidden="false" name="TextRefCopy46" vbProcedure="false">'[9]ajuste anual'!#ref!</definedName>
    <definedName function="false" hidden="false" name="TextRefCopy47" vbProcedure="false">'[9]ajuste anual'!#ref!</definedName>
    <definedName function="false" hidden="false" name="TextRefCopy48" vbProcedure="false">'[9]ajuste anual'!#ref!</definedName>
    <definedName function="false" hidden="false" name="TextRefCopy49" vbProcedure="false">#ref!</definedName>
    <definedName function="false" hidden="false" name="TextRefCopy50" vbProcedure="false">#ref!</definedName>
    <definedName function="false" hidden="false" name="TextRefCopy51" vbProcedure="false">#ref!</definedName>
    <definedName function="false" hidden="false" name="TextRefCopy52" vbProcedure="false">'[9]ajuste anual'!#ref!</definedName>
    <definedName function="false" hidden="false" name="TextRefCopy53" vbProcedure="false">#ref!</definedName>
    <definedName function="false" hidden="false" name="TextRefCopy54" vbProcedure="false">#ref!</definedName>
    <definedName function="false" hidden="false" name="TextRefCopy55" vbProcedure="false">#ref!</definedName>
    <definedName function="false" hidden="false" name="TextRefCopy56" vbProcedure="false">'[9]ajuste anual'!#ref!</definedName>
    <definedName function="false" hidden="false" name="TextRefCopy6" vbProcedure="false">[2]no!$G$63</definedName>
    <definedName function="false" hidden="false" name="TextRefCopy7" vbProcedure="false">[2]no!$G$65</definedName>
    <definedName function="false" hidden="false" name="TextRefCopy8" vbProcedure="false">#ref!</definedName>
    <definedName function="false" hidden="false" name="TextRefCopy9" vbProcedure="false">#ref!</definedName>
    <definedName function="false" hidden="true" name="TextRefCopyRangeCount" vbProcedure="false">53</definedName>
    <definedName function="false" hidden="false" name="TOMM1" vbProcedure="false">#ref!</definedName>
    <definedName function="false" hidden="false" name="VACIADO_D3" vbProcedure="false">[5]DIM3_R2!$R$4:$X$264</definedName>
    <definedName function="false" hidden="true" name="wrn.Aging._.and._.Trend._.Analysis." vbProcedure="false">{#N/A,#N/A,FALSE,"Aging Summary";#N/A,#N/A,FALSE,"Ratio Analysis";#N/A,#N/A,FALSE,"Test 120 Day Accts";#N/A,#N/A,FALSE,"Tickmarks"}</definedName>
    <definedName function="false" hidden="true" name="X" vbProcedure="false">#ref!</definedName>
    <definedName function="false" hidden="false" name="Y" vbProcedure="false">[15]Conciliacion!$D$9</definedName>
    <definedName function="false" hidden="false" name="Z" vbProcedure="false">[15]Conciliacion!$D$10</definedName>
    <definedName function="false" hidden="false" name="_A" vbProcedure="false">#ref!</definedName>
    <definedName function="false" hidden="true" name="_Parse_In" vbProcedure="false">#ref!</definedName>
    <definedName function="false" hidden="false" name="_xlnm.Database" vbProcedure="false">#ref!</definedName>
    <definedName function="false" hidden="true" name="__123Graph_A" vbProcedure="false">#ref!</definedName>
    <definedName function="false" hidden="true" name="__123Graph_B" vbProcedure="false">#ref!</definedName>
    <definedName function="false" hidden="true" name="__123Graph_C" vbProcedure="false">#ref!</definedName>
    <definedName function="false" hidden="true" name="__123Graph_D" vbProcedure="false">#ref!</definedName>
    <definedName function="false" hidden="true" name="__123Graph_E" vbProcedure="false">#ref!</definedName>
    <definedName function="false" hidden="true" name="__123Graph_F" vbProcedure="false">#ref!</definedName>
    <definedName function="false" hidden="true" name="__123Graph_X" vbProcedure="false">#ref!</definedName>
    <definedName function="false" hidden="true" localSheetId="7" name="AMBI98" vbProcedure="false">{#N/A,#N/A,FALSE,"Aging Summary";#N/A,#N/A,FALSE,"Ratio Analysis";#N/A,#N/A,FALSE,"Test 120 Day Accts";#N/A,#N/A,FALSE,"Tickmarks"}</definedName>
    <definedName function="false" hidden="true" localSheetId="7" name="wrn.Aging._.and._.Trend._.Analysis." vbProcedure="false">{#N/A,#N/A,FALSE,"Aging Summary";#N/A,#N/A,FALSE,"Ratio Analysis";#N/A,#N/A,FALSE,"Test 120 Day Accts";#N/A,#N/A,FALSE,"Tickmarks"}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7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Alma Chavez</author>
  </authors>
  <commentList>
    <comment ref="G49" authorId="0">
      <text>
        <r>
          <rPr>
            <sz val="10"/>
            <rFont val="Arial"/>
            <family val="2"/>
          </rPr>
          <t xml:space="preserve">Alma Chavez:
</t>
        </r>
        <r>
          <rPr>
            <sz val="9"/>
            <color rgb="FF000000"/>
            <rFont val="Tahoma"/>
            <family val="2"/>
            <charset val="1"/>
          </rPr>
          <t xml:space="preserve">Dato DA Ejercicio anterior.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10</xdr:col>
                <xdr:colOff>0</xdr:colOff>
                <xdr:row>79</xdr:row>
                <xdr:rowOff>9</xdr:rowOff>
              </xdr:from>
              <xdr:to>
                <xdr:col>13</xdr:col>
                <xdr:colOff>8</xdr:colOff>
                <xdr:row>84</xdr:row>
                <xdr:rowOff>0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<sst xmlns="http://schemas.openxmlformats.org/spreadsheetml/2006/main" count="748" uniqueCount="497">
  <si>
    <t xml:space="preserve">CUENTA DE CAPITAL DE APORTACIÓN (CUCA)</t>
  </si>
  <si>
    <t xml:space="preserve">TIPO DE MOVIMIENTO</t>
  </si>
  <si>
    <t xml:space="preserve">FEHA</t>
  </si>
  <si>
    <t xml:space="preserve">MONTO</t>
  </si>
  <si>
    <t xml:space="preserve">CAPITAL SOCIAL (HISTORICO)</t>
  </si>
  <si>
    <t xml:space="preserve">INPC FECHA DEL MOVIMIENTO</t>
  </si>
  <si>
    <t xml:space="preserve">INPC DE ACTUALIZACIÓN</t>
  </si>
  <si>
    <t xml:space="preserve">FACTOR DE ACTUALIZACIÓN</t>
  </si>
  <si>
    <t xml:space="preserve">CAP. SOCIAL ACT. MAS/MENOS AUMENTO O DISMINUCIÓN DE CAPITAL</t>
  </si>
  <si>
    <t xml:space="preserve">CAPITAL SOCIAL ACTUALIZADO</t>
  </si>
  <si>
    <t xml:space="preserve">APORTACIÓN INICIAL</t>
  </si>
  <si>
    <t xml:space="preserve">ACTUALIZACION A 2010</t>
  </si>
  <si>
    <t xml:space="preserve">ACTUALIZACION A 2011</t>
  </si>
  <si>
    <t xml:space="preserve">ACTUALIZACION A 2012</t>
  </si>
  <si>
    <t xml:space="preserve">ACTUALIZACION A 2013</t>
  </si>
  <si>
    <t xml:space="preserve">ACTUALIZACION A 2014</t>
  </si>
  <si>
    <t xml:space="preserve">ACTUALIZACION A 2015</t>
  </si>
  <si>
    <t xml:space="preserve">ACTUALIZACION A 2016</t>
  </si>
  <si>
    <t xml:space="preserve">ACTUALIZACION A 2018</t>
  </si>
  <si>
    <t xml:space="preserve">ACTUALIZACION A 2019</t>
  </si>
  <si>
    <t xml:space="preserve">ACTUALIZACION A 2020</t>
  </si>
  <si>
    <t xml:space="preserve">ACTUALIZACION A 2021</t>
  </si>
  <si>
    <t xml:space="preserve">ACTUALIZACION A 2022</t>
  </si>
  <si>
    <t xml:space="preserve">ACTUALIZACION A 2023</t>
  </si>
  <si>
    <t xml:space="preserve">ACTUALIZACION A 2024</t>
  </si>
  <si>
    <t xml:space="preserve">DETERMINACION DE SALDO DE CUFIN 2014 EN ADELANT</t>
  </si>
  <si>
    <t xml:space="preserve">RESULTADO FISCAL</t>
  </si>
  <si>
    <t xml:space="preserve">ISR PAGADO ANUAL</t>
  </si>
  <si>
    <t xml:space="preserve">NO DEDUCIBLES</t>
  </si>
  <si>
    <t xml:space="preserve">DECRETO DE DIVIDENDOS</t>
  </si>
  <si>
    <t xml:space="preserve">PTU  pagada Art10 f-1 </t>
  </si>
  <si>
    <t xml:space="preserve">CUFIN</t>
  </si>
  <si>
    <t xml:space="preserve">DIC.2013</t>
  </si>
  <si>
    <t xml:space="preserve">DIC.2021</t>
  </si>
  <si>
    <t xml:space="preserve">DIC.2022</t>
  </si>
  <si>
    <t xml:space="preserve">DIC.2014</t>
  </si>
  <si>
    <t xml:space="preserve">DIC.2015</t>
  </si>
  <si>
    <t xml:space="preserve">DIC.2016</t>
  </si>
  <si>
    <t xml:space="preserve">DIC.2017</t>
  </si>
  <si>
    <t xml:space="preserve">DIC.2018</t>
  </si>
  <si>
    <t xml:space="preserve">DIC.2019</t>
  </si>
  <si>
    <t xml:space="preserve">DIC.2020</t>
  </si>
  <si>
    <t xml:space="preserve">DIC.2023</t>
  </si>
  <si>
    <t xml:space="preserve">DIC.2024</t>
  </si>
  <si>
    <t xml:space="preserve">FACTOR ACTUALIZACION</t>
  </si>
  <si>
    <t xml:space="preserve">Cufin Actualizada al cierre del año ANTERIOR</t>
  </si>
  <si>
    <t xml:space="preserve">Cufin actual. del año anterior</t>
  </si>
  <si>
    <t xml:space="preserve">Cufin acumulada </t>
  </si>
  <si>
    <t xml:space="preserve">Resultado</t>
  </si>
  <si>
    <t xml:space="preserve">del Ejercicio</t>
  </si>
  <si>
    <t xml:space="preserve">DETERMINACION DE DECLARACION ANUAL 2024 ISR</t>
  </si>
  <si>
    <t xml:space="preserve"> " Ingresos según Estado de Resultados " </t>
  </si>
  <si>
    <t xml:space="preserve">INGRESOS </t>
  </si>
  <si>
    <t xml:space="preserve">ING X RETRABAJOS</t>
  </si>
  <si>
    <t xml:space="preserve">INGRESOS POR ACTUALIZACION</t>
  </si>
  <si>
    <t xml:space="preserve">DEV SOBRE VENTA</t>
  </si>
  <si>
    <t xml:space="preserve">PRODUCTOS FINANCIEROS</t>
  </si>
  <si>
    <t xml:space="preserve">REND BANCARIOS</t>
  </si>
  <si>
    <t xml:space="preserve">OTROS PROD </t>
  </si>
  <si>
    <t xml:space="preserve">OTROS ING NO ACUMULABLES</t>
  </si>
  <si>
    <t xml:space="preserve">Total ingresos según Estado de Resultados</t>
  </si>
  <si>
    <t xml:space="preserve">INGRESOS CONTABLES NO FISCALES:</t>
  </si>
  <si>
    <t xml:space="preserve">ACTUALIZACION DEV DE IMPUESTOS</t>
  </si>
  <si>
    <t xml:space="preserve">VENTA DE ACTIVOS</t>
  </si>
  <si>
    <t xml:space="preserve">Anticipos de clientes ( Ejercicio año anterior )</t>
  </si>
  <si>
    <t xml:space="preserve">Otros Ingresos NO Acumulables</t>
  </si>
  <si>
    <t xml:space="preserve">INGRESOS FISCALES NO CONTABLES:</t>
  </si>
  <si>
    <t xml:space="preserve">INVENTARIO ACUMULABLE</t>
  </si>
  <si>
    <t xml:space="preserve">AJUSTE ANUAL X INF ACUMULABLE</t>
  </si>
  <si>
    <t xml:space="preserve">ANTICIPO DE CLIENTES 2022 ( Ejercicio actual )</t>
  </si>
  <si>
    <t xml:space="preserve">UTILIDAD EN VENTA DE ACTIVO FIJO</t>
  </si>
  <si>
    <t xml:space="preserve">Disponible</t>
  </si>
  <si>
    <t xml:space="preserve">Total  Ingresos Acumulables </t>
  </si>
  <si>
    <t xml:space="preserve"> " Deducciones  según Estado de Resultados " </t>
  </si>
  <si>
    <t xml:space="preserve">COSTO DE VENTAS</t>
  </si>
  <si>
    <t xml:space="preserve">GASTOS GENERALES</t>
  </si>
  <si>
    <t xml:space="preserve">GASTOS FINANCIEROS</t>
  </si>
  <si>
    <t xml:space="preserve">DEV SOBRE VENTA </t>
  </si>
  <si>
    <t xml:space="preserve">OTROS GASTOS</t>
  </si>
  <si>
    <t xml:space="preserve">OTROS GASTOS (ISR+PTU)</t>
  </si>
  <si>
    <t xml:space="preserve">Total de gastos según estado de resultados:</t>
  </si>
  <si>
    <t xml:space="preserve">Deducciones Contables NO Fiscales :</t>
  </si>
  <si>
    <t xml:space="preserve">DEPRECIACION CONTABLE</t>
  </si>
  <si>
    <t xml:space="preserve">Dontivos no Deducibles</t>
  </si>
  <si>
    <t xml:space="preserve">Otros N.D.</t>
  </si>
  <si>
    <t xml:space="preserve">ISR/PTU DEL EJERCICIO </t>
  </si>
  <si>
    <t xml:space="preserve">Sueldos y Salarios exentos NO Deducibles</t>
  </si>
  <si>
    <t xml:space="preserve">Cuentas por pagar a  Personas Fisicas  a dic 2024</t>
  </si>
  <si>
    <t xml:space="preserve">Cuentas por pagar a  Regimen simplificado / Soc CIV / Asoc Civ</t>
  </si>
  <si>
    <t xml:space="preserve">Cheques en transito a dic 2024 ( Personas Fisicas / Reg Simpl. )</t>
  </si>
  <si>
    <t xml:space="preserve">Costo por venta de activo fijo</t>
  </si>
  <si>
    <t xml:space="preserve">Deducciones Fiscales NO Contables:</t>
  </si>
  <si>
    <t xml:space="preserve">COSTO DE VENTAS FISCAL </t>
  </si>
  <si>
    <t xml:space="preserve">COSTO DE VENTAS FISCAL  ( NO DED )</t>
  </si>
  <si>
    <t xml:space="preserve">AJUSTE ANUAL X INF  DEDUCIBLE</t>
  </si>
  <si>
    <t xml:space="preserve">DEPRECIACION FISCAL NORMAL</t>
  </si>
  <si>
    <t xml:space="preserve">DEPRECIACION FISCAL DED INMEDIATA</t>
  </si>
  <si>
    <t xml:space="preserve">DED PEND DEL 2022 X APLICAR ( personas fisicas ej ant )</t>
  </si>
  <si>
    <t xml:space="preserve">DED PEND DEL 2022 X APLICAR ( reg simplicado / soc civiles )</t>
  </si>
  <si>
    <t xml:space="preserve">DED PEND DEL 2022 X APLICAR ( cheques en transito  ej ant )</t>
  </si>
  <si>
    <t xml:space="preserve">Costo fiscal por venta de Activo Fijo</t>
  </si>
  <si>
    <t xml:space="preserve">Total deduccioens autorizadas </t>
  </si>
  <si>
    <t xml:space="preserve">Deducciones Aut</t>
  </si>
  <si>
    <t xml:space="preserve">Costo</t>
  </si>
  <si>
    <t xml:space="preserve">Base</t>
  </si>
  <si>
    <t xml:space="preserve">Nomina Ded</t>
  </si>
  <si>
    <t xml:space="preserve">PTU pagada en el año </t>
  </si>
  <si>
    <t xml:space="preserve">IMSS/INF/RCV/ISN</t>
  </si>
  <si>
    <t xml:space="preserve">Perdida Fiscal </t>
  </si>
  <si>
    <t xml:space="preserve">Amortizacion de Perdidas de Ejercicios Anteriores</t>
  </si>
  <si>
    <t xml:space="preserve">Ded de Inversiones</t>
  </si>
  <si>
    <t xml:space="preserve">Resultado Fiscal</t>
  </si>
  <si>
    <t xml:space="preserve">Tasa</t>
  </si>
  <si>
    <t xml:space="preserve">Anticipos, Viaticos, Honorarios y Arrend PF</t>
  </si>
  <si>
    <t xml:space="preserve">ISR  del  Ejercicio </t>
  </si>
  <si>
    <t xml:space="preserve">Combustibles</t>
  </si>
  <si>
    <t xml:space="preserve">Contribuciones</t>
  </si>
  <si>
    <t xml:space="preserve">Pagos provisionales de ISR PM </t>
  </si>
  <si>
    <t xml:space="preserve">Desc y Dev</t>
  </si>
  <si>
    <t xml:space="preserve">Fletes</t>
  </si>
  <si>
    <t xml:space="preserve">Neto a Cargo ( + ) a  Favor ( - )</t>
  </si>
  <si>
    <t xml:space="preserve">Intereses</t>
  </si>
  <si>
    <t xml:space="preserve">Perdida Camb</t>
  </si>
  <si>
    <t xml:space="preserve">Seg y Fianzas</t>
  </si>
  <si>
    <t xml:space="preserve">Propaganda y publicidad</t>
  </si>
  <si>
    <t xml:space="preserve">Art y enseres de Limpieza</t>
  </si>
  <si>
    <t xml:space="preserve">Papeleria y art de oficina</t>
  </si>
  <si>
    <t xml:space="preserve">Gastos de Mtto</t>
  </si>
  <si>
    <t xml:space="preserve">AL SERVICIOS MULTIPLES EMPRESARIALES SA DE CV</t>
  </si>
  <si>
    <t xml:space="preserve">Balance General </t>
  </si>
  <si>
    <t xml:space="preserve">Al 31 de Julio de 2026</t>
  </si>
  <si>
    <t xml:space="preserve">(Importes expresados en pesos)</t>
  </si>
  <si>
    <t xml:space="preserve">  A C T I V O</t>
  </si>
  <si>
    <t xml:space="preserve">  P A S I V O</t>
  </si>
  <si>
    <t xml:space="preserve">C I R C U L A N T E</t>
  </si>
  <si>
    <t xml:space="preserve">Caja Chica</t>
  </si>
  <si>
    <t xml:space="preserve">Proveedores</t>
  </si>
  <si>
    <t xml:space="preserve">Bancos</t>
  </si>
  <si>
    <t xml:space="preserve">Acreedores Diversos</t>
  </si>
  <si>
    <t xml:space="preserve">Inversiones y Valores</t>
  </si>
  <si>
    <t xml:space="preserve">Anticipos de Clientes</t>
  </si>
  <si>
    <t xml:space="preserve">Cuentas por Cobrar</t>
  </si>
  <si>
    <t xml:space="preserve">Impuestos por Pagar</t>
  </si>
  <si>
    <t xml:space="preserve">Contribuciones </t>
  </si>
  <si>
    <t xml:space="preserve">Otros Pasivos PTU</t>
  </si>
  <si>
    <t xml:space="preserve">Inventarios</t>
  </si>
  <si>
    <t xml:space="preserve">Deudores Diversos</t>
  </si>
  <si>
    <t xml:space="preserve">Anticipo a Proveedores</t>
  </si>
  <si>
    <t xml:space="preserve">PASIVO A LARGO PLAZO</t>
  </si>
  <si>
    <t xml:space="preserve">Pagos anticipados </t>
  </si>
  <si>
    <t xml:space="preserve">TOTAL CIRCULANTE</t>
  </si>
  <si>
    <t xml:space="preserve">TOTAL PASIVO</t>
  </si>
  <si>
    <t xml:space="preserve">NO CIRCULANTE</t>
  </si>
  <si>
    <t xml:space="preserve">Herramientas</t>
  </si>
  <si>
    <t xml:space="preserve">C A P I T A L</t>
  </si>
  <si>
    <t xml:space="preserve">Mobiliario y Equipo</t>
  </si>
  <si>
    <t xml:space="preserve">C O N T A B L E</t>
  </si>
  <si>
    <t xml:space="preserve">Equipo de Cómputo</t>
  </si>
  <si>
    <t xml:space="preserve">Capital Social</t>
  </si>
  <si>
    <t xml:space="preserve">Equipo de transporte</t>
  </si>
  <si>
    <t xml:space="preserve">Aportaciones para aumentos de Capital</t>
  </si>
  <si>
    <t xml:space="preserve">Maquinaria y Equipo</t>
  </si>
  <si>
    <t xml:space="preserve">Resultados de Ejercicios Ant.</t>
  </si>
  <si>
    <t xml:space="preserve">Depreciacion acumulada de activos</t>
  </si>
  <si>
    <t xml:space="preserve">Resultado del Ejercicio</t>
  </si>
  <si>
    <t xml:space="preserve">TOTAL NO CIRCULANTE</t>
  </si>
  <si>
    <t xml:space="preserve">TOTAL CAPITAL CONTABLE</t>
  </si>
  <si>
    <t xml:space="preserve">OTROS ACTIVOS</t>
  </si>
  <si>
    <t xml:space="preserve">Depósitos en Garantía</t>
  </si>
  <si>
    <t xml:space="preserve">Pagos Anticipados</t>
  </si>
  <si>
    <t xml:space="preserve">TOTAL OTROS ACTIVOS</t>
  </si>
  <si>
    <t xml:space="preserve">TOTAL DEL ACTIVO</t>
  </si>
  <si>
    <t xml:space="preserve">TOTAL PASIVO+CAPITAL CONTABLE</t>
  </si>
  <si>
    <t xml:space="preserve">              C. P. SERGIO ALEJANDRO CHAVARRÍA SOLÍS</t>
  </si>
  <si>
    <t xml:space="preserve">LIC. GABRIELA TORRES RAMIREZ</t>
  </si>
  <si>
    <t xml:space="preserve">               CEDULA PROFESIONAL 7997330</t>
  </si>
  <si>
    <t xml:space="preserve">REPRESENTANTE LEGAL</t>
  </si>
  <si>
    <t xml:space="preserve">                CONTADOR EXTERNO</t>
  </si>
  <si>
    <t xml:space="preserve">CONTADOR EXTERNO</t>
  </si>
  <si>
    <t xml:space="preserve">Estado de Resultados</t>
  </si>
  <si>
    <t xml:space="preserve">Del 1ro de Enero al 31 de Julio 2026</t>
  </si>
  <si>
    <t xml:space="preserve">Del Período </t>
  </si>
  <si>
    <t xml:space="preserve">%</t>
  </si>
  <si>
    <t xml:space="preserve">Acumulado</t>
  </si>
  <si>
    <t xml:space="preserve">I N G R E S O S </t>
  </si>
  <si>
    <t xml:space="preserve">Ingresos por servicios</t>
  </si>
  <si>
    <t xml:space="preserve">Descuentos o bonificaciones</t>
  </si>
  <si>
    <t xml:space="preserve">INGRESOS NETOS</t>
  </si>
  <si>
    <t xml:space="preserve">C O S T O S</t>
  </si>
  <si>
    <t xml:space="preserve">Costo de Ventas</t>
  </si>
  <si>
    <t xml:space="preserve">UTILIDAD BRUTA</t>
  </si>
  <si>
    <t xml:space="preserve">Gastos de Operación</t>
  </si>
  <si>
    <t xml:space="preserve">Sueldos y Salarios</t>
  </si>
  <si>
    <t xml:space="preserve">Impuestos y Derechos</t>
  </si>
  <si>
    <t xml:space="preserve">Honorarios </t>
  </si>
  <si>
    <t xml:space="preserve">Arrendamiento</t>
  </si>
  <si>
    <t xml:space="preserve">Seguros y Fianzas</t>
  </si>
  <si>
    <t xml:space="preserve">Servicios</t>
  </si>
  <si>
    <t xml:space="preserve">Capacitación al Personal</t>
  </si>
  <si>
    <t xml:space="preserve">Fletes y/o Mensajería</t>
  </si>
  <si>
    <t xml:space="preserve">Seguridad e higiene</t>
  </si>
  <si>
    <t xml:space="preserve">Mantenimiento</t>
  </si>
  <si>
    <t xml:space="preserve">Propaganda y Publicidad</t>
  </si>
  <si>
    <t xml:space="preserve">Cuotas y Suscripciones</t>
  </si>
  <si>
    <t xml:space="preserve">Gastos de Viaje</t>
  </si>
  <si>
    <t xml:space="preserve">Herrajes y Herramientas</t>
  </si>
  <si>
    <t xml:space="preserve">Papelería y Art. de Oficina</t>
  </si>
  <si>
    <t xml:space="preserve">Depreciaciones</t>
  </si>
  <si>
    <t xml:space="preserve">Recargos</t>
  </si>
  <si>
    <t xml:space="preserve">Varios</t>
  </si>
  <si>
    <t xml:space="preserve">Uniformes</t>
  </si>
  <si>
    <t xml:space="preserve">No deducibles</t>
  </si>
  <si>
    <t xml:space="preserve">GASTOS DE OPERACIÓN</t>
  </si>
  <si>
    <t xml:space="preserve">UTILIDAD O (PÉRDIDA) DE OPERACIÓN</t>
  </si>
  <si>
    <t xml:space="preserve">OTROS INGRESOS Y GASTOS</t>
  </si>
  <si>
    <t xml:space="preserve">Otros Productos</t>
  </si>
  <si>
    <t xml:space="preserve">Otros Gastos</t>
  </si>
  <si>
    <t xml:space="preserve">TOTAL OTROS INGRESOS</t>
  </si>
  <si>
    <t xml:space="preserve">RES. INT. DE FINANCIAMIENTO</t>
  </si>
  <si>
    <t xml:space="preserve">Productos Financieros</t>
  </si>
  <si>
    <t xml:space="preserve">Gastos Financieros</t>
  </si>
  <si>
    <t xml:space="preserve">TOTAL R. I. F.</t>
  </si>
  <si>
    <t xml:space="preserve">RESULTADO ANTES DE IMPUESTOS</t>
  </si>
  <si>
    <t xml:space="preserve">ISR DEL EJERCICIO</t>
  </si>
  <si>
    <t xml:space="preserve">PTU DEL EJERCICIO</t>
  </si>
  <si>
    <t xml:space="preserve">RESULTADO DEL EJERCICIO</t>
  </si>
  <si>
    <t xml:space="preserve"> AL SERVICIOS MULTIPLES EMPRESARIALES SA DE CV</t>
  </si>
  <si>
    <t xml:space="preserve">Balanza de Comprobación</t>
  </si>
  <si>
    <t xml:space="preserve">JULIO.2026</t>
  </si>
  <si>
    <t xml:space="preserve">RFC: SME170717GA0</t>
  </si>
  <si>
    <t xml:space="preserve">CUENTA</t>
  </si>
  <si>
    <t xml:space="preserve">SALDO INICIAL</t>
  </si>
  <si>
    <t xml:space="preserve">DEBE</t>
  </si>
  <si>
    <t xml:space="preserve">HABER</t>
  </si>
  <si>
    <t xml:space="preserve">SALDO FINAL</t>
  </si>
  <si>
    <t xml:space="preserve">*</t>
  </si>
  <si>
    <t xml:space="preserve">1110 CAJA Y EFECTIVO</t>
  </si>
  <si>
    <t xml:space="preserve">1110-0001 CAJA Y EFECTIVO</t>
  </si>
  <si>
    <t xml:space="preserve">1120 BANCOS</t>
  </si>
  <si>
    <t xml:space="preserve">1120-0001 BBVA BANCOMER</t>
  </si>
  <si>
    <t xml:space="preserve">1120-0002 SANTANDER</t>
  </si>
  <si>
    <t xml:space="preserve">1120-0003 BBVA BANCOMER DOLARES</t>
  </si>
  <si>
    <t xml:space="preserve">1120-0003-0001 BBVA DOLARES</t>
  </si>
  <si>
    <t xml:space="preserve">1120-0003-0002 BBVA COMPLEMENTARIA</t>
  </si>
  <si>
    <t xml:space="preserve">1120-0006 ACTINVER CONTRATO 174493893</t>
  </si>
  <si>
    <t xml:space="preserve">1120-0009 BANORTE</t>
  </si>
  <si>
    <t xml:space="preserve">1125 INVERSIONES Y VALORES</t>
  </si>
  <si>
    <t xml:space="preserve">1125-0002 ACTINVER BOLSA CONTRATO 7129911</t>
  </si>
  <si>
    <t xml:space="preserve">1125-0003 ACTINVER BOLSA CONTRATO 7129911 DLLS</t>
  </si>
  <si>
    <t xml:space="preserve">1125-0003-0001 DOLARES</t>
  </si>
  <si>
    <t xml:space="preserve">1125-0003-0002 COMPLEMENTARIA</t>
  </si>
  <si>
    <t xml:space="preserve">1125-0003-0003 VALUACION</t>
  </si>
  <si>
    <t xml:space="preserve">1130 CLIENTES</t>
  </si>
  <si>
    <t xml:space="preserve">1130-0001 CLIENTES NACIONALES</t>
  </si>
  <si>
    <t xml:space="preserve">1130-TSPS TS PRODUCTS AND SERVICES CO</t>
  </si>
  <si>
    <t xml:space="preserve">1130-TSPS-COM TSPS COMPLEMENTARIA</t>
  </si>
  <si>
    <t xml:space="preserve">1130-TSPS-DLLS TSPS DOLARES</t>
  </si>
  <si>
    <t xml:space="preserve">1150 FUNCIONARIOS Y EMPLEADOS</t>
  </si>
  <si>
    <t xml:space="preserve">1150-0001 DEUDORES DIVERSOS</t>
  </si>
  <si>
    <t xml:space="preserve">1150-VERA ADRIANA VELARDE</t>
  </si>
  <si>
    <t xml:space="preserve">1160 IVA ACREDITABLE</t>
  </si>
  <si>
    <t xml:space="preserve">1167 IVA ACREDITABLE NO PAGADO</t>
  </si>
  <si>
    <t xml:space="preserve">1170 INVENTARIO</t>
  </si>
  <si>
    <t xml:space="preserve">1170-0001 INVENTARIO</t>
  </si>
  <si>
    <t xml:space="preserve">1190 IMPUESTOS</t>
  </si>
  <si>
    <t xml:space="preserve">1190-0001 ISR PAGOS PROVISIONALES</t>
  </si>
  <si>
    <t xml:space="preserve">1190-0002 ISR RET BANCO</t>
  </si>
  <si>
    <t xml:space="preserve">1195 CONTRIBUCIONES A FAVOR</t>
  </si>
  <si>
    <t xml:space="preserve">1195-0001 IVA A FAVOR</t>
  </si>
  <si>
    <t xml:space="preserve">1195-0002 ISR A FAVOR</t>
  </si>
  <si>
    <t xml:space="preserve">1195-0003 SUBSIDIO AL EMPLEO</t>
  </si>
  <si>
    <t xml:space="preserve">1195-0004 PAGO DE LO INDEBIDO</t>
  </si>
  <si>
    <t xml:space="preserve">1196 PAGOS ANTICIPADOS</t>
  </si>
  <si>
    <t xml:space="preserve">1196-0001 OTROS PAGOS ANTICIPADOS</t>
  </si>
  <si>
    <t xml:space="preserve">1197 ANTICIPO A PROVEEDORES</t>
  </si>
  <si>
    <t xml:space="preserve">1197-0001 ANTICIPO A PROVEEDORES</t>
  </si>
  <si>
    <t xml:space="preserve">1197-0002 ANTICIPO SERV GASOLINEROS (OXXO GAS)</t>
  </si>
  <si>
    <t xml:space="preserve">1210 MOBILIARIO Y EQUIPO</t>
  </si>
  <si>
    <t xml:space="preserve">1210-0001 MOBILIARIO Y EQUIPO</t>
  </si>
  <si>
    <t xml:space="preserve">1215 DEP ACUM DE MOBILIARIO Y EQUIPO</t>
  </si>
  <si>
    <t xml:space="preserve">1220 EQUIPO DE COMPUTO</t>
  </si>
  <si>
    <t xml:space="preserve">1220-0001 EQUIPO DE COMPUTO</t>
  </si>
  <si>
    <t xml:space="preserve">1225 DEP ACUM DE EQUIPO DE COMPUTO</t>
  </si>
  <si>
    <t xml:space="preserve">1230 EQUIPO DE TRANSPORTE</t>
  </si>
  <si>
    <t xml:space="preserve">1230-0001 EQUIPO DE TRANSPORTE</t>
  </si>
  <si>
    <t xml:space="preserve">1230-0002 REMOLQUE NVO NEGRO 2EJES MOD 2023</t>
  </si>
  <si>
    <t xml:space="preserve">1235 DEP ACUM DE EQUIPO DE TRANSPORTE</t>
  </si>
  <si>
    <t xml:space="preserve">1240 MAQUINARIA Y EQUIPO</t>
  </si>
  <si>
    <t xml:space="preserve">1240-0001 MAQUINARIA Y EQUIPO</t>
  </si>
  <si>
    <t xml:space="preserve">1245 DEP ACUM DE MAQUINARIA Y EQUIPO</t>
  </si>
  <si>
    <t xml:space="preserve">2110 PROVEEDORES</t>
  </si>
  <si>
    <t xml:space="preserve">2120 ACREEDORES DIVERSOS</t>
  </si>
  <si>
    <t xml:space="preserve">2120- VERN Nancy Angelica Velarde Rodriguez</t>
  </si>
  <si>
    <t xml:space="preserve">2120-0001 ACREEDORES DIVERSOS</t>
  </si>
  <si>
    <t xml:space="preserve">2120-0002 PRESTAMOS</t>
  </si>
  <si>
    <t xml:space="preserve">2120-0002-BB03 PRESTAMO BBVA BANCOMER CONT 00741735769827956518</t>
  </si>
  <si>
    <t xml:space="preserve">2120-0002-BBCR PRESTAMO BBVA CREDITO REVOLVENTE</t>
  </si>
  <si>
    <t xml:space="preserve">2120-0002-BBV2 PRESTAMO BBVA 202204 CRED 6008</t>
  </si>
  <si>
    <t xml:space="preserve">2120-0002-TMA0 PRESTAMO BBVA TU MEJOR AGENCIA NISSAN ONIX CONT 44274144</t>
  </si>
  <si>
    <t xml:space="preserve">2120-0RET RETENCIONES PENDIENTES</t>
  </si>
  <si>
    <t xml:space="preserve">2120-0RET-0001 RETENCION IVA PENDIENTE</t>
  </si>
  <si>
    <t xml:space="preserve">2120-9998 OTRAS DEDUCCIONES</t>
  </si>
  <si>
    <t xml:space="preserve">2120-9999 SUELDOS POR PAGAR</t>
  </si>
  <si>
    <t xml:space="preserve">2120-BANORTE PRESTAMO BANORTE</t>
  </si>
  <si>
    <t xml:space="preserve">2120-CAML CAMPOS MEDINA MARIA LILIA</t>
  </si>
  <si>
    <t xml:space="preserve">2120-CLAR TARJETAS CREDITO CLARA</t>
  </si>
  <si>
    <t xml:space="preserve">2120-TMA0 TU MEJOR AGENCIA AUTOMOTRIZ</t>
  </si>
  <si>
    <t xml:space="preserve">2120-VERA ADRIANA VELARDE</t>
  </si>
  <si>
    <t xml:space="preserve">2130 ANTICIPO DE CLIENTES</t>
  </si>
  <si>
    <t xml:space="preserve">2130-0001 ANTICIPO DE CLIENTES EXTRANJEROS</t>
  </si>
  <si>
    <t xml:space="preserve">2140 IMPUESTOS POR PAGAR</t>
  </si>
  <si>
    <t xml:space="preserve">2140-0001 IMPUESTOS RET DE ISR X SALARIOS</t>
  </si>
  <si>
    <t xml:space="preserve">2140-0002 IMPUESTOS RET DE ISR X SERVICIOS PROF</t>
  </si>
  <si>
    <t xml:space="preserve">2140-0003 IMPUESTOS RET DE ISR X ARREND</t>
  </si>
  <si>
    <t xml:space="preserve">2140-0004 IMPUESTOS RET DE IVA</t>
  </si>
  <si>
    <t xml:space="preserve">2140-0005 RETENCION IMSS OBRERO</t>
  </si>
  <si>
    <t xml:space="preserve">2140-0006 CREDITO INFONAVIT </t>
  </si>
  <si>
    <t xml:space="preserve">2140-0010 ISN POR PAGAR</t>
  </si>
  <si>
    <t xml:space="preserve">2157 IVA NO COBRADO</t>
  </si>
  <si>
    <t xml:space="preserve">2160 PTU POR PAGAR</t>
  </si>
  <si>
    <t xml:space="preserve">3100 CAPITAL SOCIAL</t>
  </si>
  <si>
    <t xml:space="preserve">3100-0001 CAPITAL FIJO</t>
  </si>
  <si>
    <t xml:space="preserve">3100-0002 CAPITAL VARIABLE</t>
  </si>
  <si>
    <t xml:space="preserve">3110 APORTACIONES</t>
  </si>
  <si>
    <t xml:space="preserve">3160 RESULTADO DE EJERCICIOS ANTERIORES</t>
  </si>
  <si>
    <t xml:space="preserve">3160-2017 RESULTADO DEL EJERCICIO 2017</t>
  </si>
  <si>
    <t xml:space="preserve">3160-2018 RESULTADO DEL EJERCICIO 2018</t>
  </si>
  <si>
    <t xml:space="preserve">3160-2019 RESULTADO DEL EJERCICIO 2019</t>
  </si>
  <si>
    <t xml:space="preserve">3160-2020 RESULTADO DEL EJERCICIO 2020</t>
  </si>
  <si>
    <t xml:space="preserve">3160-2021 RESULTADO DEL EJERCICIO 2021</t>
  </si>
  <si>
    <t xml:space="preserve">3160-2022 RESULTADO DEL EJERCICIO 2022</t>
  </si>
  <si>
    <t xml:space="preserve">3160-2023 RESULTADO DEL EJERCICIO 2023</t>
  </si>
  <si>
    <t xml:space="preserve">3160-2024 RESULTADO DEL EJERCICIO 2024</t>
  </si>
  <si>
    <t xml:space="preserve">3160-2025 RESULTADO DEL EJERCICIO 2025</t>
  </si>
  <si>
    <t xml:space="preserve">4110 INGRESOS</t>
  </si>
  <si>
    <t xml:space="preserve">4110-0001 INGRESOS POR SERVICIOS T-0%</t>
  </si>
  <si>
    <t xml:space="preserve">4110-0002 INGRESOS POR SERVICIOS CON IVA</t>
  </si>
  <si>
    <t xml:space="preserve">4110-0003 INGRESOS POR ACTUALIZACIONES</t>
  </si>
  <si>
    <t xml:space="preserve">4110-9999 OTROS INGRESOS</t>
  </si>
  <si>
    <t xml:space="preserve">5110 COSTO DE VENTAS</t>
  </si>
  <si>
    <t xml:space="preserve">5110-0001 MATERIALES PARA MAQUINARIA</t>
  </si>
  <si>
    <t xml:space="preserve">5110-0003 MATERIAL PARA CONSTRUCCION</t>
  </si>
  <si>
    <t xml:space="preserve">5110-0005 MATERIAL PARA EMPAQUES </t>
  </si>
  <si>
    <t xml:space="preserve">5110-0011 MATERIAL ACERO PERFILES</t>
  </si>
  <si>
    <t xml:space="preserve">5110-0012 MATERIAL ACERO ESPECIAL Y MAQUINADOS</t>
  </si>
  <si>
    <t xml:space="preserve">5110-0013 MATERIAL RODAMIENTOS Y SIMILARES</t>
  </si>
  <si>
    <t xml:space="preserve">5110-0014 MATERIAL ESPECIALES MAQUINADO TORTILLAS</t>
  </si>
  <si>
    <t xml:space="preserve">5110-0015 MATERIAL ELECTRICO</t>
  </si>
  <si>
    <t xml:space="preserve">5115 COSTO EN VENTA DE ACTIVO FIJO</t>
  </si>
  <si>
    <t xml:space="preserve">6110 SUELDOS Y SALARIOS</t>
  </si>
  <si>
    <t xml:space="preserve">6110-0001 SUELDO Y SEPTIMO DIA</t>
  </si>
  <si>
    <t xml:space="preserve">6110-0002 BONO DE PUNTUALIDAD</t>
  </si>
  <si>
    <t xml:space="preserve">6110-0003 BONO DE ASISTENCIA</t>
  </si>
  <si>
    <t xml:space="preserve">6110-0004 BONO DE DESPENSA</t>
  </si>
  <si>
    <t xml:space="preserve">6110-0005 PERCEPCION EXENTA</t>
  </si>
  <si>
    <t xml:space="preserve">6110-0006 AGUINALDO</t>
  </si>
  <si>
    <t xml:space="preserve">6110-0007 VACACIONES</t>
  </si>
  <si>
    <t xml:space="preserve">6110-0008 PRIMA VACACIONAL</t>
  </si>
  <si>
    <t xml:space="preserve">6110-0010 HORAS EXTRAS DOBLES</t>
  </si>
  <si>
    <t xml:space="preserve">6110-0011 HORAS EXTRAS TRIPLES</t>
  </si>
  <si>
    <t xml:space="preserve">6110-0013 INDEMNIZACION</t>
  </si>
  <si>
    <t xml:space="preserve">6110-0016 OTRAS PERCEPCIONES</t>
  </si>
  <si>
    <t xml:space="preserve">6110-0017 GRATIFICACION POR SEPARACION</t>
  </si>
  <si>
    <t xml:space="preserve">6110-0019 PRIMA DOMINICAL</t>
  </si>
  <si>
    <t xml:space="preserve">6120 IMPUESTOS</t>
  </si>
  <si>
    <t xml:space="preserve">6120-0001 IMSS</t>
  </si>
  <si>
    <t xml:space="preserve">6120-0002 SAR</t>
  </si>
  <si>
    <t xml:space="preserve">6120-0003 INFONAVIT</t>
  </si>
  <si>
    <t xml:space="preserve">6120-0004 ISN</t>
  </si>
  <si>
    <t xml:space="preserve">6120-0005 OTROS</t>
  </si>
  <si>
    <t xml:space="preserve">6125 HONORARIOS</t>
  </si>
  <si>
    <t xml:space="preserve">6125-0001 HONORARIOS PF</t>
  </si>
  <si>
    <t xml:space="preserve">6125-0002 HONORARIOS PM</t>
  </si>
  <si>
    <t xml:space="preserve">6130 ARRENDAMIENTO</t>
  </si>
  <si>
    <t xml:space="preserve">6130-0001 ARRENDAMIENTO PF</t>
  </si>
  <si>
    <t xml:space="preserve">6130-0002 ARRENDAMIENTO PM</t>
  </si>
  <si>
    <t xml:space="preserve">6135 SEGUROS Y FIANZAS</t>
  </si>
  <si>
    <t xml:space="preserve">6140 SERVICIOS</t>
  </si>
  <si>
    <t xml:space="preserve">6140-0001 ENERGIA ELECTRICA</t>
  </si>
  <si>
    <t xml:space="preserve">6140-0002 AGUA</t>
  </si>
  <si>
    <t xml:space="preserve">6140-0004 TELEFONO E INTERNET</t>
  </si>
  <si>
    <t xml:space="preserve">6144 CAPACITACION AL PERSONAL</t>
  </si>
  <si>
    <t xml:space="preserve">6145 FLETES</t>
  </si>
  <si>
    <t xml:space="preserve">6146 MENSAJERIA</t>
  </si>
  <si>
    <t xml:space="preserve">6147 SEGURIDAD E HIGIENE</t>
  </si>
  <si>
    <t xml:space="preserve">6148 BOTIQUIN Y ESTUDIOS MEDICOS</t>
  </si>
  <si>
    <t xml:space="preserve">6150 MANTENIMIENTOS</t>
  </si>
  <si>
    <t xml:space="preserve">6150-0001 OFICINA</t>
  </si>
  <si>
    <t xml:space="preserve">6150-0005 MANTENIMIENTO DE MAQUINARIA </t>
  </si>
  <si>
    <t xml:space="preserve">6155 PUBLICIDAD Y PROPAGANDA</t>
  </si>
  <si>
    <t xml:space="preserve">6160 COMBUSTIBLES</t>
  </si>
  <si>
    <t xml:space="preserve">6165 PAPELERIA Y ART DE OFICINA</t>
  </si>
  <si>
    <t xml:space="preserve">6170 CUOTAS Y SUSCRIPCIONES</t>
  </si>
  <si>
    <t xml:space="preserve">6175 GASTOS DE VIAJE</t>
  </si>
  <si>
    <t xml:space="preserve">6176 GASTOS EN EL EXTRANJERO</t>
  </si>
  <si>
    <t xml:space="preserve">6177 HERRAJES Y HERRAMIENTAS</t>
  </si>
  <si>
    <t xml:space="preserve">6185 DEPRECIACIONES</t>
  </si>
  <si>
    <t xml:space="preserve">6190 RECARGOS</t>
  </si>
  <si>
    <t xml:space="preserve">6195 GASTOS DIVERSOS</t>
  </si>
  <si>
    <t xml:space="preserve">6196 UNIFORMES</t>
  </si>
  <si>
    <t xml:space="preserve">6290 NO DEDUCIBLES</t>
  </si>
  <si>
    <t xml:space="preserve">6290-0001 NO DEDUCIBLES SIN COMPROBANTES</t>
  </si>
  <si>
    <t xml:space="preserve">6290-0002 NO DEDUCIBLES SIN REQUISITOS FISC</t>
  </si>
  <si>
    <t xml:space="preserve">6410 GASTOS FINANCIEROS</t>
  </si>
  <si>
    <t xml:space="preserve">6410-0001 COMISIONES BANCARIAS</t>
  </si>
  <si>
    <t xml:space="preserve">6410-0002 PERDIDA CAMBIARIA</t>
  </si>
  <si>
    <t xml:space="preserve">6410-0003 INTERESES</t>
  </si>
  <si>
    <t xml:space="preserve">6510   IMPUESTOS A LA UTILIDAD</t>
  </si>
  <si>
    <t xml:space="preserve">6510-0001   ISR DEL EJERCICIO</t>
  </si>
  <si>
    <t xml:space="preserve">6510-0002   PTU DEL EJERCICIO</t>
  </si>
  <si>
    <t xml:space="preserve">7510 PRODUCTOS FINANCIEROS</t>
  </si>
  <si>
    <t xml:space="preserve">7510-0001 RENDIMIENTOS BANCARIOS</t>
  </si>
  <si>
    <t xml:space="preserve">7510-0002 UTILIDAD CAMBIARIA</t>
  </si>
  <si>
    <t xml:space="preserve">SUMAS IGUALES</t>
  </si>
  <si>
    <t xml:space="preserve">DECLARACION DEL EJERCICIO</t>
  </si>
  <si>
    <t xml:space="preserve">PERSONAS MORALES DEL REGIMEN GENERAL F18</t>
  </si>
  <si>
    <t xml:space="preserve">DATOS DE IDENTIFICACION</t>
  </si>
  <si>
    <t xml:space="preserve">RFC</t>
  </si>
  <si>
    <t xml:space="preserve">SME170717GA0</t>
  </si>
  <si>
    <t xml:space="preserve">DENOMINACION O RAZON SOCIAL</t>
  </si>
  <si>
    <t xml:space="preserve">DATOS GENERALES</t>
  </si>
  <si>
    <t xml:space="preserve">TIPO DE DECLARACIÓN</t>
  </si>
  <si>
    <t xml:space="preserve">Normal</t>
  </si>
  <si>
    <t xml:space="preserve">TIPO DE COMPLEMENTARIA</t>
  </si>
  <si>
    <t xml:space="preserve">PERIODO </t>
  </si>
  <si>
    <t xml:space="preserve">Del Ejercicio</t>
  </si>
  <si>
    <t xml:space="preserve">EJERCICIO:</t>
  </si>
  <si>
    <t xml:space="preserve">INDIQUE SI OPTA POR DICTAMINAR SUS ESTADOS FINANCIEROS </t>
  </si>
  <si>
    <t xml:space="preserve">NO</t>
  </si>
  <si>
    <t xml:space="preserve">DATOS DEL DOMICILIO FISCAL ( VIGENTE )</t>
  </si>
  <si>
    <t xml:space="preserve">DOMICILIO</t>
  </si>
  <si>
    <t xml:space="preserve">NUM EXTERIOR</t>
  </si>
  <si>
    <t xml:space="preserve">NUMERO INTERIOR</t>
  </si>
  <si>
    <t xml:space="preserve">COLONIA</t>
  </si>
  <si>
    <t xml:space="preserve">CODIGO POSTAL</t>
  </si>
  <si>
    <t xml:space="preserve">ESTADO</t>
  </si>
  <si>
    <t xml:space="preserve">   Chihuahua</t>
  </si>
  <si>
    <t xml:space="preserve">  CIUDAD</t>
  </si>
  <si>
    <t xml:space="preserve">CIEC</t>
  </si>
  <si>
    <t xml:space="preserve">FIEL</t>
  </si>
  <si>
    <r>
      <rPr>
        <b val="true"/>
        <sz val="11"/>
        <color rgb="FFFF0000"/>
        <rFont val="Calibri"/>
        <family val="2"/>
        <charset val="1"/>
      </rPr>
      <t xml:space="preserve">       Nota: </t>
    </r>
    <r>
      <rPr>
        <sz val="10"/>
        <rFont val="Arial"/>
        <family val="2"/>
        <charset val="1"/>
      </rPr>
      <t xml:space="preserve">Verificar que el domicilio fiscal y la FIEL esten vigentes</t>
    </r>
  </si>
  <si>
    <t xml:space="preserve">RESUMEN INFORMATIVO</t>
  </si>
  <si>
    <t xml:space="preserve">Ventas Ejercicio Anterior</t>
  </si>
  <si>
    <t xml:space="preserve">Deducciones autorizadas Ejerc Anterior</t>
  </si>
  <si>
    <t xml:space="preserve">Ventas Ejercicio Actual</t>
  </si>
  <si>
    <t xml:space="preserve">Deducciones autorizadas Ejerc Actual</t>
  </si>
  <si>
    <t xml:space="preserve">Variacion de Ingresos</t>
  </si>
  <si>
    <t xml:space="preserve">Variacion de Deducciones autorizadas</t>
  </si>
  <si>
    <t xml:space="preserve">Variacion neta acumulada</t>
  </si>
  <si>
    <t xml:space="preserve">Impacto en ISR del Ejercicio</t>
  </si>
  <si>
    <t xml:space="preserve">ISR del Ejercicio anterior</t>
  </si>
  <si>
    <t xml:space="preserve">Probable impto a determinar Ejec Actual</t>
  </si>
  <si>
    <t xml:space="preserve">Impacto Real en ISR del Ejercicio</t>
  </si>
  <si>
    <t xml:space="preserve">Ingresos acumulables año anterior  </t>
  </si>
  <si>
    <t xml:space="preserve">ISR del Ejercicio</t>
  </si>
  <si>
    <t xml:space="preserve">Ingresos acumulables año actual</t>
  </si>
  <si>
    <t xml:space="preserve">ISR a Pagar  Neto del año</t>
  </si>
  <si>
    <t xml:space="preserve">Resultado del ejercicio :</t>
  </si>
  <si>
    <t xml:space="preserve">% de ISR respecto a Ingresos Acum</t>
  </si>
  <si>
    <t xml:space="preserve">Utilidad Fiscal:</t>
  </si>
  <si>
    <t xml:space="preserve">Perdida Contable:</t>
  </si>
  <si>
    <t xml:space="preserve">% de ISR respecto a Utilidad Fiscal</t>
  </si>
  <si>
    <t xml:space="preserve">Perdida Fiscal:</t>
  </si>
  <si>
    <t xml:space="preserve">% de ISR respecto a Utilidad Contable</t>
  </si>
  <si>
    <t xml:space="preserve">Ingresos Acumulables del año </t>
  </si>
  <si>
    <t xml:space="preserve">ISR a Favor del año </t>
  </si>
  <si>
    <t xml:space="preserve">Factor de utilidad utilizado en 2024</t>
  </si>
  <si>
    <t xml:space="preserve">PTU a Pagar en Mayo del 2025</t>
  </si>
  <si>
    <t xml:space="preserve">Factor para el año 2025</t>
  </si>
  <si>
    <t xml:space="preserve">Diferencia en factor</t>
  </si>
  <si>
    <t xml:space="preserve">Perdida por amortizar para 2025</t>
  </si>
  <si>
    <t xml:space="preserve">Fecha </t>
  </si>
  <si>
    <t xml:space="preserve">Realizó</t>
  </si>
  <si>
    <t xml:space="preserve">Revisó</t>
  </si>
  <si>
    <t xml:space="preserve">Autorizó</t>
  </si>
  <si>
    <t xml:space="preserve">FECHA y HORA DE PRESENTACIÓN </t>
  </si>
  <si>
    <t xml:space="preserve">NUMERO DE OPERACIÓN</t>
  </si>
  <si>
    <t xml:space="preserve">Sueldos</t>
  </si>
  <si>
    <t xml:space="preserve">Impuesto </t>
  </si>
  <si>
    <t xml:space="preserve">Informacion Timbrada Plataforma</t>
  </si>
  <si>
    <t xml:space="preserve">Informacion Nomina Contabilidad</t>
  </si>
  <si>
    <t xml:space="preserve">Diferencia</t>
  </si>
  <si>
    <t xml:space="preserve">Impto Pagado</t>
  </si>
  <si>
    <t xml:space="preserve">Gasto</t>
  </si>
  <si>
    <t xml:space="preserve">Ene</t>
  </si>
  <si>
    <t xml:space="preserve">Feb</t>
  </si>
  <si>
    <t xml:space="preserve">Mar</t>
  </si>
  <si>
    <t xml:space="preserve">Abr</t>
  </si>
  <si>
    <t xml:space="preserve">May</t>
  </si>
  <si>
    <t xml:space="preserve">Jun</t>
  </si>
  <si>
    <t xml:space="preserve">Jul</t>
  </si>
  <si>
    <t xml:space="preserve">Ago</t>
  </si>
  <si>
    <t xml:space="preserve">Sep</t>
  </si>
  <si>
    <t xml:space="preserve">Oct</t>
  </si>
  <si>
    <t xml:space="preserve">Nov</t>
  </si>
  <si>
    <t xml:space="preserve">Dic</t>
  </si>
  <si>
    <t xml:space="preserve">Abonos Cuenta Contab</t>
  </si>
</sst>
</file>

<file path=xl/styles.xml><?xml version="1.0" encoding="utf-8"?>
<styleSheet xmlns="http://schemas.openxmlformats.org/spreadsheetml/2006/main">
  <numFmts count="27">
    <numFmt numFmtId="164" formatCode="General"/>
    <numFmt numFmtId="165" formatCode="_-* #,##0.00_-;\-* #,##0.00_-;_-* \-??_-;_-@_-"/>
    <numFmt numFmtId="166" formatCode="0%"/>
    <numFmt numFmtId="167" formatCode="_-* #,##0.00\ _€_-;\-* #,##0.00\ _€_-;_-* \-??\ _€_-;_-@_-"/>
    <numFmt numFmtId="168" formatCode="0.0000"/>
    <numFmt numFmtId="169" formatCode="_-* #,##0.0000_-;\-* #,##0.0000_-;_-* \-??_-;_-@_-"/>
    <numFmt numFmtId="170" formatCode="dd/mm/yyyy"/>
    <numFmt numFmtId="171" formatCode="_-* #,##0.00_-;\-* #,##0.00_-;_-* \-??_-;_-@_-"/>
    <numFmt numFmtId="172" formatCode="mmm\-yy"/>
    <numFmt numFmtId="173" formatCode="_-* #,##0_-;\-* #,##0_-;_-* \-??_-;_-@_-"/>
    <numFmt numFmtId="174" formatCode="#,##0;[RED]\-#,##0"/>
    <numFmt numFmtId="175" formatCode="0.000"/>
    <numFmt numFmtId="176" formatCode="#,##0.0000;[RED]\-#,##0.0000"/>
    <numFmt numFmtId="177" formatCode="#,##0"/>
    <numFmt numFmtId="178" formatCode="#,##0.0000"/>
    <numFmt numFmtId="179" formatCode="\$#,##0.00;[RED]&quot;-$&quot;#,##0.00"/>
    <numFmt numFmtId="180" formatCode="#,##0.00_ ;\-#,##0.00\ "/>
    <numFmt numFmtId="181" formatCode="_-\$* #,##0.00_-;&quot;-$&quot;* #,##0.00_-;_-\$* \-??_-;_-@_-"/>
    <numFmt numFmtId="182" formatCode="#,##0.00_ ;[RED]\-#,##0.00\ "/>
    <numFmt numFmtId="183" formatCode="#,##0.0"/>
    <numFmt numFmtId="184" formatCode="0.00%"/>
    <numFmt numFmtId="185" formatCode="#,##0.00"/>
    <numFmt numFmtId="186" formatCode="\$#,##0.00;[RED]&quot;(-$&quot;#,##0.00\)"/>
    <numFmt numFmtId="187" formatCode="_(* #,##0.00_);_(* \(#,##0.00\);_(* \-??_);_(@_)"/>
    <numFmt numFmtId="188" formatCode="#,##0_ ;\-#,##0\ "/>
    <numFmt numFmtId="189" formatCode="_-* #,##0\ _€_-;\-* #,##0\ _€_-;_-* \-??\ _€_-;_-@_-"/>
    <numFmt numFmtId="190" formatCode="0.00"/>
  </numFmts>
  <fonts count="51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0"/>
      <name val="Arial"/>
      <family val="2"/>
      <charset val="1"/>
    </font>
    <font>
      <b val="true"/>
      <sz val="12"/>
      <name val="Calibri"/>
      <family val="2"/>
      <charset val="1"/>
    </font>
    <font>
      <sz val="11"/>
      <name val="Arial"/>
      <family val="2"/>
      <charset val="1"/>
    </font>
    <font>
      <b val="true"/>
      <sz val="9"/>
      <color theme="1"/>
      <name val="Arial"/>
      <family val="2"/>
      <charset val="1"/>
    </font>
    <font>
      <b val="true"/>
      <sz val="20"/>
      <color rgb="FFFF0000"/>
      <name val="Calibri"/>
      <family val="2"/>
      <charset val="1"/>
    </font>
    <font>
      <sz val="10"/>
      <name val="Calibri"/>
      <family val="2"/>
      <charset val="1"/>
    </font>
    <font>
      <b val="true"/>
      <sz val="9"/>
      <color theme="1" tint="0.3499"/>
      <name val="Arial"/>
      <family val="2"/>
      <charset val="1"/>
    </font>
    <font>
      <b val="true"/>
      <sz val="8"/>
      <color theme="1" tint="0.3499"/>
      <name val="Arial"/>
      <family val="2"/>
      <charset val="1"/>
    </font>
    <font>
      <b val="true"/>
      <sz val="11"/>
      <color theme="1"/>
      <name val="Calibri"/>
      <family val="2"/>
      <charset val="1"/>
    </font>
    <font>
      <b val="true"/>
      <u val="single"/>
      <sz val="11"/>
      <color theme="1"/>
      <name val="Calibri"/>
      <family val="2"/>
      <charset val="1"/>
    </font>
    <font>
      <b val="true"/>
      <i val="true"/>
      <sz val="11"/>
      <color rgb="FF000000"/>
      <name val="Calibri"/>
      <family val="2"/>
      <charset val="1"/>
    </font>
    <font>
      <sz val="9"/>
      <name val="Arial"/>
      <family val="2"/>
      <charset val="1"/>
    </font>
    <font>
      <b val="true"/>
      <sz val="10"/>
      <name val="Arial"/>
      <family val="2"/>
      <charset val="1"/>
    </font>
    <font>
      <sz val="11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u val="single"/>
      <sz val="16"/>
      <name val="Arial"/>
      <family val="2"/>
      <charset val="1"/>
    </font>
    <font>
      <sz val="16"/>
      <name val="Arial"/>
      <family val="2"/>
      <charset val="1"/>
    </font>
    <font>
      <b val="true"/>
      <u val="single"/>
      <sz val="12"/>
      <name val="Calibri"/>
      <family val="2"/>
      <charset val="1"/>
    </font>
    <font>
      <sz val="14"/>
      <name val="Arial"/>
      <family val="2"/>
      <charset val="1"/>
    </font>
    <font>
      <sz val="12"/>
      <name val="Calibri"/>
      <family val="2"/>
      <charset val="1"/>
    </font>
    <font>
      <u val="single"/>
      <sz val="14"/>
      <name val="Arial"/>
      <family val="2"/>
      <charset val="1"/>
    </font>
    <font>
      <sz val="12"/>
      <color theme="1"/>
      <name val="Calibri"/>
      <family val="2"/>
      <charset val="1"/>
    </font>
    <font>
      <b val="true"/>
      <sz val="14"/>
      <name val="Arial"/>
      <family val="2"/>
      <charset val="1"/>
    </font>
    <font>
      <sz val="12"/>
      <name val="Arial"/>
      <family val="2"/>
      <charset val="1"/>
    </font>
    <font>
      <b val="true"/>
      <i val="true"/>
      <sz val="10"/>
      <name val="Arial"/>
      <family val="2"/>
      <charset val="1"/>
    </font>
    <font>
      <i val="true"/>
      <sz val="10"/>
      <name val="Arial"/>
      <family val="2"/>
      <charset val="1"/>
    </font>
    <font>
      <u val="single"/>
      <sz val="10"/>
      <name val="Arial"/>
      <family val="2"/>
      <charset val="1"/>
    </font>
    <font>
      <b val="true"/>
      <i val="true"/>
      <sz val="10"/>
      <color theme="0"/>
      <name val="Arial"/>
      <family val="2"/>
      <charset val="1"/>
    </font>
    <font>
      <sz val="10"/>
      <color theme="0"/>
      <name val="Arial"/>
      <family val="2"/>
      <charset val="1"/>
    </font>
    <font>
      <sz val="12"/>
      <name val="Times New Roman"/>
      <family val="1"/>
      <charset val="1"/>
    </font>
    <font>
      <sz val="9"/>
      <name val="Times New Roman"/>
      <family val="1"/>
      <charset val="1"/>
    </font>
    <font>
      <sz val="9"/>
      <color theme="1"/>
      <name val="Times New Roman"/>
      <family val="1"/>
      <charset val="1"/>
    </font>
    <font>
      <sz val="10"/>
      <color theme="1"/>
      <name val="Times New Roman"/>
      <family val="1"/>
      <charset val="1"/>
    </font>
    <font>
      <sz val="10"/>
      <color theme="1"/>
      <name val="Arial"/>
      <family val="2"/>
      <charset val="1"/>
    </font>
    <font>
      <sz val="11"/>
      <color theme="1"/>
      <name val="Arial"/>
      <family val="2"/>
      <charset val="1"/>
    </font>
    <font>
      <b val="true"/>
      <sz val="12"/>
      <name val="Arial"/>
      <family val="2"/>
      <charset val="1"/>
    </font>
    <font>
      <sz val="12"/>
      <color theme="1"/>
      <name val="Inherit"/>
      <family val="0"/>
      <charset val="1"/>
    </font>
    <font>
      <sz val="14"/>
      <color theme="1"/>
      <name val="Inherit"/>
      <family val="0"/>
      <charset val="1"/>
    </font>
    <font>
      <b val="true"/>
      <sz val="7"/>
      <name val="Arial"/>
      <family val="2"/>
      <charset val="1"/>
    </font>
    <font>
      <sz val="7"/>
      <name val="Arial"/>
      <family val="2"/>
      <charset val="1"/>
    </font>
    <font>
      <b val="true"/>
      <sz val="14"/>
      <color theme="1"/>
      <name val="Calibri"/>
      <family val="2"/>
      <charset val="1"/>
    </font>
    <font>
      <sz val="14"/>
      <color theme="1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sz val="16"/>
      <name val="Calibri"/>
      <family val="2"/>
      <charset val="1"/>
    </font>
    <font>
      <sz val="10"/>
      <name val="Arial"/>
      <family val="2"/>
    </font>
    <font>
      <sz val="9"/>
      <color rgb="FF000000"/>
      <name val="Tahoma"/>
      <family val="2"/>
      <charset val="1"/>
    </font>
  </fonts>
  <fills count="19">
    <fill>
      <patternFill patternType="none"/>
    </fill>
    <fill>
      <patternFill patternType="gray125"/>
    </fill>
    <fill>
      <patternFill patternType="solid">
        <fgColor rgb="FFFFFFFF"/>
        <bgColor rgb="FFF9F9F9"/>
      </patternFill>
    </fill>
    <fill>
      <patternFill patternType="solid">
        <fgColor rgb="FFFFFF00"/>
        <bgColor rgb="FFFFFF00"/>
      </patternFill>
    </fill>
    <fill>
      <patternFill patternType="solid">
        <fgColor theme="3" tint="0.7999"/>
        <bgColor rgb="FFB7DEE8"/>
      </patternFill>
    </fill>
    <fill>
      <patternFill patternType="solid">
        <fgColor theme="9" tint="0.3999"/>
        <bgColor rgb="FFE6B9B8"/>
      </patternFill>
    </fill>
    <fill>
      <patternFill patternType="solid">
        <fgColor rgb="FFCCCCFF"/>
        <bgColor rgb="FFC6D9F1"/>
      </patternFill>
    </fill>
    <fill>
      <patternFill patternType="solid">
        <fgColor rgb="FF99FFCC"/>
        <bgColor rgb="FFB7DEE8"/>
      </patternFill>
    </fill>
    <fill>
      <patternFill patternType="solid">
        <fgColor theme="4" tint="0.7999"/>
        <bgColor rgb="FFE6E0EC"/>
      </patternFill>
    </fill>
    <fill>
      <patternFill patternType="solid">
        <fgColor theme="5" tint="0.7999"/>
        <bgColor rgb="FFE6E0EC"/>
      </patternFill>
    </fill>
    <fill>
      <patternFill patternType="solid">
        <fgColor theme="5" tint="0.5999"/>
        <bgColor rgb="FFFAC090"/>
      </patternFill>
    </fill>
    <fill>
      <patternFill patternType="solid">
        <fgColor theme="8" tint="0.5999"/>
        <bgColor rgb="FFC6D9F1"/>
      </patternFill>
    </fill>
    <fill>
      <patternFill patternType="solid">
        <fgColor rgb="FFFFCCFF"/>
        <bgColor rgb="FFF2DCDB"/>
      </patternFill>
    </fill>
    <fill>
      <patternFill patternType="solid">
        <fgColor theme="6" tint="0.5999"/>
        <bgColor rgb="FFDCE6F2"/>
      </patternFill>
    </fill>
    <fill>
      <patternFill patternType="solid">
        <fgColor theme="6" tint="0.7999"/>
        <bgColor rgb="FFF9F9F9"/>
      </patternFill>
    </fill>
    <fill>
      <patternFill patternType="solid">
        <fgColor theme="7" tint="0.7999"/>
        <bgColor rgb="FFDCE6F2"/>
      </patternFill>
    </fill>
    <fill>
      <patternFill patternType="solid">
        <fgColor rgb="FF00A933"/>
        <bgColor rgb="FF008000"/>
      </patternFill>
    </fill>
    <fill>
      <patternFill patternType="solid">
        <fgColor rgb="FFF9F9F9"/>
        <bgColor rgb="FFFFFFFF"/>
      </patternFill>
    </fill>
    <fill>
      <patternFill patternType="solid">
        <fgColor theme="0" tint="-0.25"/>
        <bgColor rgb="FFE6B9B8"/>
      </patternFill>
    </fill>
  </fills>
  <borders count="21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/>
      <bottom style="double"/>
      <diagonal/>
    </border>
    <border diagonalUp="false" diagonalDown="false">
      <left/>
      <right/>
      <top/>
      <bottom style="hair">
        <color theme="1" tint="0.3499"/>
      </bottom>
      <diagonal/>
    </border>
    <border diagonalUp="false" diagonalDown="false">
      <left style="hair">
        <color theme="1" tint="0.3499"/>
      </left>
      <right style="hair">
        <color theme="1" tint="0.3499"/>
      </right>
      <top style="hair">
        <color theme="1" tint="0.3499"/>
      </top>
      <bottom style="hair">
        <color theme="1" tint="0.3499"/>
      </bottom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3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181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2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26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2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2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0" borderId="1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3" fillId="0" borderId="1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4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0" fillId="0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4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5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7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0" fillId="0" borderId="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1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11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1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0" fillId="2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0" fillId="2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3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13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8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8" fontId="1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13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13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0" fillId="2" borderId="1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0" fillId="2" borderId="1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19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2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0" fillId="0" borderId="0" xfId="23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7" fontId="21" fillId="0" borderId="0" xfId="23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2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0" fillId="0" borderId="0" xfId="23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2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3" fillId="0" borderId="0" xfId="23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4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0" borderId="0" xfId="23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3" borderId="0" xfId="2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3" fillId="0" borderId="13" xfId="2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2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4" fillId="0" borderId="0" xfId="2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3" fillId="3" borderId="13" xfId="2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23" fillId="4" borderId="0" xfId="23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7" fontId="23" fillId="5" borderId="0" xfId="23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6" borderId="0" xfId="2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3" fillId="6" borderId="0" xfId="23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7" borderId="0" xfId="2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3" fillId="3" borderId="0" xfId="23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7" fontId="5" fillId="0" borderId="0" xfId="23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7" fontId="23" fillId="8" borderId="0" xfId="23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2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4" fillId="3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26" fillId="9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23" fillId="0" borderId="0" xfId="2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6" fillId="1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23" fillId="0" borderId="11" xfId="2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6" fillId="3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26" fillId="11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23" fillId="0" borderId="0" xfId="23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7" fontId="23" fillId="12" borderId="0" xfId="2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23" fillId="12" borderId="11" xfId="2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6" fillId="13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" fillId="0" borderId="11" xfId="2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9" fontId="26" fillId="14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26" fillId="15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2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27" fillId="0" borderId="0" xfId="23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7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5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5" fillId="2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5" fillId="2" borderId="13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2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5" fillId="2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31" fillId="2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1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13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31" fillId="2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14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3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7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2" borderId="0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2" borderId="0" xfId="22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7" fillId="2" borderId="0" xfId="22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9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2" borderId="13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2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2" fontId="5" fillId="2" borderId="0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5" fillId="2" borderId="13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5" fillId="2" borderId="0" xfId="28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5" fontId="5" fillId="2" borderId="13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5" fillId="2" borderId="0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5" fillId="2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5" fillId="2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6" fontId="38" fillId="2" borderId="0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31" fillId="2" borderId="0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6" fontId="5" fillId="2" borderId="0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5" fillId="2" borderId="0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6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14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6" fontId="5" fillId="2" borderId="14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1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2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1" fillId="3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3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3" borderId="16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3" fillId="3" borderId="16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9" fontId="43" fillId="3" borderId="16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0" fillId="1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16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3" borderId="16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9" fontId="44" fillId="3" borderId="16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44" fillId="17" borderId="16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9" fontId="44" fillId="17" borderId="16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44" fillId="2" borderId="16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9" fontId="44" fillId="2" borderId="16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45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6" fillId="18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9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7" fontId="18" fillId="2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1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5" fillId="2" borderId="0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2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2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8" fillId="2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8" fontId="48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7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8" fillId="2" borderId="18" xfId="2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8" fontId="1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4" fontId="18" fillId="2" borderId="0" xfId="2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8" fontId="18" fillId="3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4" fontId="18" fillId="2" borderId="13" xfId="2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2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9" fontId="0" fillId="2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9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0" fillId="2" borderId="13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9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90" fontId="0" fillId="0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1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illares 2" xfId="20"/>
    <cellStyle name="Millares 5" xfId="21"/>
    <cellStyle name="Millares 7" xfId="22"/>
    <cellStyle name="Normal 2" xfId="23"/>
    <cellStyle name="Normal 4 2 3" xfId="24"/>
    <cellStyle name="Normal_Capital Contable" xfId="25"/>
    <cellStyle name="Normal_Movivmientos de capital (SS) FC(1)" xfId="26"/>
    <cellStyle name="Percent 2" xfId="27"/>
    <cellStyle name="Porcentaje 2" xfId="28"/>
    <cellStyle name="Porcentaje 3" xfId="29"/>
  </cellStyles>
  <dxfs count="7">
    <dxf>
      <fill>
        <patternFill patternType="solid">
          <bgColor rgb="FF000000"/>
        </patternFill>
      </fill>
    </dxf>
    <dxf>
      <fill>
        <patternFill patternType="solid">
          <fgColor rgb="FFF9F9F9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00A93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C6D9F1"/>
      <rgbColor rgb="FF993366"/>
      <rgbColor rgb="FFF9F9F9"/>
      <rgbColor rgb="FFDCE6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E0EC"/>
      <rgbColor rgb="FFEBF1DE"/>
      <rgbColor rgb="FFD7E4BD"/>
      <rgbColor rgb="FFB7DEE8"/>
      <rgbColor rgb="FFE6B9B8"/>
      <rgbColor rgb="FFFFCCFF"/>
      <rgbColor rgb="FFFAC090"/>
      <rgbColor rgb="FF3366FF"/>
      <rgbColor rgb="FF99FFCC"/>
      <rgbColor rgb="FF99CC00"/>
      <rgbColor rgb="FFF2DCDB"/>
      <rgbColor rgb="FFFF9900"/>
      <rgbColor rgb="FFFF6600"/>
      <rgbColor rgb="FF59595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externalLink" Target="externalLinks/externalLink1.xml"/><Relationship Id="rId12" Type="http://schemas.openxmlformats.org/officeDocument/2006/relationships/externalLink" Target="externalLinks/externalLink2.xml"/><Relationship Id="rId13" Type="http://schemas.openxmlformats.org/officeDocument/2006/relationships/externalLink" Target="externalLinks/externalLink3.xml"/><Relationship Id="rId14" Type="http://schemas.openxmlformats.org/officeDocument/2006/relationships/externalLink" Target="externalLinks/externalLink4.xml"/><Relationship Id="rId15" Type="http://schemas.openxmlformats.org/officeDocument/2006/relationships/externalLink" Target="externalLinks/externalLink5.xml"/><Relationship Id="rId16" Type="http://schemas.openxmlformats.org/officeDocument/2006/relationships/externalLink" Target="externalLinks/externalLink6.xml"/><Relationship Id="rId17" Type="http://schemas.openxmlformats.org/officeDocument/2006/relationships/externalLink" Target="externalLinks/externalLink7.xml"/><Relationship Id="rId18" Type="http://schemas.openxmlformats.org/officeDocument/2006/relationships/externalLink" Target="externalLinks/externalLink8.xml"/><Relationship Id="rId19" Type="http://schemas.openxmlformats.org/officeDocument/2006/relationships/externalLink" Target="externalLinks/externalLink9.xml"/><Relationship Id="rId20" Type="http://schemas.openxmlformats.org/officeDocument/2006/relationships/externalLink" Target="externalLinks/externalLink10.xml"/><Relationship Id="rId21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13.xml"/><Relationship Id="rId24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15.xml"/><Relationship Id="rId26" Type="http://schemas.openxmlformats.org/officeDocument/2006/relationships/externalLink" Target="externalLinks/externalLink16.xml"/><Relationship Id="rId27" Type="http://schemas.openxmlformats.org/officeDocument/2006/relationships/sharedStrings" Target="sharedStrings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emf"/><Relationship Id="rId2" Type="http://schemas.openxmlformats.org/officeDocument/2006/relationships/image" Target="../media/image2.emf"/><Relationship Id="rId3" Type="http://schemas.openxmlformats.org/officeDocument/2006/relationships/image" Target="../media/image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2</xdr:col>
      <xdr:colOff>468360</xdr:colOff>
      <xdr:row>4</xdr:row>
      <xdr:rowOff>6480</xdr:rowOff>
    </xdr:to>
    <xdr:pic>
      <xdr:nvPicPr>
        <xdr:cNvPr id="1" name="Picture 1"/>
        <xdr:cNvPicPr/>
      </xdr:nvPicPr>
      <xdr:blipFill>
        <a:blip r:embed="rId1"/>
        <a:stretch/>
      </xdr:blipFill>
      <xdr:spPr>
        <a:xfrm>
          <a:off x="329040" y="0"/>
          <a:ext cx="694800" cy="771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14</xdr:col>
      <xdr:colOff>933480</xdr:colOff>
      <xdr:row>1</xdr:row>
      <xdr:rowOff>0</xdr:rowOff>
    </xdr:from>
    <xdr:to>
      <xdr:col>15</xdr:col>
      <xdr:colOff>114120</xdr:colOff>
      <xdr:row>4</xdr:row>
      <xdr:rowOff>63720</xdr:rowOff>
    </xdr:to>
    <xdr:pic>
      <xdr:nvPicPr>
        <xdr:cNvPr id="2" name="Picture 2"/>
        <xdr:cNvPicPr/>
      </xdr:nvPicPr>
      <xdr:blipFill>
        <a:blip r:embed="rId2"/>
        <a:stretch/>
      </xdr:blipFill>
      <xdr:spPr>
        <a:xfrm>
          <a:off x="8566920" y="162000"/>
          <a:ext cx="809280" cy="666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15120</xdr:colOff>
      <xdr:row>71</xdr:row>
      <xdr:rowOff>99000</xdr:rowOff>
    </xdr:from>
    <xdr:to>
      <xdr:col>15</xdr:col>
      <xdr:colOff>7560</xdr:colOff>
      <xdr:row>85</xdr:row>
      <xdr:rowOff>133200</xdr:rowOff>
    </xdr:to>
    <xdr:pic>
      <xdr:nvPicPr>
        <xdr:cNvPr id="3" name="Imagen 3"/>
        <xdr:cNvPicPr/>
      </xdr:nvPicPr>
      <xdr:blipFill>
        <a:blip r:embed="rId3"/>
        <a:stretch/>
      </xdr:blipFill>
      <xdr:spPr>
        <a:xfrm>
          <a:off x="570600" y="6849000"/>
          <a:ext cx="8699040" cy="23011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file://schi-fs1zem/Administration/Users/aa/Downloads/Rar$DI00.047/BALANZAS%20QUESOS%202099/ajuste%20anual%20por%20inflacionnnn.xls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file:///S:/Documents%20and%20Settings/esegura/Local%20Settings/Temporary%20Internet%20Files/OLK7/conciliaci&#243;n%20contable%20fiscal%20septiembre2.xls" TargetMode="External"/>
</Relationships>
</file>

<file path=xl/externalLinks/_rels/externalLink3.xml.rels><?xml version="1.0" encoding="UTF-8"?>
<Relationships xmlns="http://schemas.openxmlformats.org/package/2006/relationships"><Relationship Id="rId1" Type="http://schemas.openxmlformats.org/officeDocument/2006/relationships/externalLinkPath" Target="file://Contador/documentos/Documents%20and%20Settings/JUANITA%20SEGURA/Configuraci&#243;n%20local/Archivos%20temporales%20de%20Internet/Content.IE5/Q1DE3AQQ/Junta150798.xls" TargetMode="External"/>
</Relationships>
</file>

<file path=xl/externalLinks/_rels/externalLink4.xml.rels><?xml version="1.0" encoding="UTF-8"?>
<Relationships xmlns="http://schemas.openxmlformats.org/package/2006/relationships"><Relationship Id="rId1" Type="http://schemas.openxmlformats.org/officeDocument/2006/relationships/externalLinkPath" Target="file:///F:/Mis%20documentos/SHCP/Depreciaci&#243;n/fiscal.xls" TargetMode="External"/>
</Relationships>
</file>

<file path=xl/externalLinks/_rels/externalLink5.xml.rels><?xml version="1.0" encoding="UTF-8"?>
<Relationships xmlns="http://schemas.openxmlformats.org/package/2006/relationships"><Relationship Id="rId1" Type="http://schemas.openxmlformats.org/officeDocument/2006/relationships/externalLinkPath" Target="../../../../../../../almal/Dropbox/AC%20NEGOCIOS/01%20AC%20Negocios/Formatos/ZAE%20Calculo%20ISR%20Dif%20201909%20Final%20Post%20registro.xlsx" TargetMode="External"/>
</Relationships>
</file>

<file path=xl/externalLinks/_rels/externalLink6.xml.rels><?xml version="1.0" encoding="UTF-8"?>
<Relationships xmlns="http://schemas.openxmlformats.org/package/2006/relationships"><Relationship Id="rId1" Type="http://schemas.openxmlformats.org/officeDocument/2006/relationships/externalLinkPath" Target="file://schi-fs1zem/Administration/Users/EDUARD~1.SOT/AppData/Local/Temp/notesAF3A78/~3293814.xls" TargetMode="External"/>
</Relationships>
</file>

<file path=xl/externalLinks/_rels/externalLink7.xml.rels><?xml version="1.0" encoding="UTF-8"?>
<Relationships xmlns="http://schemas.openxmlformats.org/package/2006/relationships"><Relationship Id="rId1" Type="http://schemas.openxmlformats.org/officeDocument/2006/relationships/externalLinkPath" Target="file://intermex.com/carpetas/Documents%20and%20Settings/Usuario1/Mis%20documentos/KarinaDoctos/Geyser%202004/Mis%20documentos/ArchivoGu&#237;a2004Dec%20Anual.xls" TargetMode="External"/>
</Relationships>
</file>

<file path=xl/externalLinks/_rels/externalLink8.xml.rels><?xml version="1.0" encoding="UTF-8"?>
<Relationships xmlns="http://schemas.openxmlformats.org/package/2006/relationships"><Relationship Id="rId1" Type="http://schemas.openxmlformats.org/officeDocument/2006/relationships/externalLinkPath" Target="file://Contador/documentos/Documents%20and%20Settings/All%20Users/Documentos/autofacturacion/FacturasEmitidas%20al%2020101122.xls" TargetMode="External"/>
</Relationships>
</file>

<file path=xl/externalLinks/_rels/externalLink9.xml.rels><?xml version="1.0" encoding="UTF-8"?>
<Relationships xmlns="http://schemas.openxmlformats.org/package/2006/relationships"><Relationship Id="rId1" Type="http://schemas.openxmlformats.org/officeDocument/2006/relationships/externalLinkPath" Target="file://schi-fs1zem/Administration/Documents%20and%20Settings/Administrador/Configuraci&#243;n%20local/Archivos%20temporales%20de%20Internet/OLK5F/Facturas%20Emitidas%20Marzo%202010%20(2).xls" TargetMode="External"/>
</Relationships>
</file>

<file path=xl/externalLinks/_rels/externalLink10.xml.rels><?xml version="1.0" encoding="UTF-8"?>
<Relationships xmlns="http://schemas.openxmlformats.org/package/2006/relationships"><Relationship Id="rId1" Type="http://schemas.openxmlformats.org/officeDocument/2006/relationships/externalLinkPath" Target="file://200.200.22.126/fiscal$/Documents%20and%20Settings/Luis.Osorio/My%20Documents/Monterrey/Terex/info%20final/Copy%20of%209900-Terex%20Mexico%20Acuna-12-2007rev2.xls" TargetMode="External"/>
</Relationships>
</file>

<file path=xl/externalLinks/_rels/externalLink11.xml.rels><?xml version="1.0" encoding="UTF-8"?>
<Relationships xmlns="http://schemas.openxmlformats.org/package/2006/relationships"><Relationship Id="rId1" Type="http://schemas.openxmlformats.org/officeDocument/2006/relationships/externalLinkPath" Target="file:///N:/EMPRESAS/SELECTOS/2008/nomina/AGOSTO%2002.xls" TargetMode="External"/>
</Relationships>
</file>

<file path=xl/externalLinks/_rels/externalLink12.xml.rels><?xml version="1.0" encoding="UTF-8"?>
<Relationships xmlns="http://schemas.openxmlformats.org/package/2006/relationships"><Relationship Id="rId1" Type="http://schemas.openxmlformats.org/officeDocument/2006/relationships/externalLinkPath" Target="file://intermex.com/carpetas/Documents%20and%20Settings/vhernandezsanchez/My%20Documents/WITNEY/WITTNEY%20ANUAL%202006/CALCULOS%20FISC%202006/Copy%20of%2001%20Depreciacion%20Fiscal%20WITTNEY%202006.xls" TargetMode="External"/>
</Relationships>
</file>

<file path=xl/externalLinks/_rels/externalLink13.xml.rels><?xml version="1.0" encoding="UTF-8"?>
<Relationships xmlns="http://schemas.openxmlformats.org/package/2006/relationships"><Relationship Id="rId1" Type="http://schemas.openxmlformats.org/officeDocument/2006/relationships/externalLinkPath" Target="file:///F:/Mis%20documentos/Varios/curso%20excel1.xls" TargetMode="External"/>
</Relationships>
</file>

<file path=xl/externalLinks/_rels/externalLink14.xml.rels><?xml version="1.0" encoding="UTF-8"?>
<Relationships xmlns="http://schemas.openxmlformats.org/package/2006/relationships"><Relationship Id="rId1" Type="http://schemas.openxmlformats.org/officeDocument/2006/relationships/externalLinkPath" Target="file:///F:/Electronic%20Publishing/Auditoria%202001/Servicios/9004%20CONCILIACION%20CONTABLE%20Y%20FISCAL%20SERVICIOS%20EP.xls" TargetMode="External"/>
</Relationships>
</file>

<file path=xl/externalLinks/_rels/externalLink15.xml.rels><?xml version="1.0" encoding="UTF-8"?>
<Relationships xmlns="http://schemas.openxmlformats.org/package/2006/relationships"><Relationship Id="rId1" Type="http://schemas.openxmlformats.org/officeDocument/2006/relationships/externalLinkPath" Target="file:///D:/Electronic%20Publishing/Auditoria%202001/Servicios/9004%20CONCILIACION%20CONTABLE%20Y%20FISCAL%20SERVICIOS%20EP.xls" TargetMode="External"/>
</Relationships>
</file>

<file path=xl/externalLinks/_rels/externalLink16.xml.rels><?xml version="1.0" encoding="UTF-8"?>
<Relationships xmlns="http://schemas.openxmlformats.org/package/2006/relationships"><Relationship Id="rId1" Type="http://schemas.openxmlformats.org/officeDocument/2006/relationships/externalLinkPath" Target="../../../../../../../almal/Dropbox/AC%20NEGOCIOS/Solar%20Carports%20Mexico/2019/EEFF/EEFF%20Solar%20%202019-12.xls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PC"/>
      <sheetName val="AJUSTE ANUAL"/>
      <sheetName val="Dic 09"/>
      <sheetName val="OCT"/>
      <sheetName val="SEP"/>
      <sheetName val="MAR"/>
      <sheetName val="MAYO"/>
      <sheetName val="AB"/>
      <sheetName val="JUN"/>
      <sheetName val="JUL"/>
      <sheetName val="FEB"/>
      <sheetName val="AGO"/>
      <sheetName val="NOV"/>
      <sheetName val="EN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INDICE"/>
      <sheetName val="EDO RESULTADOS"/>
      <sheetName val="CONCIL"/>
      <sheetName val="no"/>
      <sheetName val="D-4 vc fac"/>
      <sheetName val="D-4 s&amp;p"/>
      <sheetName val="GASTOS PARA CONCILIACION"/>
      <sheetName val="provisiones"/>
      <sheetName val="GASTOS NO DEDUCIBLES"/>
      <sheetName val="RESAFIJO"/>
      <sheetName val="RESUMEN"/>
      <sheetName val="TERRENOS"/>
      <sheetName val="EDIFICIO"/>
      <sheetName val="MAQ Y EQ"/>
      <sheetName val="MOB Y EQ OF"/>
      <sheetName val="EQ COMPUTO"/>
      <sheetName val="EQ DE TRANSP"/>
      <sheetName val="HERRAMENTALES"/>
      <sheetName val="ajusteanual"/>
      <sheetName val="PERDIDAS FISCALES"/>
      <sheetName val="IMPAC"/>
      <sheetName val="TABLA1"/>
      <sheetName val="T.CAMBIO"/>
      <sheetName val="Tickmarks"/>
      <sheetName val="costo de ventas"/>
      <sheetName val="compras aluminio"/>
      <sheetName val="compras de pintura"/>
      <sheetName val="maquila aluminio"/>
      <sheetName val="colada anual"/>
      <sheetName val="escoria anual"/>
      <sheetName val="reval alum mayo"/>
      <sheetName val="reval alum abril"/>
      <sheetName val="reval alum marzo"/>
      <sheetName val="reval pinturas febrero"/>
      <sheetName val="reval alum febrero"/>
      <sheetName val="AJUSTE ANUAL"/>
      <sheetName val="ACTIVO"/>
      <sheetName val="PASIVO"/>
      <sheetName val="IMPAC (2)"/>
      <sheetName val="ACT FINAN"/>
      <sheetName val="DEUDAS"/>
      <sheetName val="ENERO"/>
      <sheetName val="FEBRERO"/>
      <sheetName val="MARZO"/>
      <sheetName val="ABRIL"/>
      <sheetName val="MAYO"/>
      <sheetName val="JUNIO"/>
      <sheetName val="JULIO"/>
      <sheetName val="AGOSTO"/>
      <sheetName val="sept3"/>
      <sheetName val="hoja1"/>
      <sheetName val="SEPTIEMBRE"/>
      <sheetName val="SEPT 2"/>
      <sheetName val="SEP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ANEXO1"/>
      <sheetName val="ANEXO1-A"/>
      <sheetName val="ANEXO2"/>
      <sheetName val="ANEXO3 "/>
      <sheetName val="ANEXO4"/>
      <sheetName val="ANEXO5"/>
      <sheetName val="ANEX06"/>
      <sheetName val="ANEXO7 (3)"/>
      <sheetName val="FLUJO (2)"/>
      <sheetName val="CANAS HELADAS"/>
      <sheetName val="PRES.Z-9798"/>
      <sheetName val="PRES.R9798"/>
      <sheetName val="REAL R9798"/>
      <sheetName val="PRESMOD.R9899"/>
      <sheetName val="FLUJO.R9899"/>
      <sheetName val="REAL R9697"/>
      <sheetName val="REAL Z9697"/>
      <sheetName val="ANEXO3"/>
      <sheetName val="ANEXO3 (3)"/>
      <sheetName val="ANEXO3 (2)"/>
      <sheetName val="ANEXO7 (2)"/>
      <sheetName val="ANEX02"/>
      <sheetName val="PRES.Z9798 31197"/>
      <sheetName val="PRES.R97 31197"/>
      <sheetName val="INTERESES"/>
      <sheetName val="FLUJO"/>
      <sheetName val="REAL R98"/>
      <sheetName val="REAL R98 (2)"/>
      <sheetName val="Hoj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INPC"/>
      <sheetName val="1441"/>
      <sheetName val="1442"/>
      <sheetName val="1443"/>
      <sheetName val="1444"/>
      <sheetName val="1445"/>
      <sheetName val="1446"/>
      <sheetName val="1447"/>
      <sheetName val="1448"/>
      <sheetName val="1449"/>
      <sheetName val="1451"/>
      <sheetName val="1452"/>
      <sheetName val="1453"/>
      <sheetName val="1454"/>
      <sheetName val="1455"/>
      <sheetName val="1456"/>
      <sheetName val="Resume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Bal Dic M3 (Vaciado)"/>
      <sheetName val="Notas"/>
      <sheetName val="Resumen"/>
      <sheetName val="Bal Dic"/>
      <sheetName val="DIM3_R2"/>
      <sheetName val="Imp Dif"/>
      <sheetName val="Diferido"/>
      <sheetName val="R.2 TASA F"/>
      <sheetName val="R.3 Diferencias"/>
      <sheetName val="Balance"/>
      <sheetName val="Edo Rdos"/>
      <sheetName val="Bal D1"/>
      <sheetName val="Conciliacion."/>
      <sheetName val="CF-FC y ND"/>
      <sheetName val="C.U."/>
      <sheetName val="SYS EXE-GRAV."/>
      <sheetName val="Base Cociente"/>
      <sheetName val="Acum Nom Esp-Ord"/>
      <sheetName val="ER"/>
      <sheetName val="BG"/>
      <sheetName val="Conciliación (A)"/>
      <sheetName val="Ded Aut."/>
      <sheetName val="CUFIN-CUCA"/>
      <sheetName val="Resumen pagos"/>
      <sheetName val="DIEMSE"/>
      <sheetName val="IVA a Favor"/>
      <sheetName val="AAI"/>
      <sheetName val="Sdos USD"/>
      <sheetName val="TC-INPC"/>
      <sheetName val="12"/>
      <sheetName val="11"/>
      <sheetName val="10"/>
      <sheetName val="09"/>
      <sheetName val="08"/>
      <sheetName val="07"/>
      <sheetName val="06"/>
      <sheetName val="05"/>
      <sheetName val="04"/>
      <sheetName val="03"/>
      <sheetName val="02"/>
      <sheetName val="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RINCIPAL T.C."/>
      <sheetName val="C.U. 2015"/>
      <sheetName val="INDICE"/>
      <sheetName val="INTEGRA ACREEDORES"/>
      <sheetName val="COMPRAS"/>
      <sheetName val="BALANZA"/>
      <sheetName val="BALANCE GENERAL"/>
      <sheetName val="ESTADO DE RESULTADOS"/>
      <sheetName val="CONCILIACION CONTABLE-FISCAL "/>
      <sheetName val="Bal Dic"/>
      <sheetName val="NO DEDUCIBLES"/>
      <sheetName val="PARTIDAS P CONCILIACION"/>
      <sheetName val="Saldos a favor"/>
      <sheetName val="TABLA1"/>
      <sheetName val="PERDIDAS FISCALES"/>
      <sheetName val="RESAFIJO"/>
      <sheetName val="TERRENOS.."/>
      <sheetName val="RESUMEN TERRENOS"/>
      <sheetName val="MEJORAS A LOCALES ARRENDADOS"/>
      <sheetName val="RESUMEN EDIFICIOS"/>
      <sheetName val="EDIFICIOSINTERCOM"/>
      <sheetName val="RESUMEN CIAS"/>
      <sheetName val="CONSTR PROCESO"/>
      <sheetName val="MAQUINARIA"/>
      <sheetName val="TERRENOS"/>
      <sheetName val="MEJORAS A EDIFICIO"/>
      <sheetName val="CONSTRUCCIONES EN PROCESO"/>
      <sheetName val="MAQUINARIA Y EQUIPO"/>
      <sheetName val="EQUIPO DE COMPUTO"/>
      <sheetName val="MOBILIARIO Y EQUIPO DE OFICINA"/>
      <sheetName val="DEDUCCION VIA DECRETO"/>
      <sheetName val="DEDUCC INMEDIATA"/>
      <sheetName val="COSTOS FISCALES VTA 09"/>
      <sheetName val="INV.TERRENOS"/>
      <sheetName val="intereses"/>
      <sheetName val="IMPAC"/>
      <sheetName val="IMPAC 5A"/>
      <sheetName val="EXCESOS ISR"/>
      <sheetName val="REDUCCION RLIA"/>
      <sheetName val="D-4"/>
      <sheetName val="COSTO FISCAL ACTIVOS"/>
      <sheetName val="AJUSTE ANUAL"/>
      <sheetName val="VACIADO DE PAGOS 2015"/>
      <sheetName val="12"/>
      <sheetName val="01"/>
      <sheetName val="02"/>
      <sheetName val="03"/>
      <sheetName val="04"/>
      <sheetName val="05"/>
      <sheetName val="06"/>
      <sheetName val="07"/>
      <sheetName val="08"/>
      <sheetName val="9"/>
      <sheetName val="10"/>
      <sheetName val="11"/>
      <sheetName val="Compatibility Repo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DATOS"/>
      <sheetName val="EDO.RES"/>
      <sheetName val="COSTO"/>
      <sheetName val="INFORMACION CONTABLE"/>
      <sheetName val="CRÉDITOS AAPI"/>
      <sheetName val="BANCOS AAPI"/>
      <sheetName val="CRÉDITOS ISR e IMPAC"/>
      <sheetName val="CRÉDITOS ISR e IMPAC M.E."/>
      <sheetName val="DEUDAS AAPI"/>
      <sheetName val="DEUDAS ISR e IMPAC"/>
      <sheetName val="DEUDAS ISR e IMPAC M.E."/>
      <sheetName val="AAPI ACUMULABLE o DEDUCIBLE"/>
      <sheetName val="ACTIVOS FIJOS"/>
      <sheetName val="ACTIVOS DEDUCCIÓN INMEDIATA"/>
      <sheetName val="VENTA AUTOS"/>
      <sheetName val="REGLA AUTOS"/>
      <sheetName val="VENTA TERRENOS"/>
      <sheetName val="Previsión Social"/>
      <sheetName val="Reglas Previsión Social"/>
      <sheetName val="Reglas Previsión Social 2"/>
      <sheetName val="PS Deduc 2004"/>
      <sheetName val="PS Deduc 2004 (2)"/>
      <sheetName val="PTU DEDUCIBLE"/>
      <sheetName val="RELACION GASTOS"/>
      <sheetName val="COMPRAS DEDUCIBLES"/>
      <sheetName val="Conciliación ISR"/>
      <sheetName val="Conciliación II ISR"/>
      <sheetName val="Cálculo ISR"/>
      <sheetName val="PÉRDIDAS"/>
      <sheetName val="CALCULO PTU"/>
      <sheetName val="PTU"/>
      <sheetName val="COEF UTILIDAD"/>
      <sheetName val="CUFIN98"/>
      <sheetName val="CUFINRE 99"/>
      <sheetName val="CUFINRE 00-01"/>
      <sheetName val="CUFIN A 2003"/>
      <sheetName val="CUCA"/>
      <sheetName val="ACTIVOS FINANCIEROS IMPAC"/>
      <sheetName val="BANCOS IMPAC"/>
      <sheetName val="ACTIVOS FIJOS IMPAC"/>
      <sheetName val="TERRENOS IMPAC"/>
      <sheetName val="INVENTARIOS IMPAC"/>
      <sheetName val="DEUDAS IMPAC"/>
      <sheetName val="CALCULO IMPAC"/>
      <sheetName val="REDUCCIÓN IMPAC D.I."/>
      <sheetName val="CALCULO IMPAC 5-A"/>
      <sheetName val="CONSTITUCIONAL DECRETO"/>
      <sheetName val="INPC"/>
      <sheetName val="TC"/>
      <sheetName val="IDENT, A, B, y C"/>
      <sheetName val="D y E"/>
      <sheetName val="F"/>
      <sheetName val="G"/>
      <sheetName val="H"/>
      <sheetName val="I"/>
      <sheetName val="J"/>
      <sheetName val="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FacturasEmitidas_al_20101122"/>
      <sheetName val="Procesos"/>
    </sheetNames>
    <sheetDataSet>
      <sheetData sheetId="0"/>
      <sheetData sheetId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FacturasEmitidas_Marzo2010a"/>
      <sheetName val="Procesos"/>
    </sheetNames>
    <sheetDataSet>
      <sheetData sheetId="0"/>
      <sheetData sheetId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blEnvironment"/>
      <sheetName val="dlgGoto"/>
      <sheetName val="dlgSelect"/>
      <sheetName val="dlgCFTA"/>
      <sheetName val="dlg2ndTax"/>
      <sheetName val="Checklist"/>
      <sheetName val="Summary"/>
      <sheetName val="Template Data"/>
      <sheetName val="TempDiff"/>
      <sheetName val="TaxEffect"/>
      <sheetName val="NOL"/>
      <sheetName val="OtherData"/>
      <sheetName val="WARNING!"/>
      <sheetName val="MonthlyData"/>
      <sheetName val="Comments"/>
      <sheetName val="Instructions"/>
      <sheetName val="Sch 1- Entity Information"/>
      <sheetName val="Sch 2 - Current Tax Calculation"/>
      <sheetName val="Sch 2.0 - 2nd Current Tax Calc"/>
      <sheetName val="Sch 2.1 - NOL Carryovers"/>
      <sheetName val="Sch 2.2 - Other Carryovers"/>
      <sheetName val="Sch 2.3 - Current Tax Rollforwd"/>
      <sheetName val="Sch 2.3.1 - Current Tax  Detail"/>
      <sheetName val="temp diff form ATR"/>
      <sheetName val="Sch 3 - Deferred Tax"/>
      <sheetName val="Sch 3.1 - Deferred Tax Summary"/>
      <sheetName val="Sch 3.2 - Valuation Allowance"/>
      <sheetName val="Sch 4 Income Tax Expense"/>
      <sheetName val="Sch 5 - Rate Rec &amp; Sign Off"/>
      <sheetName val="Summary of Journal Entries"/>
      <sheetName val="dlgMont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recibo1"/>
      <sheetName val="DATOS"/>
      <sheetName val="NOMINA"/>
      <sheetName val="VARIABLES"/>
      <sheetName val="COB_01"/>
      <sheetName val="COB_02"/>
      <sheetName val="TABLA LISR 80"/>
      <sheetName val="SDI"/>
      <sheetName val="BITAL"/>
      <sheetName val="recibo2"/>
      <sheetName val="NO_ 1"/>
      <sheetName val="NO_ 2"/>
      <sheetName val="NO_ 3"/>
      <sheetName val="NO_ 4"/>
      <sheetName val="NO_ 5"/>
      <sheetName val="NO_ 6"/>
      <sheetName val="NO_ 7"/>
      <sheetName val="NO_ 8"/>
      <sheetName val="NO_ 9"/>
      <sheetName val="NO_ 10"/>
      <sheetName val="NO_11"/>
      <sheetName val="NO_ 12"/>
      <sheetName val="NO_ 13"/>
      <sheetName val="NO_ 14"/>
      <sheetName val="NO_ 15"/>
      <sheetName val="NO_ 1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INPC (2)"/>
      <sheetName val="INVENTARIOS"/>
      <sheetName val="TERRENOS"/>
      <sheetName val="DEDUCCIÓN INMEDIATA"/>
      <sheetName val="RESUMEN"/>
      <sheetName val="EQUIPO TRANSPORTE"/>
      <sheetName val="EQUIPO DE COMPUTO"/>
      <sheetName val="EQUIPO DE OFICINA  (2)"/>
      <sheetName val="EQUIPO DE LABORATORIO (2)"/>
      <sheetName val="EDIFICIOS"/>
      <sheetName val="MEJORAS"/>
      <sheetName val="INPC"/>
      <sheetName val="MARC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INPC"/>
      <sheetName val="DEPRECIACION"/>
      <sheetName val=" amortizaciòn"/>
      <sheetName val="Hoja5"/>
      <sheetName val="Hoja6"/>
      <sheetName val="Hoja7"/>
      <sheetName val="Hoja8"/>
      <sheetName val="Hoja9"/>
      <sheetName val="Hoja10"/>
      <sheetName val="Hoja11"/>
      <sheetName val="Hoja12"/>
      <sheetName val="Hoja13"/>
      <sheetName val="Hoja14"/>
      <sheetName val="Hoja15"/>
      <sheetName val="Hoja1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Conciliacion"/>
      <sheetName val="PTU"/>
      <sheetName val="Componente"/>
      <sheetName val="Resultados"/>
      <sheetName val="INPC"/>
      <sheetName val="Tickmarks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Conciliacion"/>
      <sheetName val="PTU"/>
      <sheetName val="Componente"/>
      <sheetName val="Resultados"/>
      <sheetName val="INPC"/>
      <sheetName val="Tickmarks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Balance General"/>
      <sheetName val="Estado de Resultados"/>
      <sheetName val="Balanza "/>
      <sheetName val="CCF"/>
      <sheetName val="Res"/>
    </sheetNames>
    <sheetDataSet>
      <sheetData sheetId="0"/>
      <sheetData sheetId="1"/>
      <sheetData sheetId="2"/>
      <sheetData sheetId="3">
        <row r="8">
          <cell r="B8">
            <v>1194204.73</v>
          </cell>
        </row>
        <row r="78">
          <cell r="D78">
            <v>340083.72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O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10.6796875" defaultRowHeight="12.75" customHeight="false" zeroHeight="false" outlineLevelRow="0" outlineLevelCol="0"/>
  <cols>
    <col collapsed="false" customWidth="true" hidden="false" outlineLevel="0" max="1" min="1" style="0" width="1.67"/>
    <col collapsed="false" customWidth="true" hidden="false" outlineLevel="0" max="2" min="2" style="0" width="37.88"/>
    <col collapsed="false" customWidth="true" hidden="false" outlineLevel="0" max="4" min="4" style="1" width="15.11"/>
    <col collapsed="false" customWidth="true" hidden="false" outlineLevel="0" max="5" min="5" style="0" width="16.44"/>
    <col collapsed="false" customWidth="true" hidden="false" outlineLevel="0" max="6" min="6" style="2" width="11.89"/>
    <col collapsed="false" customWidth="true" hidden="false" outlineLevel="0" max="7" min="7" style="3" width="15.33"/>
    <col collapsed="false" customWidth="true" hidden="false" outlineLevel="0" max="8" min="8" style="2" width="8.67"/>
    <col collapsed="false" customWidth="true" hidden="false" outlineLevel="0" max="9" min="9" style="3" width="16.56"/>
    <col collapsed="false" customWidth="true" hidden="false" outlineLevel="0" max="10" min="10" style="4" width="17"/>
    <col collapsed="false" customWidth="true" hidden="false" outlineLevel="0" max="11" min="11" style="0" width="17"/>
    <col collapsed="false" customWidth="true" hidden="false" outlineLevel="0" max="12" min="12" style="0" width="13.67"/>
    <col collapsed="false" customWidth="true" hidden="false" outlineLevel="0" max="13" min="13" style="0" width="1.67"/>
    <col collapsed="false" customWidth="true" hidden="false" outlineLevel="0" max="14" min="14" style="0" width="3.11"/>
    <col collapsed="false" customWidth="true" hidden="false" outlineLevel="0" max="16" min="16" style="5" width="11.44"/>
  </cols>
  <sheetData>
    <row r="2" customFormat="false" ht="24.45" hidden="false" customHeight="false" outlineLevel="0" collapsed="false">
      <c r="B2" s="6" t="str">
        <f aca="false">+CCF!A2</f>
        <v>AL SERVICIOS MULTIPLES EMPRESARIALES SA DE CV</v>
      </c>
      <c r="G2" s="7"/>
      <c r="H2" s="8"/>
      <c r="I2" s="8"/>
      <c r="J2" s="8"/>
      <c r="L2" s="9"/>
    </row>
    <row r="3" customFormat="false" ht="24.45" hidden="false" customHeight="false" outlineLevel="0" collapsed="false">
      <c r="B3" s="10" t="s">
        <v>0</v>
      </c>
      <c r="G3" s="11"/>
      <c r="H3" s="12"/>
      <c r="I3" s="13"/>
      <c r="L3" s="9"/>
    </row>
    <row r="4" customFormat="false" ht="12.75" hidden="false" customHeight="false" outlineLevel="0" collapsed="false">
      <c r="H4" s="12"/>
      <c r="I4" s="13"/>
    </row>
    <row r="8" customFormat="false" ht="15" hidden="false" customHeight="true" outlineLevel="0" collapsed="false">
      <c r="B8" s="14" t="s">
        <v>1</v>
      </c>
      <c r="C8" s="14" t="s">
        <v>2</v>
      </c>
      <c r="D8" s="15" t="s">
        <v>3</v>
      </c>
      <c r="E8" s="14" t="s">
        <v>4</v>
      </c>
      <c r="F8" s="16" t="s">
        <v>5</v>
      </c>
      <c r="G8" s="16"/>
      <c r="H8" s="16" t="s">
        <v>6</v>
      </c>
      <c r="I8" s="16"/>
      <c r="J8" s="17" t="s">
        <v>7</v>
      </c>
      <c r="K8" s="14" t="s">
        <v>8</v>
      </c>
      <c r="L8" s="14" t="s">
        <v>9</v>
      </c>
      <c r="M8" s="18"/>
      <c r="N8" s="19"/>
    </row>
    <row r="9" customFormat="false" ht="13.8" hidden="false" customHeight="false" outlineLevel="0" collapsed="false">
      <c r="B9" s="14"/>
      <c r="C9" s="14"/>
      <c r="D9" s="15"/>
      <c r="E9" s="14"/>
      <c r="F9" s="16"/>
      <c r="G9" s="16"/>
      <c r="H9" s="16"/>
      <c r="I9" s="16"/>
      <c r="J9" s="17"/>
      <c r="K9" s="14"/>
      <c r="L9" s="14"/>
      <c r="M9" s="18"/>
      <c r="N9" s="19"/>
    </row>
    <row r="10" customFormat="false" ht="13.8" hidden="false" customHeight="false" outlineLevel="0" collapsed="false">
      <c r="B10" s="14"/>
      <c r="C10" s="14"/>
      <c r="D10" s="15"/>
      <c r="E10" s="14"/>
      <c r="F10" s="16"/>
      <c r="G10" s="16"/>
      <c r="H10" s="16"/>
      <c r="I10" s="16"/>
      <c r="J10" s="17"/>
      <c r="K10" s="14"/>
      <c r="L10" s="14"/>
      <c r="M10" s="18"/>
      <c r="N10" s="19"/>
    </row>
    <row r="11" customFormat="false" ht="13.8" hidden="false" customHeight="false" outlineLevel="0" collapsed="false">
      <c r="B11" s="14"/>
      <c r="C11" s="14"/>
      <c r="D11" s="15"/>
      <c r="E11" s="14"/>
      <c r="F11" s="16"/>
      <c r="G11" s="16"/>
      <c r="H11" s="16"/>
      <c r="I11" s="16"/>
      <c r="J11" s="17"/>
      <c r="K11" s="14"/>
      <c r="L11" s="14"/>
      <c r="M11" s="18"/>
      <c r="N11" s="19"/>
    </row>
    <row r="12" customFormat="false" ht="13.8" hidden="false" customHeight="false" outlineLevel="0" collapsed="false">
      <c r="B12" s="14"/>
      <c r="C12" s="14"/>
      <c r="D12" s="15"/>
      <c r="E12" s="14"/>
      <c r="F12" s="16"/>
      <c r="G12" s="16"/>
      <c r="H12" s="16"/>
      <c r="I12" s="16"/>
      <c r="J12" s="17"/>
      <c r="K12" s="14"/>
      <c r="L12" s="14"/>
      <c r="M12" s="18"/>
      <c r="N12" s="19"/>
    </row>
    <row r="13" customFormat="false" ht="13.8" hidden="true" customHeight="false" outlineLevel="0" collapsed="false">
      <c r="B13" s="20" t="s">
        <v>10</v>
      </c>
      <c r="C13" s="21" t="n">
        <v>39853</v>
      </c>
      <c r="D13" s="22" t="n">
        <v>0</v>
      </c>
      <c r="E13" s="23" t="n">
        <f aca="false">+D13</f>
        <v>0</v>
      </c>
      <c r="F13" s="24" t="n">
        <f aca="false">+C13</f>
        <v>39853</v>
      </c>
      <c r="G13" s="25" t="n">
        <v>69.609494</v>
      </c>
      <c r="H13" s="26" t="n">
        <v>40148</v>
      </c>
      <c r="I13" s="27" t="n">
        <v>71.771855</v>
      </c>
      <c r="J13" s="28" t="n">
        <f aca="false">TRUNC(+I13/G13,4)</f>
        <v>1.031</v>
      </c>
      <c r="K13" s="29"/>
      <c r="L13" s="30" t="n">
        <f aca="false">+E13*J13</f>
        <v>0</v>
      </c>
      <c r="M13" s="1"/>
    </row>
    <row r="14" customFormat="false" ht="12.75" hidden="true" customHeight="false" outlineLevel="0" collapsed="false">
      <c r="B14" s="31" t="s">
        <v>11</v>
      </c>
      <c r="C14" s="32"/>
      <c r="E14" s="33" t="n">
        <f aca="false">+E13</f>
        <v>0</v>
      </c>
      <c r="F14" s="26" t="n">
        <v>40148</v>
      </c>
      <c r="G14" s="27" t="n">
        <v>71.771855</v>
      </c>
      <c r="H14" s="26" t="n">
        <v>40513</v>
      </c>
      <c r="I14" s="27" t="n">
        <v>74.930954</v>
      </c>
      <c r="J14" s="34" t="n">
        <f aca="false">TRUNC(+I14/G14,4)</f>
        <v>1.044</v>
      </c>
      <c r="K14" s="35" t="n">
        <f aca="false">+L13</f>
        <v>0</v>
      </c>
      <c r="L14" s="36" t="n">
        <f aca="false">J14*K14</f>
        <v>0</v>
      </c>
      <c r="M14" s="1"/>
    </row>
    <row r="15" customFormat="false" ht="12.75" hidden="true" customHeight="false" outlineLevel="0" collapsed="false">
      <c r="B15" s="31" t="s">
        <v>12</v>
      </c>
      <c r="C15" s="32"/>
      <c r="E15" s="33" t="n">
        <f aca="false">+E14</f>
        <v>0</v>
      </c>
      <c r="F15" s="26" t="n">
        <v>40513</v>
      </c>
      <c r="G15" s="27" t="n">
        <v>74.930954</v>
      </c>
      <c r="H15" s="26" t="n">
        <v>40878</v>
      </c>
      <c r="I15" s="27" t="n">
        <v>77.792385</v>
      </c>
      <c r="J15" s="34" t="n">
        <f aca="false">TRUNC(+I15/G15,4)</f>
        <v>1.0381</v>
      </c>
      <c r="K15" s="35" t="n">
        <f aca="false">+L14</f>
        <v>0</v>
      </c>
      <c r="L15" s="36" t="n">
        <f aca="false">J15*K15</f>
        <v>0</v>
      </c>
      <c r="M15" s="1"/>
    </row>
    <row r="16" customFormat="false" ht="12.75" hidden="true" customHeight="false" outlineLevel="0" collapsed="false">
      <c r="B16" s="31" t="s">
        <v>13</v>
      </c>
      <c r="C16" s="32"/>
      <c r="E16" s="33" t="n">
        <f aca="false">+E15</f>
        <v>0</v>
      </c>
      <c r="F16" s="26" t="n">
        <v>40878</v>
      </c>
      <c r="G16" s="27" t="n">
        <v>77.792385</v>
      </c>
      <c r="H16" s="26" t="n">
        <v>41244</v>
      </c>
      <c r="I16" s="27" t="n">
        <v>80.568243</v>
      </c>
      <c r="J16" s="34" t="n">
        <f aca="false">TRUNC(+I16/G16,4)</f>
        <v>1.0356</v>
      </c>
      <c r="K16" s="35" t="n">
        <f aca="false">+L15</f>
        <v>0</v>
      </c>
      <c r="L16" s="36" t="n">
        <f aca="false">J16*K16</f>
        <v>0</v>
      </c>
      <c r="M16" s="1"/>
    </row>
    <row r="17" customFormat="false" ht="12.75" hidden="true" customHeight="false" outlineLevel="0" collapsed="false">
      <c r="B17" s="31" t="s">
        <v>14</v>
      </c>
      <c r="C17" s="32"/>
      <c r="E17" s="33" t="n">
        <f aca="false">+E16</f>
        <v>0</v>
      </c>
      <c r="F17" s="26" t="n">
        <v>41244</v>
      </c>
      <c r="G17" s="27" t="n">
        <v>80.568243</v>
      </c>
      <c r="H17" s="26" t="n">
        <v>41609</v>
      </c>
      <c r="I17" s="27" t="n">
        <v>83.770058</v>
      </c>
      <c r="J17" s="34" t="n">
        <f aca="false">TRUNC(+I17/G17,4)</f>
        <v>1.0397</v>
      </c>
      <c r="K17" s="35" t="n">
        <f aca="false">+L16</f>
        <v>0</v>
      </c>
      <c r="L17" s="36" t="n">
        <f aca="false">J17*K17</f>
        <v>0</v>
      </c>
      <c r="M17" s="1"/>
    </row>
    <row r="18" customFormat="false" ht="12.75" hidden="true" customHeight="false" outlineLevel="0" collapsed="false">
      <c r="B18" s="31" t="s">
        <v>15</v>
      </c>
      <c r="C18" s="32"/>
      <c r="E18" s="33" t="n">
        <f aca="false">+E17</f>
        <v>0</v>
      </c>
      <c r="F18" s="26" t="n">
        <v>41609</v>
      </c>
      <c r="G18" s="27" t="n">
        <v>83.770058</v>
      </c>
      <c r="H18" s="26" t="n">
        <v>41974</v>
      </c>
      <c r="I18" s="27" t="n">
        <v>87.188984</v>
      </c>
      <c r="J18" s="34" t="n">
        <f aca="false">TRUNC(+I18/G18,4)</f>
        <v>1.0408</v>
      </c>
      <c r="K18" s="35" t="n">
        <f aca="false">+L17</f>
        <v>0</v>
      </c>
      <c r="L18" s="36" t="n">
        <f aca="false">J18*K18</f>
        <v>0</v>
      </c>
      <c r="M18" s="1"/>
    </row>
    <row r="19" customFormat="false" ht="12.75" hidden="true" customHeight="false" outlineLevel="0" collapsed="false">
      <c r="B19" s="31" t="s">
        <v>16</v>
      </c>
      <c r="C19" s="32"/>
      <c r="E19" s="33" t="n">
        <f aca="false">+E18</f>
        <v>0</v>
      </c>
      <c r="F19" s="26" t="n">
        <v>41974</v>
      </c>
      <c r="G19" s="27" t="n">
        <v>87.188984</v>
      </c>
      <c r="H19" s="26" t="n">
        <v>42339</v>
      </c>
      <c r="I19" s="27" t="n">
        <v>89.046818</v>
      </c>
      <c r="J19" s="34" t="n">
        <f aca="false">TRUNC(+I19/G19,4)</f>
        <v>1.0213</v>
      </c>
      <c r="K19" s="35" t="n">
        <f aca="false">+L18</f>
        <v>0</v>
      </c>
      <c r="L19" s="36" t="n">
        <f aca="false">J19*K19</f>
        <v>0</v>
      </c>
      <c r="M19" s="1"/>
    </row>
    <row r="20" customFormat="false" ht="12.75" hidden="true" customHeight="false" outlineLevel="0" collapsed="false">
      <c r="B20" s="31" t="s">
        <v>17</v>
      </c>
      <c r="C20" s="32"/>
      <c r="D20" s="1" t="n">
        <v>0</v>
      </c>
      <c r="E20" s="33" t="n">
        <f aca="false">+E19</f>
        <v>0</v>
      </c>
      <c r="F20" s="26" t="n">
        <v>42339</v>
      </c>
      <c r="G20" s="27" t="n">
        <f aca="false">+I19</f>
        <v>89.046818</v>
      </c>
      <c r="H20" s="26" t="n">
        <v>42705</v>
      </c>
      <c r="I20" s="27" t="n">
        <v>92.039035</v>
      </c>
      <c r="J20" s="34" t="n">
        <f aca="false">TRUNC(+I20/G20,4)</f>
        <v>1.0336</v>
      </c>
      <c r="K20" s="35" t="n">
        <f aca="false">+L19</f>
        <v>0</v>
      </c>
      <c r="L20" s="36" t="n">
        <f aca="false">J20*K20</f>
        <v>0</v>
      </c>
      <c r="M20" s="1"/>
      <c r="O20" s="37"/>
    </row>
    <row r="21" customFormat="false" ht="12.75" hidden="false" customHeight="false" outlineLevel="0" collapsed="false">
      <c r="B21" s="20" t="s">
        <v>10</v>
      </c>
      <c r="C21" s="21" t="n">
        <v>42933</v>
      </c>
      <c r="D21" s="22" t="n">
        <v>200000</v>
      </c>
      <c r="E21" s="33" t="n">
        <f aca="false">E20+D21</f>
        <v>200000</v>
      </c>
      <c r="F21" s="26" t="n">
        <v>42917</v>
      </c>
      <c r="G21" s="27" t="n">
        <v>95.322736</v>
      </c>
      <c r="H21" s="26" t="n">
        <v>43070</v>
      </c>
      <c r="I21" s="27" t="n">
        <v>98.272883</v>
      </c>
      <c r="J21" s="34" t="n">
        <f aca="false">TRUNC(+I21/G21,4)</f>
        <v>1.0309</v>
      </c>
      <c r="K21" s="35" t="n">
        <f aca="false">+L20</f>
        <v>0</v>
      </c>
      <c r="L21" s="30" t="n">
        <f aca="false">+E21*J21</f>
        <v>206180</v>
      </c>
      <c r="M21" s="1"/>
    </row>
    <row r="22" customFormat="false" ht="12.75" hidden="false" customHeight="false" outlineLevel="0" collapsed="false">
      <c r="B22" s="31" t="s">
        <v>18</v>
      </c>
      <c r="C22" s="32"/>
      <c r="D22" s="1" t="n">
        <v>0</v>
      </c>
      <c r="E22" s="33" t="n">
        <f aca="false">E21+D22</f>
        <v>200000</v>
      </c>
      <c r="F22" s="26" t="n">
        <f aca="false">+H21</f>
        <v>43070</v>
      </c>
      <c r="G22" s="27" t="n">
        <f aca="false">I21</f>
        <v>98.272883</v>
      </c>
      <c r="H22" s="26" t="n">
        <v>43435</v>
      </c>
      <c r="I22" s="27" t="n">
        <v>103.02</v>
      </c>
      <c r="J22" s="34" t="n">
        <f aca="false">TRUNC(+I22/G22,4)</f>
        <v>1.0483</v>
      </c>
      <c r="K22" s="35" t="n">
        <f aca="false">+L21</f>
        <v>206180</v>
      </c>
      <c r="L22" s="36" t="n">
        <f aca="false">J22*K22</f>
        <v>216138.494</v>
      </c>
      <c r="M22" s="1"/>
    </row>
    <row r="23" customFormat="false" ht="12.75" hidden="false" customHeight="false" outlineLevel="0" collapsed="false">
      <c r="B23" s="31" t="s">
        <v>19</v>
      </c>
      <c r="C23" s="32"/>
      <c r="D23" s="1" t="n">
        <v>0</v>
      </c>
      <c r="E23" s="33" t="n">
        <f aca="false">E22+D23</f>
        <v>200000</v>
      </c>
      <c r="F23" s="26" t="n">
        <f aca="false">+H22</f>
        <v>43435</v>
      </c>
      <c r="G23" s="27" t="n">
        <f aca="false">I22</f>
        <v>103.02</v>
      </c>
      <c r="H23" s="26" t="n">
        <v>43800</v>
      </c>
      <c r="I23" s="27" t="n">
        <v>105.934</v>
      </c>
      <c r="J23" s="34" t="n">
        <f aca="false">TRUNC(+I23/G23,4)</f>
        <v>1.0282</v>
      </c>
      <c r="K23" s="35" t="n">
        <f aca="false">+L22</f>
        <v>216138.494</v>
      </c>
      <c r="L23" s="36" t="n">
        <f aca="false">J23*K23</f>
        <v>222233.5995308</v>
      </c>
      <c r="M23" s="1"/>
    </row>
    <row r="24" customFormat="false" ht="12.75" hidden="false" customHeight="false" outlineLevel="0" collapsed="false">
      <c r="B24" s="31" t="s">
        <v>20</v>
      </c>
      <c r="C24" s="32"/>
      <c r="D24" s="1" t="n">
        <v>0</v>
      </c>
      <c r="E24" s="33" t="n">
        <f aca="false">E23+D24</f>
        <v>200000</v>
      </c>
      <c r="F24" s="26" t="n">
        <f aca="false">+H23</f>
        <v>43800</v>
      </c>
      <c r="G24" s="27" t="n">
        <f aca="false">I23</f>
        <v>105.934</v>
      </c>
      <c r="H24" s="26" t="n">
        <v>44166</v>
      </c>
      <c r="I24" s="27" t="n">
        <v>109.271</v>
      </c>
      <c r="J24" s="34" t="n">
        <f aca="false">TRUNC(+I24/G24,4)</f>
        <v>1.0315</v>
      </c>
      <c r="K24" s="35" t="n">
        <f aca="false">+L23</f>
        <v>222233.5995308</v>
      </c>
      <c r="L24" s="36" t="n">
        <f aca="false">J24*K24</f>
        <v>229233.95791602</v>
      </c>
      <c r="M24" s="1"/>
    </row>
    <row r="25" customFormat="false" ht="12.75" hidden="false" customHeight="false" outlineLevel="0" collapsed="false">
      <c r="B25" s="31" t="s">
        <v>21</v>
      </c>
      <c r="C25" s="32"/>
      <c r="E25" s="33" t="n">
        <f aca="false">E24+D25</f>
        <v>200000</v>
      </c>
      <c r="F25" s="38" t="n">
        <v>44166</v>
      </c>
      <c r="G25" s="27" t="n">
        <v>109.271</v>
      </c>
      <c r="H25" s="26" t="n">
        <v>44531</v>
      </c>
      <c r="I25" s="27" t="n">
        <v>117.308</v>
      </c>
      <c r="J25" s="34" t="n">
        <f aca="false">TRUNC(+I25/G25,4)</f>
        <v>1.0735</v>
      </c>
      <c r="K25" s="35" t="n">
        <f aca="false">+L24</f>
        <v>229233.95791602</v>
      </c>
      <c r="L25" s="36" t="n">
        <f aca="false">J25*K25</f>
        <v>246082.653822848</v>
      </c>
      <c r="M25" s="1"/>
    </row>
    <row r="26" customFormat="false" ht="12.75" hidden="false" customHeight="false" outlineLevel="0" collapsed="false">
      <c r="B26" s="31" t="s">
        <v>22</v>
      </c>
      <c r="C26" s="32"/>
      <c r="E26" s="33" t="n">
        <f aca="false">E25+D26</f>
        <v>200000</v>
      </c>
      <c r="F26" s="38" t="n">
        <v>44531</v>
      </c>
      <c r="G26" s="27" t="n">
        <f aca="false">+I25</f>
        <v>117.308</v>
      </c>
      <c r="H26" s="26" t="n">
        <v>44896</v>
      </c>
      <c r="I26" s="27" t="n">
        <v>126.478</v>
      </c>
      <c r="J26" s="34" t="n">
        <f aca="false">TRUNC(+I26/G26,4)</f>
        <v>1.0781</v>
      </c>
      <c r="K26" s="35" t="n">
        <f aca="false">+L25</f>
        <v>246082.653822848</v>
      </c>
      <c r="L26" s="36" t="n">
        <f aca="false">J26*K26</f>
        <v>265301.709086412</v>
      </c>
      <c r="M26" s="1"/>
    </row>
    <row r="27" customFormat="false" ht="12.75" hidden="false" customHeight="false" outlineLevel="0" collapsed="false">
      <c r="B27" s="31" t="s">
        <v>23</v>
      </c>
      <c r="C27" s="32"/>
      <c r="E27" s="33" t="n">
        <f aca="false">E26+D27</f>
        <v>200000</v>
      </c>
      <c r="F27" s="39" t="n">
        <f aca="false">+H26</f>
        <v>44896</v>
      </c>
      <c r="G27" s="27" t="n">
        <f aca="false">+I26</f>
        <v>126.478</v>
      </c>
      <c r="H27" s="26" t="n">
        <v>45261</v>
      </c>
      <c r="I27" s="27" t="n">
        <v>132.373</v>
      </c>
      <c r="J27" s="34" t="n">
        <f aca="false">TRUNC(+I27/G27,4)</f>
        <v>1.0466</v>
      </c>
      <c r="K27" s="35" t="n">
        <f aca="false">+L26</f>
        <v>265301.709086412</v>
      </c>
      <c r="L27" s="36" t="n">
        <f aca="false">J27*K27</f>
        <v>277664.768729839</v>
      </c>
      <c r="M27" s="1"/>
    </row>
    <row r="28" customFormat="false" ht="12.75" hidden="false" customHeight="false" outlineLevel="0" collapsed="false">
      <c r="B28" s="31" t="s">
        <v>24</v>
      </c>
      <c r="C28" s="32"/>
      <c r="E28" s="33" t="n">
        <f aca="false">E27+D28</f>
        <v>200000</v>
      </c>
      <c r="F28" s="39" t="n">
        <f aca="false">+H27</f>
        <v>45261</v>
      </c>
      <c r="G28" s="27" t="n">
        <f aca="false">+I27</f>
        <v>132.373</v>
      </c>
      <c r="H28" s="26" t="n">
        <v>45627</v>
      </c>
      <c r="I28" s="27" t="n">
        <v>137.949</v>
      </c>
      <c r="J28" s="34" t="n">
        <f aca="false">TRUNC(+I28/G28,4)</f>
        <v>1.0421</v>
      </c>
      <c r="K28" s="35" t="n">
        <f aca="false">+L27</f>
        <v>277664.768729839</v>
      </c>
      <c r="L28" s="36" t="n">
        <f aca="false">J28*K28</f>
        <v>289354.455493365</v>
      </c>
      <c r="M28" s="1"/>
    </row>
    <row r="29" customFormat="false" ht="12.75" hidden="false" customHeight="false" outlineLevel="0" collapsed="false">
      <c r="B29" s="40"/>
      <c r="C29" s="41"/>
      <c r="D29" s="42"/>
      <c r="E29" s="43"/>
      <c r="F29" s="44"/>
      <c r="G29" s="45"/>
      <c r="H29" s="46"/>
      <c r="I29" s="47"/>
      <c r="J29" s="48"/>
      <c r="K29" s="49"/>
      <c r="L29" s="50"/>
    </row>
    <row r="30" customFormat="false" ht="12.75" hidden="false" customHeight="false" outlineLevel="0" collapsed="false">
      <c r="E30" s="51"/>
      <c r="F30" s="52"/>
    </row>
    <row r="31" customFormat="false" ht="13.8" hidden="false" customHeight="false" outlineLevel="0" collapsed="false">
      <c r="B31" s="53"/>
      <c r="E31" s="51"/>
      <c r="F31" s="52"/>
      <c r="J31" s="4" t="n">
        <f aca="false">TRUNC(+I26/G21,4)</f>
        <v>1.3268</v>
      </c>
      <c r="L31" s="1" t="n">
        <f aca="false">+D21*J31</f>
        <v>265360</v>
      </c>
    </row>
    <row r="32" customFormat="false" ht="12.75" hidden="false" customHeight="false" outlineLevel="0" collapsed="false">
      <c r="E32" s="51"/>
      <c r="F32" s="52"/>
      <c r="L32" s="51" t="n">
        <f aca="false">+L31-L26</f>
        <v>58.2909135879017</v>
      </c>
    </row>
    <row r="33" customFormat="false" ht="12.75" hidden="false" customHeight="false" outlineLevel="0" collapsed="false">
      <c r="E33" s="51"/>
      <c r="F33" s="52"/>
    </row>
    <row r="34" customFormat="false" ht="12.75" hidden="false" customHeight="false" outlineLevel="0" collapsed="false">
      <c r="E34" s="51"/>
      <c r="F34" s="52"/>
    </row>
    <row r="35" customFormat="false" ht="12.75" hidden="false" customHeight="false" outlineLevel="0" collapsed="false">
      <c r="C35" s="5"/>
      <c r="E35" s="51"/>
      <c r="F35" s="52"/>
    </row>
    <row r="36" customFormat="false" ht="12.75" hidden="false" customHeight="false" outlineLevel="0" collapsed="false">
      <c r="C36" s="5"/>
      <c r="E36" s="51"/>
      <c r="F36" s="52"/>
    </row>
    <row r="38" customFormat="false" ht="12.75" hidden="false" customHeight="false" outlineLevel="0" collapsed="false">
      <c r="C38" s="5"/>
    </row>
  </sheetData>
  <mergeCells count="9">
    <mergeCell ref="B8:B12"/>
    <mergeCell ref="C8:C12"/>
    <mergeCell ref="D8:D12"/>
    <mergeCell ref="E8:E12"/>
    <mergeCell ref="F8:G12"/>
    <mergeCell ref="H8:I12"/>
    <mergeCell ref="J8:J12"/>
    <mergeCell ref="K8:K12"/>
    <mergeCell ref="L8:L1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L85"/>
  <sheetViews>
    <sheetView showFormulas="false" showGridLines="true" showRowColHeaders="true" showZeros="true" rightToLeft="false" tabSelected="false" showOutlineSymbols="true" defaultGridColor="true" view="normal" topLeftCell="E15" colorId="64" zoomScale="100" zoomScaleNormal="100" zoomScalePageLayoutView="100" workbookViewId="0">
      <selection pane="topLeft" activeCell="C4" activeCellId="0" sqref="C4"/>
    </sheetView>
  </sheetViews>
  <sheetFormatPr defaultColWidth="11.4453125" defaultRowHeight="12.75" customHeight="false" zeroHeight="false" outlineLevelRow="0" outlineLevelCol="0"/>
  <cols>
    <col collapsed="false" customWidth="true" hidden="false" outlineLevel="0" max="1" min="1" style="54" width="53"/>
    <col collapsed="false" customWidth="true" hidden="true" outlineLevel="0" max="2" min="2" style="54" width="13.11"/>
    <col collapsed="false" customWidth="true" hidden="false" outlineLevel="0" max="3" min="3" style="55" width="16.56"/>
    <col collapsed="false" customWidth="true" hidden="false" outlineLevel="0" max="12" min="4" style="55" width="13.88"/>
    <col collapsed="false" customWidth="false" hidden="false" outlineLevel="0" max="243" min="13" style="54" width="11.44"/>
    <col collapsed="false" customWidth="true" hidden="false" outlineLevel="0" max="244" min="244" style="54" width="52.67"/>
    <col collapsed="false" customWidth="true" hidden="false" outlineLevel="0" max="246" min="245" style="54" width="12.11"/>
    <col collapsed="false" customWidth="true" hidden="false" outlineLevel="0" max="247" min="247" style="54" width="13.56"/>
    <col collapsed="false" customWidth="false" hidden="false" outlineLevel="0" max="248" min="248" style="54" width="11.44"/>
    <col collapsed="false" customWidth="true" hidden="false" outlineLevel="0" max="249" min="249" style="54" width="11.89"/>
    <col collapsed="false" customWidth="true" hidden="false" outlineLevel="0" max="252" min="250" style="54" width="12.11"/>
    <col collapsed="false" customWidth="false" hidden="false" outlineLevel="0" max="253" min="253" style="54" width="11.44"/>
    <col collapsed="false" customWidth="true" hidden="false" outlineLevel="0" max="254" min="254" style="54" width="11.89"/>
    <col collapsed="false" customWidth="true" hidden="false" outlineLevel="0" max="259" min="255" style="54" width="12.11"/>
    <col collapsed="false" customWidth="false" hidden="false" outlineLevel="0" max="499" min="260" style="54" width="11.44"/>
    <col collapsed="false" customWidth="true" hidden="false" outlineLevel="0" max="500" min="500" style="54" width="52.67"/>
    <col collapsed="false" customWidth="true" hidden="false" outlineLevel="0" max="502" min="501" style="54" width="12.11"/>
    <col collapsed="false" customWidth="true" hidden="false" outlineLevel="0" max="503" min="503" style="54" width="13.56"/>
    <col collapsed="false" customWidth="false" hidden="false" outlineLevel="0" max="504" min="504" style="54" width="11.44"/>
    <col collapsed="false" customWidth="true" hidden="false" outlineLevel="0" max="505" min="505" style="54" width="11.89"/>
    <col collapsed="false" customWidth="true" hidden="false" outlineLevel="0" max="508" min="506" style="54" width="12.11"/>
    <col collapsed="false" customWidth="false" hidden="false" outlineLevel="0" max="509" min="509" style="54" width="11.44"/>
    <col collapsed="false" customWidth="true" hidden="false" outlineLevel="0" max="510" min="510" style="54" width="11.89"/>
    <col collapsed="false" customWidth="true" hidden="false" outlineLevel="0" max="515" min="511" style="54" width="12.11"/>
    <col collapsed="false" customWidth="false" hidden="false" outlineLevel="0" max="755" min="516" style="54" width="11.44"/>
    <col collapsed="false" customWidth="true" hidden="false" outlineLevel="0" max="756" min="756" style="54" width="52.67"/>
    <col collapsed="false" customWidth="true" hidden="false" outlineLevel="0" max="758" min="757" style="54" width="12.11"/>
    <col collapsed="false" customWidth="true" hidden="false" outlineLevel="0" max="759" min="759" style="54" width="13.56"/>
    <col collapsed="false" customWidth="false" hidden="false" outlineLevel="0" max="760" min="760" style="54" width="11.44"/>
    <col collapsed="false" customWidth="true" hidden="false" outlineLevel="0" max="761" min="761" style="54" width="11.89"/>
    <col collapsed="false" customWidth="true" hidden="false" outlineLevel="0" max="764" min="762" style="54" width="12.11"/>
    <col collapsed="false" customWidth="false" hidden="false" outlineLevel="0" max="765" min="765" style="54" width="11.44"/>
    <col collapsed="false" customWidth="true" hidden="false" outlineLevel="0" max="766" min="766" style="54" width="11.89"/>
    <col collapsed="false" customWidth="true" hidden="false" outlineLevel="0" max="771" min="767" style="54" width="12.11"/>
    <col collapsed="false" customWidth="false" hidden="false" outlineLevel="0" max="1011" min="772" style="54" width="11.44"/>
    <col collapsed="false" customWidth="true" hidden="false" outlineLevel="0" max="1012" min="1012" style="54" width="52.67"/>
    <col collapsed="false" customWidth="true" hidden="false" outlineLevel="0" max="1014" min="1013" style="54" width="12.11"/>
    <col collapsed="false" customWidth="true" hidden="false" outlineLevel="0" max="1015" min="1015" style="54" width="13.56"/>
    <col collapsed="false" customWidth="false" hidden="false" outlineLevel="0" max="1016" min="1016" style="54" width="11.44"/>
    <col collapsed="false" customWidth="true" hidden="false" outlineLevel="0" max="1017" min="1017" style="54" width="11.89"/>
    <col collapsed="false" customWidth="true" hidden="false" outlineLevel="0" max="1020" min="1018" style="54" width="12.11"/>
    <col collapsed="false" customWidth="false" hidden="false" outlineLevel="0" max="1021" min="1021" style="54" width="11.44"/>
    <col collapsed="false" customWidth="true" hidden="false" outlineLevel="0" max="1022" min="1022" style="54" width="11.89"/>
    <col collapsed="false" customWidth="true" hidden="false" outlineLevel="0" max="1027" min="1023" style="54" width="12.11"/>
    <col collapsed="false" customWidth="false" hidden="false" outlineLevel="0" max="1267" min="1028" style="54" width="11.44"/>
    <col collapsed="false" customWidth="true" hidden="false" outlineLevel="0" max="1268" min="1268" style="54" width="52.67"/>
    <col collapsed="false" customWidth="true" hidden="false" outlineLevel="0" max="1270" min="1269" style="54" width="12.11"/>
    <col collapsed="false" customWidth="true" hidden="false" outlineLevel="0" max="1271" min="1271" style="54" width="13.56"/>
    <col collapsed="false" customWidth="false" hidden="false" outlineLevel="0" max="1272" min="1272" style="54" width="11.44"/>
    <col collapsed="false" customWidth="true" hidden="false" outlineLevel="0" max="1273" min="1273" style="54" width="11.89"/>
    <col collapsed="false" customWidth="true" hidden="false" outlineLevel="0" max="1276" min="1274" style="54" width="12.11"/>
    <col collapsed="false" customWidth="false" hidden="false" outlineLevel="0" max="1277" min="1277" style="54" width="11.44"/>
    <col collapsed="false" customWidth="true" hidden="false" outlineLevel="0" max="1278" min="1278" style="54" width="11.89"/>
    <col collapsed="false" customWidth="true" hidden="false" outlineLevel="0" max="1283" min="1279" style="54" width="12.11"/>
    <col collapsed="false" customWidth="false" hidden="false" outlineLevel="0" max="1523" min="1284" style="54" width="11.44"/>
    <col collapsed="false" customWidth="true" hidden="false" outlineLevel="0" max="1524" min="1524" style="54" width="52.67"/>
    <col collapsed="false" customWidth="true" hidden="false" outlineLevel="0" max="1526" min="1525" style="54" width="12.11"/>
    <col collapsed="false" customWidth="true" hidden="false" outlineLevel="0" max="1527" min="1527" style="54" width="13.56"/>
    <col collapsed="false" customWidth="false" hidden="false" outlineLevel="0" max="1528" min="1528" style="54" width="11.44"/>
    <col collapsed="false" customWidth="true" hidden="false" outlineLevel="0" max="1529" min="1529" style="54" width="11.89"/>
    <col collapsed="false" customWidth="true" hidden="false" outlineLevel="0" max="1532" min="1530" style="54" width="12.11"/>
    <col collapsed="false" customWidth="false" hidden="false" outlineLevel="0" max="1533" min="1533" style="54" width="11.44"/>
    <col collapsed="false" customWidth="true" hidden="false" outlineLevel="0" max="1534" min="1534" style="54" width="11.89"/>
    <col collapsed="false" customWidth="true" hidden="false" outlineLevel="0" max="1539" min="1535" style="54" width="12.11"/>
    <col collapsed="false" customWidth="false" hidden="false" outlineLevel="0" max="1779" min="1540" style="54" width="11.44"/>
    <col collapsed="false" customWidth="true" hidden="false" outlineLevel="0" max="1780" min="1780" style="54" width="52.67"/>
    <col collapsed="false" customWidth="true" hidden="false" outlineLevel="0" max="1782" min="1781" style="54" width="12.11"/>
    <col collapsed="false" customWidth="true" hidden="false" outlineLevel="0" max="1783" min="1783" style="54" width="13.56"/>
    <col collapsed="false" customWidth="false" hidden="false" outlineLevel="0" max="1784" min="1784" style="54" width="11.44"/>
    <col collapsed="false" customWidth="true" hidden="false" outlineLevel="0" max="1785" min="1785" style="54" width="11.89"/>
    <col collapsed="false" customWidth="true" hidden="false" outlineLevel="0" max="1788" min="1786" style="54" width="12.11"/>
    <col collapsed="false" customWidth="false" hidden="false" outlineLevel="0" max="1789" min="1789" style="54" width="11.44"/>
    <col collapsed="false" customWidth="true" hidden="false" outlineLevel="0" max="1790" min="1790" style="54" width="11.89"/>
    <col collapsed="false" customWidth="true" hidden="false" outlineLevel="0" max="1795" min="1791" style="54" width="12.11"/>
    <col collapsed="false" customWidth="false" hidden="false" outlineLevel="0" max="2035" min="1796" style="54" width="11.44"/>
    <col collapsed="false" customWidth="true" hidden="false" outlineLevel="0" max="2036" min="2036" style="54" width="52.67"/>
    <col collapsed="false" customWidth="true" hidden="false" outlineLevel="0" max="2038" min="2037" style="54" width="12.11"/>
    <col collapsed="false" customWidth="true" hidden="false" outlineLevel="0" max="2039" min="2039" style="54" width="13.56"/>
    <col collapsed="false" customWidth="false" hidden="false" outlineLevel="0" max="2040" min="2040" style="54" width="11.44"/>
    <col collapsed="false" customWidth="true" hidden="false" outlineLevel="0" max="2041" min="2041" style="54" width="11.89"/>
    <col collapsed="false" customWidth="true" hidden="false" outlineLevel="0" max="2044" min="2042" style="54" width="12.11"/>
    <col collapsed="false" customWidth="false" hidden="false" outlineLevel="0" max="2045" min="2045" style="54" width="11.44"/>
    <col collapsed="false" customWidth="true" hidden="false" outlineLevel="0" max="2046" min="2046" style="54" width="11.89"/>
    <col collapsed="false" customWidth="true" hidden="false" outlineLevel="0" max="2051" min="2047" style="54" width="12.11"/>
    <col collapsed="false" customWidth="false" hidden="false" outlineLevel="0" max="2291" min="2052" style="54" width="11.44"/>
    <col collapsed="false" customWidth="true" hidden="false" outlineLevel="0" max="2292" min="2292" style="54" width="52.67"/>
    <col collapsed="false" customWidth="true" hidden="false" outlineLevel="0" max="2294" min="2293" style="54" width="12.11"/>
    <col collapsed="false" customWidth="true" hidden="false" outlineLevel="0" max="2295" min="2295" style="54" width="13.56"/>
    <col collapsed="false" customWidth="false" hidden="false" outlineLevel="0" max="2296" min="2296" style="54" width="11.44"/>
    <col collapsed="false" customWidth="true" hidden="false" outlineLevel="0" max="2297" min="2297" style="54" width="11.89"/>
    <col collapsed="false" customWidth="true" hidden="false" outlineLevel="0" max="2300" min="2298" style="54" width="12.11"/>
    <col collapsed="false" customWidth="false" hidden="false" outlineLevel="0" max="2301" min="2301" style="54" width="11.44"/>
    <col collapsed="false" customWidth="true" hidden="false" outlineLevel="0" max="2302" min="2302" style="54" width="11.89"/>
    <col collapsed="false" customWidth="true" hidden="false" outlineLevel="0" max="2307" min="2303" style="54" width="12.11"/>
    <col collapsed="false" customWidth="false" hidden="false" outlineLevel="0" max="2547" min="2308" style="54" width="11.44"/>
    <col collapsed="false" customWidth="true" hidden="false" outlineLevel="0" max="2548" min="2548" style="54" width="52.67"/>
    <col collapsed="false" customWidth="true" hidden="false" outlineLevel="0" max="2550" min="2549" style="54" width="12.11"/>
    <col collapsed="false" customWidth="true" hidden="false" outlineLevel="0" max="2551" min="2551" style="54" width="13.56"/>
    <col collapsed="false" customWidth="false" hidden="false" outlineLevel="0" max="2552" min="2552" style="54" width="11.44"/>
    <col collapsed="false" customWidth="true" hidden="false" outlineLevel="0" max="2553" min="2553" style="54" width="11.89"/>
    <col collapsed="false" customWidth="true" hidden="false" outlineLevel="0" max="2556" min="2554" style="54" width="12.11"/>
    <col collapsed="false" customWidth="false" hidden="false" outlineLevel="0" max="2557" min="2557" style="54" width="11.44"/>
    <col collapsed="false" customWidth="true" hidden="false" outlineLevel="0" max="2558" min="2558" style="54" width="11.89"/>
    <col collapsed="false" customWidth="true" hidden="false" outlineLevel="0" max="2563" min="2559" style="54" width="12.11"/>
    <col collapsed="false" customWidth="false" hidden="false" outlineLevel="0" max="2803" min="2564" style="54" width="11.44"/>
    <col collapsed="false" customWidth="true" hidden="false" outlineLevel="0" max="2804" min="2804" style="54" width="52.67"/>
    <col collapsed="false" customWidth="true" hidden="false" outlineLevel="0" max="2806" min="2805" style="54" width="12.11"/>
    <col collapsed="false" customWidth="true" hidden="false" outlineLevel="0" max="2807" min="2807" style="54" width="13.56"/>
    <col collapsed="false" customWidth="false" hidden="false" outlineLevel="0" max="2808" min="2808" style="54" width="11.44"/>
    <col collapsed="false" customWidth="true" hidden="false" outlineLevel="0" max="2809" min="2809" style="54" width="11.89"/>
    <col collapsed="false" customWidth="true" hidden="false" outlineLevel="0" max="2812" min="2810" style="54" width="12.11"/>
    <col collapsed="false" customWidth="false" hidden="false" outlineLevel="0" max="2813" min="2813" style="54" width="11.44"/>
    <col collapsed="false" customWidth="true" hidden="false" outlineLevel="0" max="2814" min="2814" style="54" width="11.89"/>
    <col collapsed="false" customWidth="true" hidden="false" outlineLevel="0" max="2819" min="2815" style="54" width="12.11"/>
    <col collapsed="false" customWidth="false" hidden="false" outlineLevel="0" max="3059" min="2820" style="54" width="11.44"/>
    <col collapsed="false" customWidth="true" hidden="false" outlineLevel="0" max="3060" min="3060" style="54" width="52.67"/>
    <col collapsed="false" customWidth="true" hidden="false" outlineLevel="0" max="3062" min="3061" style="54" width="12.11"/>
    <col collapsed="false" customWidth="true" hidden="false" outlineLevel="0" max="3063" min="3063" style="54" width="13.56"/>
    <col collapsed="false" customWidth="false" hidden="false" outlineLevel="0" max="3064" min="3064" style="54" width="11.44"/>
    <col collapsed="false" customWidth="true" hidden="false" outlineLevel="0" max="3065" min="3065" style="54" width="11.89"/>
    <col collapsed="false" customWidth="true" hidden="false" outlineLevel="0" max="3068" min="3066" style="54" width="12.11"/>
    <col collapsed="false" customWidth="false" hidden="false" outlineLevel="0" max="3069" min="3069" style="54" width="11.44"/>
    <col collapsed="false" customWidth="true" hidden="false" outlineLevel="0" max="3070" min="3070" style="54" width="11.89"/>
    <col collapsed="false" customWidth="true" hidden="false" outlineLevel="0" max="3075" min="3071" style="54" width="12.11"/>
    <col collapsed="false" customWidth="false" hidden="false" outlineLevel="0" max="3315" min="3076" style="54" width="11.44"/>
    <col collapsed="false" customWidth="true" hidden="false" outlineLevel="0" max="3316" min="3316" style="54" width="52.67"/>
    <col collapsed="false" customWidth="true" hidden="false" outlineLevel="0" max="3318" min="3317" style="54" width="12.11"/>
    <col collapsed="false" customWidth="true" hidden="false" outlineLevel="0" max="3319" min="3319" style="54" width="13.56"/>
    <col collapsed="false" customWidth="false" hidden="false" outlineLevel="0" max="3320" min="3320" style="54" width="11.44"/>
    <col collapsed="false" customWidth="true" hidden="false" outlineLevel="0" max="3321" min="3321" style="54" width="11.89"/>
    <col collapsed="false" customWidth="true" hidden="false" outlineLevel="0" max="3324" min="3322" style="54" width="12.11"/>
    <col collapsed="false" customWidth="false" hidden="false" outlineLevel="0" max="3325" min="3325" style="54" width="11.44"/>
    <col collapsed="false" customWidth="true" hidden="false" outlineLevel="0" max="3326" min="3326" style="54" width="11.89"/>
    <col collapsed="false" customWidth="true" hidden="false" outlineLevel="0" max="3331" min="3327" style="54" width="12.11"/>
    <col collapsed="false" customWidth="false" hidden="false" outlineLevel="0" max="3571" min="3332" style="54" width="11.44"/>
    <col collapsed="false" customWidth="true" hidden="false" outlineLevel="0" max="3572" min="3572" style="54" width="52.67"/>
    <col collapsed="false" customWidth="true" hidden="false" outlineLevel="0" max="3574" min="3573" style="54" width="12.11"/>
    <col collapsed="false" customWidth="true" hidden="false" outlineLevel="0" max="3575" min="3575" style="54" width="13.56"/>
    <col collapsed="false" customWidth="false" hidden="false" outlineLevel="0" max="3576" min="3576" style="54" width="11.44"/>
    <col collapsed="false" customWidth="true" hidden="false" outlineLevel="0" max="3577" min="3577" style="54" width="11.89"/>
    <col collapsed="false" customWidth="true" hidden="false" outlineLevel="0" max="3580" min="3578" style="54" width="12.11"/>
    <col collapsed="false" customWidth="false" hidden="false" outlineLevel="0" max="3581" min="3581" style="54" width="11.44"/>
    <col collapsed="false" customWidth="true" hidden="false" outlineLevel="0" max="3582" min="3582" style="54" width="11.89"/>
    <col collapsed="false" customWidth="true" hidden="false" outlineLevel="0" max="3587" min="3583" style="54" width="12.11"/>
    <col collapsed="false" customWidth="false" hidden="false" outlineLevel="0" max="3827" min="3588" style="54" width="11.44"/>
    <col collapsed="false" customWidth="true" hidden="false" outlineLevel="0" max="3828" min="3828" style="54" width="52.67"/>
    <col collapsed="false" customWidth="true" hidden="false" outlineLevel="0" max="3830" min="3829" style="54" width="12.11"/>
    <col collapsed="false" customWidth="true" hidden="false" outlineLevel="0" max="3831" min="3831" style="54" width="13.56"/>
    <col collapsed="false" customWidth="false" hidden="false" outlineLevel="0" max="3832" min="3832" style="54" width="11.44"/>
    <col collapsed="false" customWidth="true" hidden="false" outlineLevel="0" max="3833" min="3833" style="54" width="11.89"/>
    <col collapsed="false" customWidth="true" hidden="false" outlineLevel="0" max="3836" min="3834" style="54" width="12.11"/>
    <col collapsed="false" customWidth="false" hidden="false" outlineLevel="0" max="3837" min="3837" style="54" width="11.44"/>
    <col collapsed="false" customWidth="true" hidden="false" outlineLevel="0" max="3838" min="3838" style="54" width="11.89"/>
    <col collapsed="false" customWidth="true" hidden="false" outlineLevel="0" max="3843" min="3839" style="54" width="12.11"/>
    <col collapsed="false" customWidth="false" hidden="false" outlineLevel="0" max="4083" min="3844" style="54" width="11.44"/>
    <col collapsed="false" customWidth="true" hidden="false" outlineLevel="0" max="4084" min="4084" style="54" width="52.67"/>
    <col collapsed="false" customWidth="true" hidden="false" outlineLevel="0" max="4086" min="4085" style="54" width="12.11"/>
    <col collapsed="false" customWidth="true" hidden="false" outlineLevel="0" max="4087" min="4087" style="54" width="13.56"/>
    <col collapsed="false" customWidth="false" hidden="false" outlineLevel="0" max="4088" min="4088" style="54" width="11.44"/>
    <col collapsed="false" customWidth="true" hidden="false" outlineLevel="0" max="4089" min="4089" style="54" width="11.89"/>
    <col collapsed="false" customWidth="true" hidden="false" outlineLevel="0" max="4092" min="4090" style="54" width="12.11"/>
    <col collapsed="false" customWidth="false" hidden="false" outlineLevel="0" max="4093" min="4093" style="54" width="11.44"/>
    <col collapsed="false" customWidth="true" hidden="false" outlineLevel="0" max="4094" min="4094" style="54" width="11.89"/>
    <col collapsed="false" customWidth="true" hidden="false" outlineLevel="0" max="4099" min="4095" style="54" width="12.11"/>
    <col collapsed="false" customWidth="false" hidden="false" outlineLevel="0" max="4339" min="4100" style="54" width="11.44"/>
    <col collapsed="false" customWidth="true" hidden="false" outlineLevel="0" max="4340" min="4340" style="54" width="52.67"/>
    <col collapsed="false" customWidth="true" hidden="false" outlineLevel="0" max="4342" min="4341" style="54" width="12.11"/>
    <col collapsed="false" customWidth="true" hidden="false" outlineLevel="0" max="4343" min="4343" style="54" width="13.56"/>
    <col collapsed="false" customWidth="false" hidden="false" outlineLevel="0" max="4344" min="4344" style="54" width="11.44"/>
    <col collapsed="false" customWidth="true" hidden="false" outlineLevel="0" max="4345" min="4345" style="54" width="11.89"/>
    <col collapsed="false" customWidth="true" hidden="false" outlineLevel="0" max="4348" min="4346" style="54" width="12.11"/>
    <col collapsed="false" customWidth="false" hidden="false" outlineLevel="0" max="4349" min="4349" style="54" width="11.44"/>
    <col collapsed="false" customWidth="true" hidden="false" outlineLevel="0" max="4350" min="4350" style="54" width="11.89"/>
    <col collapsed="false" customWidth="true" hidden="false" outlineLevel="0" max="4355" min="4351" style="54" width="12.11"/>
    <col collapsed="false" customWidth="false" hidden="false" outlineLevel="0" max="4595" min="4356" style="54" width="11.44"/>
    <col collapsed="false" customWidth="true" hidden="false" outlineLevel="0" max="4596" min="4596" style="54" width="52.67"/>
    <col collapsed="false" customWidth="true" hidden="false" outlineLevel="0" max="4598" min="4597" style="54" width="12.11"/>
    <col collapsed="false" customWidth="true" hidden="false" outlineLevel="0" max="4599" min="4599" style="54" width="13.56"/>
    <col collapsed="false" customWidth="false" hidden="false" outlineLevel="0" max="4600" min="4600" style="54" width="11.44"/>
    <col collapsed="false" customWidth="true" hidden="false" outlineLevel="0" max="4601" min="4601" style="54" width="11.89"/>
    <col collapsed="false" customWidth="true" hidden="false" outlineLevel="0" max="4604" min="4602" style="54" width="12.11"/>
    <col collapsed="false" customWidth="false" hidden="false" outlineLevel="0" max="4605" min="4605" style="54" width="11.44"/>
    <col collapsed="false" customWidth="true" hidden="false" outlineLevel="0" max="4606" min="4606" style="54" width="11.89"/>
    <col collapsed="false" customWidth="true" hidden="false" outlineLevel="0" max="4611" min="4607" style="54" width="12.11"/>
    <col collapsed="false" customWidth="false" hidden="false" outlineLevel="0" max="4851" min="4612" style="54" width="11.44"/>
    <col collapsed="false" customWidth="true" hidden="false" outlineLevel="0" max="4852" min="4852" style="54" width="52.67"/>
    <col collapsed="false" customWidth="true" hidden="false" outlineLevel="0" max="4854" min="4853" style="54" width="12.11"/>
    <col collapsed="false" customWidth="true" hidden="false" outlineLevel="0" max="4855" min="4855" style="54" width="13.56"/>
    <col collapsed="false" customWidth="false" hidden="false" outlineLevel="0" max="4856" min="4856" style="54" width="11.44"/>
    <col collapsed="false" customWidth="true" hidden="false" outlineLevel="0" max="4857" min="4857" style="54" width="11.89"/>
    <col collapsed="false" customWidth="true" hidden="false" outlineLevel="0" max="4860" min="4858" style="54" width="12.11"/>
    <col collapsed="false" customWidth="false" hidden="false" outlineLevel="0" max="4861" min="4861" style="54" width="11.44"/>
    <col collapsed="false" customWidth="true" hidden="false" outlineLevel="0" max="4862" min="4862" style="54" width="11.89"/>
    <col collapsed="false" customWidth="true" hidden="false" outlineLevel="0" max="4867" min="4863" style="54" width="12.11"/>
    <col collapsed="false" customWidth="false" hidden="false" outlineLevel="0" max="5107" min="4868" style="54" width="11.44"/>
    <col collapsed="false" customWidth="true" hidden="false" outlineLevel="0" max="5108" min="5108" style="54" width="52.67"/>
    <col collapsed="false" customWidth="true" hidden="false" outlineLevel="0" max="5110" min="5109" style="54" width="12.11"/>
    <col collapsed="false" customWidth="true" hidden="false" outlineLevel="0" max="5111" min="5111" style="54" width="13.56"/>
    <col collapsed="false" customWidth="false" hidden="false" outlineLevel="0" max="5112" min="5112" style="54" width="11.44"/>
    <col collapsed="false" customWidth="true" hidden="false" outlineLevel="0" max="5113" min="5113" style="54" width="11.89"/>
    <col collapsed="false" customWidth="true" hidden="false" outlineLevel="0" max="5116" min="5114" style="54" width="12.11"/>
    <col collapsed="false" customWidth="false" hidden="false" outlineLevel="0" max="5117" min="5117" style="54" width="11.44"/>
    <col collapsed="false" customWidth="true" hidden="false" outlineLevel="0" max="5118" min="5118" style="54" width="11.89"/>
    <col collapsed="false" customWidth="true" hidden="false" outlineLevel="0" max="5123" min="5119" style="54" width="12.11"/>
    <col collapsed="false" customWidth="false" hidden="false" outlineLevel="0" max="5363" min="5124" style="54" width="11.44"/>
    <col collapsed="false" customWidth="true" hidden="false" outlineLevel="0" max="5364" min="5364" style="54" width="52.67"/>
    <col collapsed="false" customWidth="true" hidden="false" outlineLevel="0" max="5366" min="5365" style="54" width="12.11"/>
    <col collapsed="false" customWidth="true" hidden="false" outlineLevel="0" max="5367" min="5367" style="54" width="13.56"/>
    <col collapsed="false" customWidth="false" hidden="false" outlineLevel="0" max="5368" min="5368" style="54" width="11.44"/>
    <col collapsed="false" customWidth="true" hidden="false" outlineLevel="0" max="5369" min="5369" style="54" width="11.89"/>
    <col collapsed="false" customWidth="true" hidden="false" outlineLevel="0" max="5372" min="5370" style="54" width="12.11"/>
    <col collapsed="false" customWidth="false" hidden="false" outlineLevel="0" max="5373" min="5373" style="54" width="11.44"/>
    <col collapsed="false" customWidth="true" hidden="false" outlineLevel="0" max="5374" min="5374" style="54" width="11.89"/>
    <col collapsed="false" customWidth="true" hidden="false" outlineLevel="0" max="5379" min="5375" style="54" width="12.11"/>
    <col collapsed="false" customWidth="false" hidden="false" outlineLevel="0" max="5619" min="5380" style="54" width="11.44"/>
    <col collapsed="false" customWidth="true" hidden="false" outlineLevel="0" max="5620" min="5620" style="54" width="52.67"/>
    <col collapsed="false" customWidth="true" hidden="false" outlineLevel="0" max="5622" min="5621" style="54" width="12.11"/>
    <col collapsed="false" customWidth="true" hidden="false" outlineLevel="0" max="5623" min="5623" style="54" width="13.56"/>
    <col collapsed="false" customWidth="false" hidden="false" outlineLevel="0" max="5624" min="5624" style="54" width="11.44"/>
    <col collapsed="false" customWidth="true" hidden="false" outlineLevel="0" max="5625" min="5625" style="54" width="11.89"/>
    <col collapsed="false" customWidth="true" hidden="false" outlineLevel="0" max="5628" min="5626" style="54" width="12.11"/>
    <col collapsed="false" customWidth="false" hidden="false" outlineLevel="0" max="5629" min="5629" style="54" width="11.44"/>
    <col collapsed="false" customWidth="true" hidden="false" outlineLevel="0" max="5630" min="5630" style="54" width="11.89"/>
    <col collapsed="false" customWidth="true" hidden="false" outlineLevel="0" max="5635" min="5631" style="54" width="12.11"/>
    <col collapsed="false" customWidth="false" hidden="false" outlineLevel="0" max="5875" min="5636" style="54" width="11.44"/>
    <col collapsed="false" customWidth="true" hidden="false" outlineLevel="0" max="5876" min="5876" style="54" width="52.67"/>
    <col collapsed="false" customWidth="true" hidden="false" outlineLevel="0" max="5878" min="5877" style="54" width="12.11"/>
    <col collapsed="false" customWidth="true" hidden="false" outlineLevel="0" max="5879" min="5879" style="54" width="13.56"/>
    <col collapsed="false" customWidth="false" hidden="false" outlineLevel="0" max="5880" min="5880" style="54" width="11.44"/>
    <col collapsed="false" customWidth="true" hidden="false" outlineLevel="0" max="5881" min="5881" style="54" width="11.89"/>
    <col collapsed="false" customWidth="true" hidden="false" outlineLevel="0" max="5884" min="5882" style="54" width="12.11"/>
    <col collapsed="false" customWidth="false" hidden="false" outlineLevel="0" max="5885" min="5885" style="54" width="11.44"/>
    <col collapsed="false" customWidth="true" hidden="false" outlineLevel="0" max="5886" min="5886" style="54" width="11.89"/>
    <col collapsed="false" customWidth="true" hidden="false" outlineLevel="0" max="5891" min="5887" style="54" width="12.11"/>
    <col collapsed="false" customWidth="false" hidden="false" outlineLevel="0" max="6131" min="5892" style="54" width="11.44"/>
    <col collapsed="false" customWidth="true" hidden="false" outlineLevel="0" max="6132" min="6132" style="54" width="52.67"/>
    <col collapsed="false" customWidth="true" hidden="false" outlineLevel="0" max="6134" min="6133" style="54" width="12.11"/>
    <col collapsed="false" customWidth="true" hidden="false" outlineLevel="0" max="6135" min="6135" style="54" width="13.56"/>
    <col collapsed="false" customWidth="false" hidden="false" outlineLevel="0" max="6136" min="6136" style="54" width="11.44"/>
    <col collapsed="false" customWidth="true" hidden="false" outlineLevel="0" max="6137" min="6137" style="54" width="11.89"/>
    <col collapsed="false" customWidth="true" hidden="false" outlineLevel="0" max="6140" min="6138" style="54" width="12.11"/>
    <col collapsed="false" customWidth="false" hidden="false" outlineLevel="0" max="6141" min="6141" style="54" width="11.44"/>
    <col collapsed="false" customWidth="true" hidden="false" outlineLevel="0" max="6142" min="6142" style="54" width="11.89"/>
    <col collapsed="false" customWidth="true" hidden="false" outlineLevel="0" max="6147" min="6143" style="54" width="12.11"/>
    <col collapsed="false" customWidth="false" hidden="false" outlineLevel="0" max="6387" min="6148" style="54" width="11.44"/>
    <col collapsed="false" customWidth="true" hidden="false" outlineLevel="0" max="6388" min="6388" style="54" width="52.67"/>
    <col collapsed="false" customWidth="true" hidden="false" outlineLevel="0" max="6390" min="6389" style="54" width="12.11"/>
    <col collapsed="false" customWidth="true" hidden="false" outlineLevel="0" max="6391" min="6391" style="54" width="13.56"/>
    <col collapsed="false" customWidth="false" hidden="false" outlineLevel="0" max="6392" min="6392" style="54" width="11.44"/>
    <col collapsed="false" customWidth="true" hidden="false" outlineLevel="0" max="6393" min="6393" style="54" width="11.89"/>
    <col collapsed="false" customWidth="true" hidden="false" outlineLevel="0" max="6396" min="6394" style="54" width="12.11"/>
    <col collapsed="false" customWidth="false" hidden="false" outlineLevel="0" max="6397" min="6397" style="54" width="11.44"/>
    <col collapsed="false" customWidth="true" hidden="false" outlineLevel="0" max="6398" min="6398" style="54" width="11.89"/>
    <col collapsed="false" customWidth="true" hidden="false" outlineLevel="0" max="6403" min="6399" style="54" width="12.11"/>
    <col collapsed="false" customWidth="false" hidden="false" outlineLevel="0" max="6643" min="6404" style="54" width="11.44"/>
    <col collapsed="false" customWidth="true" hidden="false" outlineLevel="0" max="6644" min="6644" style="54" width="52.67"/>
    <col collapsed="false" customWidth="true" hidden="false" outlineLevel="0" max="6646" min="6645" style="54" width="12.11"/>
    <col collapsed="false" customWidth="true" hidden="false" outlineLevel="0" max="6647" min="6647" style="54" width="13.56"/>
    <col collapsed="false" customWidth="false" hidden="false" outlineLevel="0" max="6648" min="6648" style="54" width="11.44"/>
    <col collapsed="false" customWidth="true" hidden="false" outlineLevel="0" max="6649" min="6649" style="54" width="11.89"/>
    <col collapsed="false" customWidth="true" hidden="false" outlineLevel="0" max="6652" min="6650" style="54" width="12.11"/>
    <col collapsed="false" customWidth="false" hidden="false" outlineLevel="0" max="6653" min="6653" style="54" width="11.44"/>
    <col collapsed="false" customWidth="true" hidden="false" outlineLevel="0" max="6654" min="6654" style="54" width="11.89"/>
    <col collapsed="false" customWidth="true" hidden="false" outlineLevel="0" max="6659" min="6655" style="54" width="12.11"/>
    <col collapsed="false" customWidth="false" hidden="false" outlineLevel="0" max="6899" min="6660" style="54" width="11.44"/>
    <col collapsed="false" customWidth="true" hidden="false" outlineLevel="0" max="6900" min="6900" style="54" width="52.67"/>
    <col collapsed="false" customWidth="true" hidden="false" outlineLevel="0" max="6902" min="6901" style="54" width="12.11"/>
    <col collapsed="false" customWidth="true" hidden="false" outlineLevel="0" max="6903" min="6903" style="54" width="13.56"/>
    <col collapsed="false" customWidth="false" hidden="false" outlineLevel="0" max="6904" min="6904" style="54" width="11.44"/>
    <col collapsed="false" customWidth="true" hidden="false" outlineLevel="0" max="6905" min="6905" style="54" width="11.89"/>
    <col collapsed="false" customWidth="true" hidden="false" outlineLevel="0" max="6908" min="6906" style="54" width="12.11"/>
    <col collapsed="false" customWidth="false" hidden="false" outlineLevel="0" max="6909" min="6909" style="54" width="11.44"/>
    <col collapsed="false" customWidth="true" hidden="false" outlineLevel="0" max="6910" min="6910" style="54" width="11.89"/>
    <col collapsed="false" customWidth="true" hidden="false" outlineLevel="0" max="6915" min="6911" style="54" width="12.11"/>
    <col collapsed="false" customWidth="false" hidden="false" outlineLevel="0" max="7155" min="6916" style="54" width="11.44"/>
    <col collapsed="false" customWidth="true" hidden="false" outlineLevel="0" max="7156" min="7156" style="54" width="52.67"/>
    <col collapsed="false" customWidth="true" hidden="false" outlineLevel="0" max="7158" min="7157" style="54" width="12.11"/>
    <col collapsed="false" customWidth="true" hidden="false" outlineLevel="0" max="7159" min="7159" style="54" width="13.56"/>
    <col collapsed="false" customWidth="false" hidden="false" outlineLevel="0" max="7160" min="7160" style="54" width="11.44"/>
    <col collapsed="false" customWidth="true" hidden="false" outlineLevel="0" max="7161" min="7161" style="54" width="11.89"/>
    <col collapsed="false" customWidth="true" hidden="false" outlineLevel="0" max="7164" min="7162" style="54" width="12.11"/>
    <col collapsed="false" customWidth="false" hidden="false" outlineLevel="0" max="7165" min="7165" style="54" width="11.44"/>
    <col collapsed="false" customWidth="true" hidden="false" outlineLevel="0" max="7166" min="7166" style="54" width="11.89"/>
    <col collapsed="false" customWidth="true" hidden="false" outlineLevel="0" max="7171" min="7167" style="54" width="12.11"/>
    <col collapsed="false" customWidth="false" hidden="false" outlineLevel="0" max="7411" min="7172" style="54" width="11.44"/>
    <col collapsed="false" customWidth="true" hidden="false" outlineLevel="0" max="7412" min="7412" style="54" width="52.67"/>
    <col collapsed="false" customWidth="true" hidden="false" outlineLevel="0" max="7414" min="7413" style="54" width="12.11"/>
    <col collapsed="false" customWidth="true" hidden="false" outlineLevel="0" max="7415" min="7415" style="54" width="13.56"/>
    <col collapsed="false" customWidth="false" hidden="false" outlineLevel="0" max="7416" min="7416" style="54" width="11.44"/>
    <col collapsed="false" customWidth="true" hidden="false" outlineLevel="0" max="7417" min="7417" style="54" width="11.89"/>
    <col collapsed="false" customWidth="true" hidden="false" outlineLevel="0" max="7420" min="7418" style="54" width="12.11"/>
    <col collapsed="false" customWidth="false" hidden="false" outlineLevel="0" max="7421" min="7421" style="54" width="11.44"/>
    <col collapsed="false" customWidth="true" hidden="false" outlineLevel="0" max="7422" min="7422" style="54" width="11.89"/>
    <col collapsed="false" customWidth="true" hidden="false" outlineLevel="0" max="7427" min="7423" style="54" width="12.11"/>
    <col collapsed="false" customWidth="false" hidden="false" outlineLevel="0" max="7667" min="7428" style="54" width="11.44"/>
    <col collapsed="false" customWidth="true" hidden="false" outlineLevel="0" max="7668" min="7668" style="54" width="52.67"/>
    <col collapsed="false" customWidth="true" hidden="false" outlineLevel="0" max="7670" min="7669" style="54" width="12.11"/>
    <col collapsed="false" customWidth="true" hidden="false" outlineLevel="0" max="7671" min="7671" style="54" width="13.56"/>
    <col collapsed="false" customWidth="false" hidden="false" outlineLevel="0" max="7672" min="7672" style="54" width="11.44"/>
    <col collapsed="false" customWidth="true" hidden="false" outlineLevel="0" max="7673" min="7673" style="54" width="11.89"/>
    <col collapsed="false" customWidth="true" hidden="false" outlineLevel="0" max="7676" min="7674" style="54" width="12.11"/>
    <col collapsed="false" customWidth="false" hidden="false" outlineLevel="0" max="7677" min="7677" style="54" width="11.44"/>
    <col collapsed="false" customWidth="true" hidden="false" outlineLevel="0" max="7678" min="7678" style="54" width="11.89"/>
    <col collapsed="false" customWidth="true" hidden="false" outlineLevel="0" max="7683" min="7679" style="54" width="12.11"/>
    <col collapsed="false" customWidth="false" hidden="false" outlineLevel="0" max="7923" min="7684" style="54" width="11.44"/>
    <col collapsed="false" customWidth="true" hidden="false" outlineLevel="0" max="7924" min="7924" style="54" width="52.67"/>
    <col collapsed="false" customWidth="true" hidden="false" outlineLevel="0" max="7926" min="7925" style="54" width="12.11"/>
    <col collapsed="false" customWidth="true" hidden="false" outlineLevel="0" max="7927" min="7927" style="54" width="13.56"/>
    <col collapsed="false" customWidth="false" hidden="false" outlineLevel="0" max="7928" min="7928" style="54" width="11.44"/>
    <col collapsed="false" customWidth="true" hidden="false" outlineLevel="0" max="7929" min="7929" style="54" width="11.89"/>
    <col collapsed="false" customWidth="true" hidden="false" outlineLevel="0" max="7932" min="7930" style="54" width="12.11"/>
    <col collapsed="false" customWidth="false" hidden="false" outlineLevel="0" max="7933" min="7933" style="54" width="11.44"/>
    <col collapsed="false" customWidth="true" hidden="false" outlineLevel="0" max="7934" min="7934" style="54" width="11.89"/>
    <col collapsed="false" customWidth="true" hidden="false" outlineLevel="0" max="7939" min="7935" style="54" width="12.11"/>
    <col collapsed="false" customWidth="false" hidden="false" outlineLevel="0" max="8179" min="7940" style="54" width="11.44"/>
    <col collapsed="false" customWidth="true" hidden="false" outlineLevel="0" max="8180" min="8180" style="54" width="52.67"/>
    <col collapsed="false" customWidth="true" hidden="false" outlineLevel="0" max="8182" min="8181" style="54" width="12.11"/>
    <col collapsed="false" customWidth="true" hidden="false" outlineLevel="0" max="8183" min="8183" style="54" width="13.56"/>
    <col collapsed="false" customWidth="false" hidden="false" outlineLevel="0" max="8184" min="8184" style="54" width="11.44"/>
    <col collapsed="false" customWidth="true" hidden="false" outlineLevel="0" max="8185" min="8185" style="54" width="11.89"/>
    <col collapsed="false" customWidth="true" hidden="false" outlineLevel="0" max="8188" min="8186" style="54" width="12.11"/>
    <col collapsed="false" customWidth="false" hidden="false" outlineLevel="0" max="8189" min="8189" style="54" width="11.44"/>
    <col collapsed="false" customWidth="true" hidden="false" outlineLevel="0" max="8190" min="8190" style="54" width="11.89"/>
    <col collapsed="false" customWidth="true" hidden="false" outlineLevel="0" max="8195" min="8191" style="54" width="12.11"/>
    <col collapsed="false" customWidth="false" hidden="false" outlineLevel="0" max="8435" min="8196" style="54" width="11.44"/>
    <col collapsed="false" customWidth="true" hidden="false" outlineLevel="0" max="8436" min="8436" style="54" width="52.67"/>
    <col collapsed="false" customWidth="true" hidden="false" outlineLevel="0" max="8438" min="8437" style="54" width="12.11"/>
    <col collapsed="false" customWidth="true" hidden="false" outlineLevel="0" max="8439" min="8439" style="54" width="13.56"/>
    <col collapsed="false" customWidth="false" hidden="false" outlineLevel="0" max="8440" min="8440" style="54" width="11.44"/>
    <col collapsed="false" customWidth="true" hidden="false" outlineLevel="0" max="8441" min="8441" style="54" width="11.89"/>
    <col collapsed="false" customWidth="true" hidden="false" outlineLevel="0" max="8444" min="8442" style="54" width="12.11"/>
    <col collapsed="false" customWidth="false" hidden="false" outlineLevel="0" max="8445" min="8445" style="54" width="11.44"/>
    <col collapsed="false" customWidth="true" hidden="false" outlineLevel="0" max="8446" min="8446" style="54" width="11.89"/>
    <col collapsed="false" customWidth="true" hidden="false" outlineLevel="0" max="8451" min="8447" style="54" width="12.11"/>
    <col collapsed="false" customWidth="false" hidden="false" outlineLevel="0" max="8691" min="8452" style="54" width="11.44"/>
    <col collapsed="false" customWidth="true" hidden="false" outlineLevel="0" max="8692" min="8692" style="54" width="52.67"/>
    <col collapsed="false" customWidth="true" hidden="false" outlineLevel="0" max="8694" min="8693" style="54" width="12.11"/>
    <col collapsed="false" customWidth="true" hidden="false" outlineLevel="0" max="8695" min="8695" style="54" width="13.56"/>
    <col collapsed="false" customWidth="false" hidden="false" outlineLevel="0" max="8696" min="8696" style="54" width="11.44"/>
    <col collapsed="false" customWidth="true" hidden="false" outlineLevel="0" max="8697" min="8697" style="54" width="11.89"/>
    <col collapsed="false" customWidth="true" hidden="false" outlineLevel="0" max="8700" min="8698" style="54" width="12.11"/>
    <col collapsed="false" customWidth="false" hidden="false" outlineLevel="0" max="8701" min="8701" style="54" width="11.44"/>
    <col collapsed="false" customWidth="true" hidden="false" outlineLevel="0" max="8702" min="8702" style="54" width="11.89"/>
    <col collapsed="false" customWidth="true" hidden="false" outlineLevel="0" max="8707" min="8703" style="54" width="12.11"/>
    <col collapsed="false" customWidth="false" hidden="false" outlineLevel="0" max="8947" min="8708" style="54" width="11.44"/>
    <col collapsed="false" customWidth="true" hidden="false" outlineLevel="0" max="8948" min="8948" style="54" width="52.67"/>
    <col collapsed="false" customWidth="true" hidden="false" outlineLevel="0" max="8950" min="8949" style="54" width="12.11"/>
    <col collapsed="false" customWidth="true" hidden="false" outlineLevel="0" max="8951" min="8951" style="54" width="13.56"/>
    <col collapsed="false" customWidth="false" hidden="false" outlineLevel="0" max="8952" min="8952" style="54" width="11.44"/>
    <col collapsed="false" customWidth="true" hidden="false" outlineLevel="0" max="8953" min="8953" style="54" width="11.89"/>
    <col collapsed="false" customWidth="true" hidden="false" outlineLevel="0" max="8956" min="8954" style="54" width="12.11"/>
    <col collapsed="false" customWidth="false" hidden="false" outlineLevel="0" max="8957" min="8957" style="54" width="11.44"/>
    <col collapsed="false" customWidth="true" hidden="false" outlineLevel="0" max="8958" min="8958" style="54" width="11.89"/>
    <col collapsed="false" customWidth="true" hidden="false" outlineLevel="0" max="8963" min="8959" style="54" width="12.11"/>
    <col collapsed="false" customWidth="false" hidden="false" outlineLevel="0" max="9203" min="8964" style="54" width="11.44"/>
    <col collapsed="false" customWidth="true" hidden="false" outlineLevel="0" max="9204" min="9204" style="54" width="52.67"/>
    <col collapsed="false" customWidth="true" hidden="false" outlineLevel="0" max="9206" min="9205" style="54" width="12.11"/>
    <col collapsed="false" customWidth="true" hidden="false" outlineLevel="0" max="9207" min="9207" style="54" width="13.56"/>
    <col collapsed="false" customWidth="false" hidden="false" outlineLevel="0" max="9208" min="9208" style="54" width="11.44"/>
    <col collapsed="false" customWidth="true" hidden="false" outlineLevel="0" max="9209" min="9209" style="54" width="11.89"/>
    <col collapsed="false" customWidth="true" hidden="false" outlineLevel="0" max="9212" min="9210" style="54" width="12.11"/>
    <col collapsed="false" customWidth="false" hidden="false" outlineLevel="0" max="9213" min="9213" style="54" width="11.44"/>
    <col collapsed="false" customWidth="true" hidden="false" outlineLevel="0" max="9214" min="9214" style="54" width="11.89"/>
    <col collapsed="false" customWidth="true" hidden="false" outlineLevel="0" max="9219" min="9215" style="54" width="12.11"/>
    <col collapsed="false" customWidth="false" hidden="false" outlineLevel="0" max="9459" min="9220" style="54" width="11.44"/>
    <col collapsed="false" customWidth="true" hidden="false" outlineLevel="0" max="9460" min="9460" style="54" width="52.67"/>
    <col collapsed="false" customWidth="true" hidden="false" outlineLevel="0" max="9462" min="9461" style="54" width="12.11"/>
    <col collapsed="false" customWidth="true" hidden="false" outlineLevel="0" max="9463" min="9463" style="54" width="13.56"/>
    <col collapsed="false" customWidth="false" hidden="false" outlineLevel="0" max="9464" min="9464" style="54" width="11.44"/>
    <col collapsed="false" customWidth="true" hidden="false" outlineLevel="0" max="9465" min="9465" style="54" width="11.89"/>
    <col collapsed="false" customWidth="true" hidden="false" outlineLevel="0" max="9468" min="9466" style="54" width="12.11"/>
    <col collapsed="false" customWidth="false" hidden="false" outlineLevel="0" max="9469" min="9469" style="54" width="11.44"/>
    <col collapsed="false" customWidth="true" hidden="false" outlineLevel="0" max="9470" min="9470" style="54" width="11.89"/>
    <col collapsed="false" customWidth="true" hidden="false" outlineLevel="0" max="9475" min="9471" style="54" width="12.11"/>
    <col collapsed="false" customWidth="false" hidden="false" outlineLevel="0" max="9715" min="9476" style="54" width="11.44"/>
    <col collapsed="false" customWidth="true" hidden="false" outlineLevel="0" max="9716" min="9716" style="54" width="52.67"/>
    <col collapsed="false" customWidth="true" hidden="false" outlineLevel="0" max="9718" min="9717" style="54" width="12.11"/>
    <col collapsed="false" customWidth="true" hidden="false" outlineLevel="0" max="9719" min="9719" style="54" width="13.56"/>
    <col collapsed="false" customWidth="false" hidden="false" outlineLevel="0" max="9720" min="9720" style="54" width="11.44"/>
    <col collapsed="false" customWidth="true" hidden="false" outlineLevel="0" max="9721" min="9721" style="54" width="11.89"/>
    <col collapsed="false" customWidth="true" hidden="false" outlineLevel="0" max="9724" min="9722" style="54" width="12.11"/>
    <col collapsed="false" customWidth="false" hidden="false" outlineLevel="0" max="9725" min="9725" style="54" width="11.44"/>
    <col collapsed="false" customWidth="true" hidden="false" outlineLevel="0" max="9726" min="9726" style="54" width="11.89"/>
    <col collapsed="false" customWidth="true" hidden="false" outlineLevel="0" max="9731" min="9727" style="54" width="12.11"/>
    <col collapsed="false" customWidth="false" hidden="false" outlineLevel="0" max="9971" min="9732" style="54" width="11.44"/>
    <col collapsed="false" customWidth="true" hidden="false" outlineLevel="0" max="9972" min="9972" style="54" width="52.67"/>
    <col collapsed="false" customWidth="true" hidden="false" outlineLevel="0" max="9974" min="9973" style="54" width="12.11"/>
    <col collapsed="false" customWidth="true" hidden="false" outlineLevel="0" max="9975" min="9975" style="54" width="13.56"/>
    <col collapsed="false" customWidth="false" hidden="false" outlineLevel="0" max="9976" min="9976" style="54" width="11.44"/>
    <col collapsed="false" customWidth="true" hidden="false" outlineLevel="0" max="9977" min="9977" style="54" width="11.89"/>
    <col collapsed="false" customWidth="true" hidden="false" outlineLevel="0" max="9980" min="9978" style="54" width="12.11"/>
    <col collapsed="false" customWidth="false" hidden="false" outlineLevel="0" max="9981" min="9981" style="54" width="11.44"/>
    <col collapsed="false" customWidth="true" hidden="false" outlineLevel="0" max="9982" min="9982" style="54" width="11.89"/>
    <col collapsed="false" customWidth="true" hidden="false" outlineLevel="0" max="9987" min="9983" style="54" width="12.11"/>
    <col collapsed="false" customWidth="false" hidden="false" outlineLevel="0" max="10227" min="9988" style="54" width="11.44"/>
    <col collapsed="false" customWidth="true" hidden="false" outlineLevel="0" max="10228" min="10228" style="54" width="52.67"/>
    <col collapsed="false" customWidth="true" hidden="false" outlineLevel="0" max="10230" min="10229" style="54" width="12.11"/>
    <col collapsed="false" customWidth="true" hidden="false" outlineLevel="0" max="10231" min="10231" style="54" width="13.56"/>
    <col collapsed="false" customWidth="false" hidden="false" outlineLevel="0" max="10232" min="10232" style="54" width="11.44"/>
    <col collapsed="false" customWidth="true" hidden="false" outlineLevel="0" max="10233" min="10233" style="54" width="11.89"/>
    <col collapsed="false" customWidth="true" hidden="false" outlineLevel="0" max="10236" min="10234" style="54" width="12.11"/>
    <col collapsed="false" customWidth="false" hidden="false" outlineLevel="0" max="10237" min="10237" style="54" width="11.44"/>
    <col collapsed="false" customWidth="true" hidden="false" outlineLevel="0" max="10238" min="10238" style="54" width="11.89"/>
    <col collapsed="false" customWidth="true" hidden="false" outlineLevel="0" max="10243" min="10239" style="54" width="12.11"/>
    <col collapsed="false" customWidth="false" hidden="false" outlineLevel="0" max="10483" min="10244" style="54" width="11.44"/>
    <col collapsed="false" customWidth="true" hidden="false" outlineLevel="0" max="10484" min="10484" style="54" width="52.67"/>
    <col collapsed="false" customWidth="true" hidden="false" outlineLevel="0" max="10486" min="10485" style="54" width="12.11"/>
    <col collapsed="false" customWidth="true" hidden="false" outlineLevel="0" max="10487" min="10487" style="54" width="13.56"/>
    <col collapsed="false" customWidth="false" hidden="false" outlineLevel="0" max="10488" min="10488" style="54" width="11.44"/>
    <col collapsed="false" customWidth="true" hidden="false" outlineLevel="0" max="10489" min="10489" style="54" width="11.89"/>
    <col collapsed="false" customWidth="true" hidden="false" outlineLevel="0" max="10492" min="10490" style="54" width="12.11"/>
    <col collapsed="false" customWidth="false" hidden="false" outlineLevel="0" max="10493" min="10493" style="54" width="11.44"/>
    <col collapsed="false" customWidth="true" hidden="false" outlineLevel="0" max="10494" min="10494" style="54" width="11.89"/>
    <col collapsed="false" customWidth="true" hidden="false" outlineLevel="0" max="10499" min="10495" style="54" width="12.11"/>
    <col collapsed="false" customWidth="false" hidden="false" outlineLevel="0" max="10739" min="10500" style="54" width="11.44"/>
    <col collapsed="false" customWidth="true" hidden="false" outlineLevel="0" max="10740" min="10740" style="54" width="52.67"/>
    <col collapsed="false" customWidth="true" hidden="false" outlineLevel="0" max="10742" min="10741" style="54" width="12.11"/>
    <col collapsed="false" customWidth="true" hidden="false" outlineLevel="0" max="10743" min="10743" style="54" width="13.56"/>
    <col collapsed="false" customWidth="false" hidden="false" outlineLevel="0" max="10744" min="10744" style="54" width="11.44"/>
    <col collapsed="false" customWidth="true" hidden="false" outlineLevel="0" max="10745" min="10745" style="54" width="11.89"/>
    <col collapsed="false" customWidth="true" hidden="false" outlineLevel="0" max="10748" min="10746" style="54" width="12.11"/>
    <col collapsed="false" customWidth="false" hidden="false" outlineLevel="0" max="10749" min="10749" style="54" width="11.44"/>
    <col collapsed="false" customWidth="true" hidden="false" outlineLevel="0" max="10750" min="10750" style="54" width="11.89"/>
    <col collapsed="false" customWidth="true" hidden="false" outlineLevel="0" max="10755" min="10751" style="54" width="12.11"/>
    <col collapsed="false" customWidth="false" hidden="false" outlineLevel="0" max="10995" min="10756" style="54" width="11.44"/>
    <col collapsed="false" customWidth="true" hidden="false" outlineLevel="0" max="10996" min="10996" style="54" width="52.67"/>
    <col collapsed="false" customWidth="true" hidden="false" outlineLevel="0" max="10998" min="10997" style="54" width="12.11"/>
    <col collapsed="false" customWidth="true" hidden="false" outlineLevel="0" max="10999" min="10999" style="54" width="13.56"/>
    <col collapsed="false" customWidth="false" hidden="false" outlineLevel="0" max="11000" min="11000" style="54" width="11.44"/>
    <col collapsed="false" customWidth="true" hidden="false" outlineLevel="0" max="11001" min="11001" style="54" width="11.89"/>
    <col collapsed="false" customWidth="true" hidden="false" outlineLevel="0" max="11004" min="11002" style="54" width="12.11"/>
    <col collapsed="false" customWidth="false" hidden="false" outlineLevel="0" max="11005" min="11005" style="54" width="11.44"/>
    <col collapsed="false" customWidth="true" hidden="false" outlineLevel="0" max="11006" min="11006" style="54" width="11.89"/>
    <col collapsed="false" customWidth="true" hidden="false" outlineLevel="0" max="11011" min="11007" style="54" width="12.11"/>
    <col collapsed="false" customWidth="false" hidden="false" outlineLevel="0" max="11251" min="11012" style="54" width="11.44"/>
    <col collapsed="false" customWidth="true" hidden="false" outlineLevel="0" max="11252" min="11252" style="54" width="52.67"/>
    <col collapsed="false" customWidth="true" hidden="false" outlineLevel="0" max="11254" min="11253" style="54" width="12.11"/>
    <col collapsed="false" customWidth="true" hidden="false" outlineLevel="0" max="11255" min="11255" style="54" width="13.56"/>
    <col collapsed="false" customWidth="false" hidden="false" outlineLevel="0" max="11256" min="11256" style="54" width="11.44"/>
    <col collapsed="false" customWidth="true" hidden="false" outlineLevel="0" max="11257" min="11257" style="54" width="11.89"/>
    <col collapsed="false" customWidth="true" hidden="false" outlineLevel="0" max="11260" min="11258" style="54" width="12.11"/>
    <col collapsed="false" customWidth="false" hidden="false" outlineLevel="0" max="11261" min="11261" style="54" width="11.44"/>
    <col collapsed="false" customWidth="true" hidden="false" outlineLevel="0" max="11262" min="11262" style="54" width="11.89"/>
    <col collapsed="false" customWidth="true" hidden="false" outlineLevel="0" max="11267" min="11263" style="54" width="12.11"/>
    <col collapsed="false" customWidth="false" hidden="false" outlineLevel="0" max="11507" min="11268" style="54" width="11.44"/>
    <col collapsed="false" customWidth="true" hidden="false" outlineLevel="0" max="11508" min="11508" style="54" width="52.67"/>
    <col collapsed="false" customWidth="true" hidden="false" outlineLevel="0" max="11510" min="11509" style="54" width="12.11"/>
    <col collapsed="false" customWidth="true" hidden="false" outlineLevel="0" max="11511" min="11511" style="54" width="13.56"/>
    <col collapsed="false" customWidth="false" hidden="false" outlineLevel="0" max="11512" min="11512" style="54" width="11.44"/>
    <col collapsed="false" customWidth="true" hidden="false" outlineLevel="0" max="11513" min="11513" style="54" width="11.89"/>
    <col collapsed="false" customWidth="true" hidden="false" outlineLevel="0" max="11516" min="11514" style="54" width="12.11"/>
    <col collapsed="false" customWidth="false" hidden="false" outlineLevel="0" max="11517" min="11517" style="54" width="11.44"/>
    <col collapsed="false" customWidth="true" hidden="false" outlineLevel="0" max="11518" min="11518" style="54" width="11.89"/>
    <col collapsed="false" customWidth="true" hidden="false" outlineLevel="0" max="11523" min="11519" style="54" width="12.11"/>
    <col collapsed="false" customWidth="false" hidden="false" outlineLevel="0" max="11763" min="11524" style="54" width="11.44"/>
    <col collapsed="false" customWidth="true" hidden="false" outlineLevel="0" max="11764" min="11764" style="54" width="52.67"/>
    <col collapsed="false" customWidth="true" hidden="false" outlineLevel="0" max="11766" min="11765" style="54" width="12.11"/>
    <col collapsed="false" customWidth="true" hidden="false" outlineLevel="0" max="11767" min="11767" style="54" width="13.56"/>
    <col collapsed="false" customWidth="false" hidden="false" outlineLevel="0" max="11768" min="11768" style="54" width="11.44"/>
    <col collapsed="false" customWidth="true" hidden="false" outlineLevel="0" max="11769" min="11769" style="54" width="11.89"/>
    <col collapsed="false" customWidth="true" hidden="false" outlineLevel="0" max="11772" min="11770" style="54" width="12.11"/>
    <col collapsed="false" customWidth="false" hidden="false" outlineLevel="0" max="11773" min="11773" style="54" width="11.44"/>
    <col collapsed="false" customWidth="true" hidden="false" outlineLevel="0" max="11774" min="11774" style="54" width="11.89"/>
    <col collapsed="false" customWidth="true" hidden="false" outlineLevel="0" max="11779" min="11775" style="54" width="12.11"/>
    <col collapsed="false" customWidth="false" hidden="false" outlineLevel="0" max="12019" min="11780" style="54" width="11.44"/>
    <col collapsed="false" customWidth="true" hidden="false" outlineLevel="0" max="12020" min="12020" style="54" width="52.67"/>
    <col collapsed="false" customWidth="true" hidden="false" outlineLevel="0" max="12022" min="12021" style="54" width="12.11"/>
    <col collapsed="false" customWidth="true" hidden="false" outlineLevel="0" max="12023" min="12023" style="54" width="13.56"/>
    <col collapsed="false" customWidth="false" hidden="false" outlineLevel="0" max="12024" min="12024" style="54" width="11.44"/>
    <col collapsed="false" customWidth="true" hidden="false" outlineLevel="0" max="12025" min="12025" style="54" width="11.89"/>
    <col collapsed="false" customWidth="true" hidden="false" outlineLevel="0" max="12028" min="12026" style="54" width="12.11"/>
    <col collapsed="false" customWidth="false" hidden="false" outlineLevel="0" max="12029" min="12029" style="54" width="11.44"/>
    <col collapsed="false" customWidth="true" hidden="false" outlineLevel="0" max="12030" min="12030" style="54" width="11.89"/>
    <col collapsed="false" customWidth="true" hidden="false" outlineLevel="0" max="12035" min="12031" style="54" width="12.11"/>
    <col collapsed="false" customWidth="false" hidden="false" outlineLevel="0" max="12275" min="12036" style="54" width="11.44"/>
    <col collapsed="false" customWidth="true" hidden="false" outlineLevel="0" max="12276" min="12276" style="54" width="52.67"/>
    <col collapsed="false" customWidth="true" hidden="false" outlineLevel="0" max="12278" min="12277" style="54" width="12.11"/>
    <col collapsed="false" customWidth="true" hidden="false" outlineLevel="0" max="12279" min="12279" style="54" width="13.56"/>
    <col collapsed="false" customWidth="false" hidden="false" outlineLevel="0" max="12280" min="12280" style="54" width="11.44"/>
    <col collapsed="false" customWidth="true" hidden="false" outlineLevel="0" max="12281" min="12281" style="54" width="11.89"/>
    <col collapsed="false" customWidth="true" hidden="false" outlineLevel="0" max="12284" min="12282" style="54" width="12.11"/>
    <col collapsed="false" customWidth="false" hidden="false" outlineLevel="0" max="12285" min="12285" style="54" width="11.44"/>
    <col collapsed="false" customWidth="true" hidden="false" outlineLevel="0" max="12286" min="12286" style="54" width="11.89"/>
    <col collapsed="false" customWidth="true" hidden="false" outlineLevel="0" max="12291" min="12287" style="54" width="12.11"/>
    <col collapsed="false" customWidth="false" hidden="false" outlineLevel="0" max="12531" min="12292" style="54" width="11.44"/>
    <col collapsed="false" customWidth="true" hidden="false" outlineLevel="0" max="12532" min="12532" style="54" width="52.67"/>
    <col collapsed="false" customWidth="true" hidden="false" outlineLevel="0" max="12534" min="12533" style="54" width="12.11"/>
    <col collapsed="false" customWidth="true" hidden="false" outlineLevel="0" max="12535" min="12535" style="54" width="13.56"/>
    <col collapsed="false" customWidth="false" hidden="false" outlineLevel="0" max="12536" min="12536" style="54" width="11.44"/>
    <col collapsed="false" customWidth="true" hidden="false" outlineLevel="0" max="12537" min="12537" style="54" width="11.89"/>
    <col collapsed="false" customWidth="true" hidden="false" outlineLevel="0" max="12540" min="12538" style="54" width="12.11"/>
    <col collapsed="false" customWidth="false" hidden="false" outlineLevel="0" max="12541" min="12541" style="54" width="11.44"/>
    <col collapsed="false" customWidth="true" hidden="false" outlineLevel="0" max="12542" min="12542" style="54" width="11.89"/>
    <col collapsed="false" customWidth="true" hidden="false" outlineLevel="0" max="12547" min="12543" style="54" width="12.11"/>
    <col collapsed="false" customWidth="false" hidden="false" outlineLevel="0" max="12787" min="12548" style="54" width="11.44"/>
    <col collapsed="false" customWidth="true" hidden="false" outlineLevel="0" max="12788" min="12788" style="54" width="52.67"/>
    <col collapsed="false" customWidth="true" hidden="false" outlineLevel="0" max="12790" min="12789" style="54" width="12.11"/>
    <col collapsed="false" customWidth="true" hidden="false" outlineLevel="0" max="12791" min="12791" style="54" width="13.56"/>
    <col collapsed="false" customWidth="false" hidden="false" outlineLevel="0" max="12792" min="12792" style="54" width="11.44"/>
    <col collapsed="false" customWidth="true" hidden="false" outlineLevel="0" max="12793" min="12793" style="54" width="11.89"/>
    <col collapsed="false" customWidth="true" hidden="false" outlineLevel="0" max="12796" min="12794" style="54" width="12.11"/>
    <col collapsed="false" customWidth="false" hidden="false" outlineLevel="0" max="12797" min="12797" style="54" width="11.44"/>
    <col collapsed="false" customWidth="true" hidden="false" outlineLevel="0" max="12798" min="12798" style="54" width="11.89"/>
    <col collapsed="false" customWidth="true" hidden="false" outlineLevel="0" max="12803" min="12799" style="54" width="12.11"/>
    <col collapsed="false" customWidth="false" hidden="false" outlineLevel="0" max="13043" min="12804" style="54" width="11.44"/>
    <col collapsed="false" customWidth="true" hidden="false" outlineLevel="0" max="13044" min="13044" style="54" width="52.67"/>
    <col collapsed="false" customWidth="true" hidden="false" outlineLevel="0" max="13046" min="13045" style="54" width="12.11"/>
    <col collapsed="false" customWidth="true" hidden="false" outlineLevel="0" max="13047" min="13047" style="54" width="13.56"/>
    <col collapsed="false" customWidth="false" hidden="false" outlineLevel="0" max="13048" min="13048" style="54" width="11.44"/>
    <col collapsed="false" customWidth="true" hidden="false" outlineLevel="0" max="13049" min="13049" style="54" width="11.89"/>
    <col collapsed="false" customWidth="true" hidden="false" outlineLevel="0" max="13052" min="13050" style="54" width="12.11"/>
    <col collapsed="false" customWidth="false" hidden="false" outlineLevel="0" max="13053" min="13053" style="54" width="11.44"/>
    <col collapsed="false" customWidth="true" hidden="false" outlineLevel="0" max="13054" min="13054" style="54" width="11.89"/>
    <col collapsed="false" customWidth="true" hidden="false" outlineLevel="0" max="13059" min="13055" style="54" width="12.11"/>
    <col collapsed="false" customWidth="false" hidden="false" outlineLevel="0" max="13299" min="13060" style="54" width="11.44"/>
    <col collapsed="false" customWidth="true" hidden="false" outlineLevel="0" max="13300" min="13300" style="54" width="52.67"/>
    <col collapsed="false" customWidth="true" hidden="false" outlineLevel="0" max="13302" min="13301" style="54" width="12.11"/>
    <col collapsed="false" customWidth="true" hidden="false" outlineLevel="0" max="13303" min="13303" style="54" width="13.56"/>
    <col collapsed="false" customWidth="false" hidden="false" outlineLevel="0" max="13304" min="13304" style="54" width="11.44"/>
    <col collapsed="false" customWidth="true" hidden="false" outlineLevel="0" max="13305" min="13305" style="54" width="11.89"/>
    <col collapsed="false" customWidth="true" hidden="false" outlineLevel="0" max="13308" min="13306" style="54" width="12.11"/>
    <col collapsed="false" customWidth="false" hidden="false" outlineLevel="0" max="13309" min="13309" style="54" width="11.44"/>
    <col collapsed="false" customWidth="true" hidden="false" outlineLevel="0" max="13310" min="13310" style="54" width="11.89"/>
    <col collapsed="false" customWidth="true" hidden="false" outlineLevel="0" max="13315" min="13311" style="54" width="12.11"/>
    <col collapsed="false" customWidth="false" hidden="false" outlineLevel="0" max="13555" min="13316" style="54" width="11.44"/>
    <col collapsed="false" customWidth="true" hidden="false" outlineLevel="0" max="13556" min="13556" style="54" width="52.67"/>
    <col collapsed="false" customWidth="true" hidden="false" outlineLevel="0" max="13558" min="13557" style="54" width="12.11"/>
    <col collapsed="false" customWidth="true" hidden="false" outlineLevel="0" max="13559" min="13559" style="54" width="13.56"/>
    <col collapsed="false" customWidth="false" hidden="false" outlineLevel="0" max="13560" min="13560" style="54" width="11.44"/>
    <col collapsed="false" customWidth="true" hidden="false" outlineLevel="0" max="13561" min="13561" style="54" width="11.89"/>
    <col collapsed="false" customWidth="true" hidden="false" outlineLevel="0" max="13564" min="13562" style="54" width="12.11"/>
    <col collapsed="false" customWidth="false" hidden="false" outlineLevel="0" max="13565" min="13565" style="54" width="11.44"/>
    <col collapsed="false" customWidth="true" hidden="false" outlineLevel="0" max="13566" min="13566" style="54" width="11.89"/>
    <col collapsed="false" customWidth="true" hidden="false" outlineLevel="0" max="13571" min="13567" style="54" width="12.11"/>
    <col collapsed="false" customWidth="false" hidden="false" outlineLevel="0" max="13811" min="13572" style="54" width="11.44"/>
    <col collapsed="false" customWidth="true" hidden="false" outlineLevel="0" max="13812" min="13812" style="54" width="52.67"/>
    <col collapsed="false" customWidth="true" hidden="false" outlineLevel="0" max="13814" min="13813" style="54" width="12.11"/>
    <col collapsed="false" customWidth="true" hidden="false" outlineLevel="0" max="13815" min="13815" style="54" width="13.56"/>
    <col collapsed="false" customWidth="false" hidden="false" outlineLevel="0" max="13816" min="13816" style="54" width="11.44"/>
    <col collapsed="false" customWidth="true" hidden="false" outlineLevel="0" max="13817" min="13817" style="54" width="11.89"/>
    <col collapsed="false" customWidth="true" hidden="false" outlineLevel="0" max="13820" min="13818" style="54" width="12.11"/>
    <col collapsed="false" customWidth="false" hidden="false" outlineLevel="0" max="13821" min="13821" style="54" width="11.44"/>
    <col collapsed="false" customWidth="true" hidden="false" outlineLevel="0" max="13822" min="13822" style="54" width="11.89"/>
    <col collapsed="false" customWidth="true" hidden="false" outlineLevel="0" max="13827" min="13823" style="54" width="12.11"/>
    <col collapsed="false" customWidth="false" hidden="false" outlineLevel="0" max="14067" min="13828" style="54" width="11.44"/>
    <col collapsed="false" customWidth="true" hidden="false" outlineLevel="0" max="14068" min="14068" style="54" width="52.67"/>
    <col collapsed="false" customWidth="true" hidden="false" outlineLevel="0" max="14070" min="14069" style="54" width="12.11"/>
    <col collapsed="false" customWidth="true" hidden="false" outlineLevel="0" max="14071" min="14071" style="54" width="13.56"/>
    <col collapsed="false" customWidth="false" hidden="false" outlineLevel="0" max="14072" min="14072" style="54" width="11.44"/>
    <col collapsed="false" customWidth="true" hidden="false" outlineLevel="0" max="14073" min="14073" style="54" width="11.89"/>
    <col collapsed="false" customWidth="true" hidden="false" outlineLevel="0" max="14076" min="14074" style="54" width="12.11"/>
    <col collapsed="false" customWidth="false" hidden="false" outlineLevel="0" max="14077" min="14077" style="54" width="11.44"/>
    <col collapsed="false" customWidth="true" hidden="false" outlineLevel="0" max="14078" min="14078" style="54" width="11.89"/>
    <col collapsed="false" customWidth="true" hidden="false" outlineLevel="0" max="14083" min="14079" style="54" width="12.11"/>
    <col collapsed="false" customWidth="false" hidden="false" outlineLevel="0" max="14323" min="14084" style="54" width="11.44"/>
    <col collapsed="false" customWidth="true" hidden="false" outlineLevel="0" max="14324" min="14324" style="54" width="52.67"/>
    <col collapsed="false" customWidth="true" hidden="false" outlineLevel="0" max="14326" min="14325" style="54" width="12.11"/>
    <col collapsed="false" customWidth="true" hidden="false" outlineLevel="0" max="14327" min="14327" style="54" width="13.56"/>
    <col collapsed="false" customWidth="false" hidden="false" outlineLevel="0" max="14328" min="14328" style="54" width="11.44"/>
    <col collapsed="false" customWidth="true" hidden="false" outlineLevel="0" max="14329" min="14329" style="54" width="11.89"/>
    <col collapsed="false" customWidth="true" hidden="false" outlineLevel="0" max="14332" min="14330" style="54" width="12.11"/>
    <col collapsed="false" customWidth="false" hidden="false" outlineLevel="0" max="14333" min="14333" style="54" width="11.44"/>
    <col collapsed="false" customWidth="true" hidden="false" outlineLevel="0" max="14334" min="14334" style="54" width="11.89"/>
    <col collapsed="false" customWidth="true" hidden="false" outlineLevel="0" max="14339" min="14335" style="54" width="12.11"/>
    <col collapsed="false" customWidth="false" hidden="false" outlineLevel="0" max="14579" min="14340" style="54" width="11.44"/>
    <col collapsed="false" customWidth="true" hidden="false" outlineLevel="0" max="14580" min="14580" style="54" width="52.67"/>
    <col collapsed="false" customWidth="true" hidden="false" outlineLevel="0" max="14582" min="14581" style="54" width="12.11"/>
    <col collapsed="false" customWidth="true" hidden="false" outlineLevel="0" max="14583" min="14583" style="54" width="13.56"/>
    <col collapsed="false" customWidth="false" hidden="false" outlineLevel="0" max="14584" min="14584" style="54" width="11.44"/>
    <col collapsed="false" customWidth="true" hidden="false" outlineLevel="0" max="14585" min="14585" style="54" width="11.89"/>
    <col collapsed="false" customWidth="true" hidden="false" outlineLevel="0" max="14588" min="14586" style="54" width="12.11"/>
    <col collapsed="false" customWidth="false" hidden="false" outlineLevel="0" max="14589" min="14589" style="54" width="11.44"/>
    <col collapsed="false" customWidth="true" hidden="false" outlineLevel="0" max="14590" min="14590" style="54" width="11.89"/>
    <col collapsed="false" customWidth="true" hidden="false" outlineLevel="0" max="14595" min="14591" style="54" width="12.11"/>
    <col collapsed="false" customWidth="false" hidden="false" outlineLevel="0" max="14835" min="14596" style="54" width="11.44"/>
    <col collapsed="false" customWidth="true" hidden="false" outlineLevel="0" max="14836" min="14836" style="54" width="52.67"/>
    <col collapsed="false" customWidth="true" hidden="false" outlineLevel="0" max="14838" min="14837" style="54" width="12.11"/>
    <col collapsed="false" customWidth="true" hidden="false" outlineLevel="0" max="14839" min="14839" style="54" width="13.56"/>
    <col collapsed="false" customWidth="false" hidden="false" outlineLevel="0" max="14840" min="14840" style="54" width="11.44"/>
    <col collapsed="false" customWidth="true" hidden="false" outlineLevel="0" max="14841" min="14841" style="54" width="11.89"/>
    <col collapsed="false" customWidth="true" hidden="false" outlineLevel="0" max="14844" min="14842" style="54" width="12.11"/>
    <col collapsed="false" customWidth="false" hidden="false" outlineLevel="0" max="14845" min="14845" style="54" width="11.44"/>
    <col collapsed="false" customWidth="true" hidden="false" outlineLevel="0" max="14846" min="14846" style="54" width="11.89"/>
    <col collapsed="false" customWidth="true" hidden="false" outlineLevel="0" max="14851" min="14847" style="54" width="12.11"/>
    <col collapsed="false" customWidth="false" hidden="false" outlineLevel="0" max="15091" min="14852" style="54" width="11.44"/>
    <col collapsed="false" customWidth="true" hidden="false" outlineLevel="0" max="15092" min="15092" style="54" width="52.67"/>
    <col collapsed="false" customWidth="true" hidden="false" outlineLevel="0" max="15094" min="15093" style="54" width="12.11"/>
    <col collapsed="false" customWidth="true" hidden="false" outlineLevel="0" max="15095" min="15095" style="54" width="13.56"/>
    <col collapsed="false" customWidth="false" hidden="false" outlineLevel="0" max="15096" min="15096" style="54" width="11.44"/>
    <col collapsed="false" customWidth="true" hidden="false" outlineLevel="0" max="15097" min="15097" style="54" width="11.89"/>
    <col collapsed="false" customWidth="true" hidden="false" outlineLevel="0" max="15100" min="15098" style="54" width="12.11"/>
    <col collapsed="false" customWidth="false" hidden="false" outlineLevel="0" max="15101" min="15101" style="54" width="11.44"/>
    <col collapsed="false" customWidth="true" hidden="false" outlineLevel="0" max="15102" min="15102" style="54" width="11.89"/>
    <col collapsed="false" customWidth="true" hidden="false" outlineLevel="0" max="15107" min="15103" style="54" width="12.11"/>
    <col collapsed="false" customWidth="false" hidden="false" outlineLevel="0" max="15347" min="15108" style="54" width="11.44"/>
    <col collapsed="false" customWidth="true" hidden="false" outlineLevel="0" max="15348" min="15348" style="54" width="52.67"/>
    <col collapsed="false" customWidth="true" hidden="false" outlineLevel="0" max="15350" min="15349" style="54" width="12.11"/>
    <col collapsed="false" customWidth="true" hidden="false" outlineLevel="0" max="15351" min="15351" style="54" width="13.56"/>
    <col collapsed="false" customWidth="false" hidden="false" outlineLevel="0" max="15352" min="15352" style="54" width="11.44"/>
    <col collapsed="false" customWidth="true" hidden="false" outlineLevel="0" max="15353" min="15353" style="54" width="11.89"/>
    <col collapsed="false" customWidth="true" hidden="false" outlineLevel="0" max="15356" min="15354" style="54" width="12.11"/>
    <col collapsed="false" customWidth="false" hidden="false" outlineLevel="0" max="15357" min="15357" style="54" width="11.44"/>
    <col collapsed="false" customWidth="true" hidden="false" outlineLevel="0" max="15358" min="15358" style="54" width="11.89"/>
    <col collapsed="false" customWidth="true" hidden="false" outlineLevel="0" max="15363" min="15359" style="54" width="12.11"/>
    <col collapsed="false" customWidth="false" hidden="false" outlineLevel="0" max="15603" min="15364" style="54" width="11.44"/>
    <col collapsed="false" customWidth="true" hidden="false" outlineLevel="0" max="15604" min="15604" style="54" width="52.67"/>
    <col collapsed="false" customWidth="true" hidden="false" outlineLevel="0" max="15606" min="15605" style="54" width="12.11"/>
    <col collapsed="false" customWidth="true" hidden="false" outlineLevel="0" max="15607" min="15607" style="54" width="13.56"/>
    <col collapsed="false" customWidth="false" hidden="false" outlineLevel="0" max="15608" min="15608" style="54" width="11.44"/>
    <col collapsed="false" customWidth="true" hidden="false" outlineLevel="0" max="15609" min="15609" style="54" width="11.89"/>
    <col collapsed="false" customWidth="true" hidden="false" outlineLevel="0" max="15612" min="15610" style="54" width="12.11"/>
    <col collapsed="false" customWidth="false" hidden="false" outlineLevel="0" max="15613" min="15613" style="54" width="11.44"/>
    <col collapsed="false" customWidth="true" hidden="false" outlineLevel="0" max="15614" min="15614" style="54" width="11.89"/>
    <col collapsed="false" customWidth="true" hidden="false" outlineLevel="0" max="15619" min="15615" style="54" width="12.11"/>
    <col collapsed="false" customWidth="false" hidden="false" outlineLevel="0" max="15859" min="15620" style="54" width="11.44"/>
    <col collapsed="false" customWidth="true" hidden="false" outlineLevel="0" max="15860" min="15860" style="54" width="52.67"/>
    <col collapsed="false" customWidth="true" hidden="false" outlineLevel="0" max="15862" min="15861" style="54" width="12.11"/>
    <col collapsed="false" customWidth="true" hidden="false" outlineLevel="0" max="15863" min="15863" style="54" width="13.56"/>
    <col collapsed="false" customWidth="false" hidden="false" outlineLevel="0" max="15864" min="15864" style="54" width="11.44"/>
    <col collapsed="false" customWidth="true" hidden="false" outlineLevel="0" max="15865" min="15865" style="54" width="11.89"/>
    <col collapsed="false" customWidth="true" hidden="false" outlineLevel="0" max="15868" min="15866" style="54" width="12.11"/>
    <col collapsed="false" customWidth="false" hidden="false" outlineLevel="0" max="15869" min="15869" style="54" width="11.44"/>
    <col collapsed="false" customWidth="true" hidden="false" outlineLevel="0" max="15870" min="15870" style="54" width="11.89"/>
    <col collapsed="false" customWidth="true" hidden="false" outlineLevel="0" max="15875" min="15871" style="54" width="12.11"/>
    <col collapsed="false" customWidth="false" hidden="false" outlineLevel="0" max="16115" min="15876" style="54" width="11.44"/>
    <col collapsed="false" customWidth="true" hidden="false" outlineLevel="0" max="16116" min="16116" style="54" width="52.67"/>
    <col collapsed="false" customWidth="true" hidden="false" outlineLevel="0" max="16118" min="16117" style="54" width="12.11"/>
    <col collapsed="false" customWidth="true" hidden="false" outlineLevel="0" max="16119" min="16119" style="54" width="13.56"/>
    <col collapsed="false" customWidth="false" hidden="false" outlineLevel="0" max="16120" min="16120" style="54" width="11.44"/>
    <col collapsed="false" customWidth="true" hidden="false" outlineLevel="0" max="16121" min="16121" style="54" width="11.89"/>
    <col collapsed="false" customWidth="true" hidden="false" outlineLevel="0" max="16124" min="16122" style="54" width="12.11"/>
    <col collapsed="false" customWidth="false" hidden="false" outlineLevel="0" max="16125" min="16125" style="54" width="11.44"/>
    <col collapsed="false" customWidth="true" hidden="false" outlineLevel="0" max="16126" min="16126" style="54" width="11.89"/>
    <col collapsed="false" customWidth="true" hidden="false" outlineLevel="0" max="16131" min="16127" style="54" width="12.11"/>
    <col collapsed="false" customWidth="false" hidden="false" outlineLevel="0" max="16384" min="16132" style="54" width="11.44"/>
  </cols>
  <sheetData>
    <row r="2" customFormat="false" ht="13.8" hidden="false" customHeight="false" outlineLevel="0" collapsed="false">
      <c r="A2" s="56" t="str">
        <f aca="false">+CCF!A2</f>
        <v>AL SERVICIOS MULTIPLES EMPRESARIALES SA DE CV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</row>
    <row r="3" customFormat="false" ht="12.75" hidden="false" customHeight="false" outlineLevel="0" collapsed="false">
      <c r="A3" s="57" t="s">
        <v>25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</row>
    <row r="4" customFormat="false" ht="12.75" hidden="false" customHeight="false" outlineLevel="0" collapsed="false">
      <c r="B4" s="58"/>
    </row>
    <row r="6" s="59" customFormat="true" ht="12.75" hidden="false" customHeight="false" outlineLevel="0" collapsed="false">
      <c r="B6" s="60" t="n">
        <v>2014</v>
      </c>
      <c r="C6" s="61" t="n">
        <v>2015</v>
      </c>
      <c r="D6" s="61" t="n">
        <v>2016</v>
      </c>
      <c r="E6" s="61" t="n">
        <v>2017</v>
      </c>
      <c r="F6" s="61" t="n">
        <v>2018</v>
      </c>
      <c r="G6" s="61" t="n">
        <v>2019</v>
      </c>
      <c r="H6" s="61" t="n">
        <v>2020</v>
      </c>
      <c r="I6" s="61" t="n">
        <v>2021</v>
      </c>
      <c r="J6" s="61" t="n">
        <v>2022</v>
      </c>
      <c r="K6" s="61" t="n">
        <v>2023</v>
      </c>
      <c r="L6" s="61" t="n">
        <v>2024</v>
      </c>
    </row>
    <row r="7" s="59" customFormat="true" ht="12.75" hidden="false" customHeight="false" outlineLevel="0" collapsed="false">
      <c r="C7" s="62"/>
      <c r="D7" s="62"/>
      <c r="E7" s="62"/>
      <c r="F7" s="62"/>
      <c r="G7" s="62"/>
      <c r="H7" s="62"/>
      <c r="I7" s="62"/>
      <c r="J7" s="62"/>
      <c r="K7" s="62"/>
      <c r="L7" s="62"/>
    </row>
    <row r="8" customFormat="false" ht="12.75" hidden="false" customHeight="false" outlineLevel="0" collapsed="false">
      <c r="A8" s="63" t="s">
        <v>26</v>
      </c>
      <c r="B8" s="64" t="n">
        <v>0</v>
      </c>
      <c r="C8" s="64" t="n">
        <v>0</v>
      </c>
      <c r="D8" s="64" t="n">
        <v>0</v>
      </c>
      <c r="E8" s="64" t="n">
        <v>65148</v>
      </c>
      <c r="F8" s="64" t="n">
        <v>47265</v>
      </c>
      <c r="G8" s="64" t="n">
        <v>63635</v>
      </c>
      <c r="H8" s="64" t="n">
        <v>0</v>
      </c>
      <c r="I8" s="64" t="n">
        <v>119623.183083002</v>
      </c>
      <c r="J8" s="64" t="n">
        <v>0</v>
      </c>
      <c r="K8" s="64" t="n">
        <v>0</v>
      </c>
      <c r="L8" s="64" t="e">
        <f aca="false">+CCF!D84</f>
        <v>#NAME?</v>
      </c>
    </row>
    <row r="9" customFormat="false" ht="12.75" hidden="false" customHeight="false" outlineLevel="0" collapsed="false">
      <c r="A9" s="63"/>
      <c r="B9" s="64"/>
      <c r="C9" s="64"/>
      <c r="D9" s="64"/>
      <c r="E9" s="64"/>
      <c r="F9" s="64"/>
      <c r="G9" s="64"/>
      <c r="H9" s="64"/>
      <c r="I9" s="64"/>
      <c r="J9" s="64"/>
      <c r="K9" s="64"/>
      <c r="L9" s="64"/>
    </row>
    <row r="10" customFormat="false" ht="12.75" hidden="false" customHeight="false" outlineLevel="0" collapsed="false">
      <c r="A10" s="63" t="s">
        <v>27</v>
      </c>
      <c r="B10" s="64" t="n">
        <f aca="false">+B8*0.3</f>
        <v>0</v>
      </c>
      <c r="C10" s="64" t="n">
        <f aca="false">+C8*0.3</f>
        <v>0</v>
      </c>
      <c r="D10" s="64" t="n">
        <f aca="false">+D8*0.3</f>
        <v>0</v>
      </c>
      <c r="E10" s="64" t="n">
        <f aca="false">+E8*0.3</f>
        <v>19544.4</v>
      </c>
      <c r="F10" s="64" t="n">
        <f aca="false">+F8*0.3</f>
        <v>14179.5</v>
      </c>
      <c r="G10" s="64" t="n">
        <f aca="false">+G8*0.3</f>
        <v>19090.5</v>
      </c>
      <c r="H10" s="64" t="n">
        <f aca="false">+H8*0.3</f>
        <v>0</v>
      </c>
      <c r="I10" s="64" t="n">
        <f aca="false">+I8*0.3</f>
        <v>35886.9549249005</v>
      </c>
      <c r="J10" s="64" t="n">
        <f aca="false">+J8*0.3</f>
        <v>0</v>
      </c>
      <c r="K10" s="64" t="n">
        <v>0</v>
      </c>
      <c r="L10" s="64" t="e">
        <f aca="false">+L8*0.3</f>
        <v>#NAME?</v>
      </c>
    </row>
    <row r="11" customFormat="false" ht="12.75" hidden="false" customHeight="false" outlineLevel="0" collapsed="false">
      <c r="A11" s="63"/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4"/>
    </row>
    <row r="12" customFormat="false" ht="12.75" hidden="false" customHeight="false" outlineLevel="0" collapsed="false">
      <c r="A12" s="63" t="s">
        <v>28</v>
      </c>
      <c r="B12" s="64" t="n">
        <v>0</v>
      </c>
      <c r="C12" s="64" t="n">
        <v>0</v>
      </c>
      <c r="D12" s="64" t="n">
        <v>0</v>
      </c>
      <c r="E12" s="64" t="n">
        <v>0</v>
      </c>
      <c r="F12" s="64" t="n">
        <v>34061</v>
      </c>
      <c r="G12" s="64" t="n">
        <v>97565</v>
      </c>
      <c r="H12" s="64" t="n">
        <v>2515</v>
      </c>
      <c r="I12" s="64" t="n">
        <v>269252.4</v>
      </c>
      <c r="J12" s="64" t="n">
        <v>147060</v>
      </c>
      <c r="K12" s="64" t="n">
        <v>133883.31</v>
      </c>
      <c r="L12" s="64" t="n">
        <f aca="false">+CCF!B55</f>
        <v>43318.29</v>
      </c>
    </row>
    <row r="13" customFormat="false" ht="12.75" hidden="false" customHeight="false" outlineLevel="0" collapsed="false">
      <c r="A13" s="63"/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</row>
    <row r="14" customFormat="false" ht="12.75" hidden="false" customHeight="false" outlineLevel="0" collapsed="false">
      <c r="A14" s="63" t="s">
        <v>29</v>
      </c>
      <c r="B14" s="64" t="n">
        <v>0</v>
      </c>
      <c r="C14" s="64" t="n">
        <v>0</v>
      </c>
      <c r="D14" s="64" t="n">
        <v>0</v>
      </c>
      <c r="E14" s="64" t="n">
        <v>0</v>
      </c>
      <c r="F14" s="64" t="n">
        <v>0</v>
      </c>
      <c r="G14" s="64" t="n">
        <v>0</v>
      </c>
      <c r="H14" s="64" t="n">
        <v>0</v>
      </c>
      <c r="I14" s="64" t="n">
        <v>0</v>
      </c>
      <c r="J14" s="64" t="n">
        <v>0</v>
      </c>
      <c r="K14" s="64" t="n">
        <v>0</v>
      </c>
      <c r="L14" s="64" t="n">
        <v>0</v>
      </c>
    </row>
    <row r="15" customFormat="false" ht="12.75" hidden="false" customHeight="false" outlineLevel="0" collapsed="false">
      <c r="A15" s="63"/>
      <c r="B15" s="64"/>
    </row>
    <row r="16" customFormat="false" ht="12.75" hidden="false" customHeight="false" outlineLevel="0" collapsed="false">
      <c r="A16" s="63" t="s">
        <v>30</v>
      </c>
      <c r="B16" s="64"/>
    </row>
    <row r="17" customFormat="false" ht="12.75" hidden="false" customHeight="false" outlineLevel="0" collapsed="false">
      <c r="A17" s="63"/>
      <c r="B17" s="65"/>
      <c r="C17" s="66"/>
      <c r="D17" s="66"/>
      <c r="E17" s="66"/>
      <c r="F17" s="66"/>
      <c r="G17" s="66"/>
      <c r="H17" s="66"/>
      <c r="I17" s="66"/>
      <c r="J17" s="66"/>
      <c r="K17" s="66"/>
      <c r="L17" s="66"/>
    </row>
    <row r="18" customFormat="false" ht="12.75" hidden="false" customHeight="false" outlineLevel="0" collapsed="false">
      <c r="A18" s="63"/>
      <c r="B18" s="64"/>
    </row>
    <row r="19" customFormat="false" ht="12.75" hidden="false" customHeight="false" outlineLevel="0" collapsed="false">
      <c r="A19" s="63" t="s">
        <v>31</v>
      </c>
      <c r="B19" s="64" t="n">
        <f aca="false">+B8-B10-B12-B14-B16</f>
        <v>0</v>
      </c>
      <c r="C19" s="67" t="n">
        <f aca="false">+C8-C10-C12-C14-C16</f>
        <v>0</v>
      </c>
      <c r="D19" s="67" t="n">
        <f aca="false">+D8-D10-D12-D14-D16</f>
        <v>0</v>
      </c>
      <c r="E19" s="64" t="n">
        <f aca="false">+E8-E10-E12-E14-E16</f>
        <v>45603.6</v>
      </c>
      <c r="F19" s="64" t="n">
        <f aca="false">+F8-F10-F12-F14-F16</f>
        <v>-975.5</v>
      </c>
      <c r="G19" s="64" t="n">
        <f aca="false">+G8-G10-G12-G14-G16</f>
        <v>-53020.5</v>
      </c>
      <c r="H19" s="64" t="n">
        <f aca="false">+H8-H10-H12-H14-H16</f>
        <v>-2515</v>
      </c>
      <c r="I19" s="64" t="n">
        <f aca="false">+I8-I10-I12-I14-I16</f>
        <v>-185516.171841899</v>
      </c>
      <c r="J19" s="64" t="n">
        <f aca="false">+J8-J10-J12-J14-J16</f>
        <v>-147060</v>
      </c>
      <c r="K19" s="64" t="n">
        <f aca="false">+K8-K10-K12-K14-K16</f>
        <v>-133883.31</v>
      </c>
      <c r="L19" s="64" t="e">
        <f aca="false">+L8-L10-L12-L14-L16</f>
        <v>#NAME?</v>
      </c>
    </row>
    <row r="20" customFormat="false" ht="12.75" hidden="false" customHeight="false" outlineLevel="0" collapsed="false">
      <c r="B20" s="68"/>
    </row>
    <row r="21" customFormat="false" ht="12.75" hidden="false" customHeight="false" outlineLevel="0" collapsed="false">
      <c r="B21" s="64"/>
    </row>
    <row r="22" s="71" customFormat="true" ht="13.8" hidden="false" customHeight="false" outlineLevel="0" collapsed="false">
      <c r="A22" s="63"/>
      <c r="B22" s="69" t="s">
        <v>32</v>
      </c>
      <c r="C22" s="70" t="str">
        <f aca="false">+B25</f>
        <v>DIC.2014</v>
      </c>
      <c r="D22" s="70" t="str">
        <f aca="false">+C25</f>
        <v>DIC.2015</v>
      </c>
      <c r="E22" s="70" t="str">
        <f aca="false">+D25</f>
        <v>DIC.2016</v>
      </c>
      <c r="F22" s="70" t="str">
        <f aca="false">+E25</f>
        <v>DIC.2017</v>
      </c>
      <c r="G22" s="70" t="str">
        <f aca="false">+F25</f>
        <v>DIC.2018</v>
      </c>
      <c r="H22" s="70" t="str">
        <f aca="false">+G25</f>
        <v>DIC.2019</v>
      </c>
      <c r="I22" s="70" t="str">
        <f aca="false">+H25</f>
        <v>DIC.2020</v>
      </c>
      <c r="J22" s="70" t="s">
        <v>33</v>
      </c>
      <c r="K22" s="70" t="s">
        <v>34</v>
      </c>
      <c r="L22" s="70" t="str">
        <f aca="false">+K25</f>
        <v>DIC.2023</v>
      </c>
    </row>
    <row r="23" customFormat="false" ht="13.8" hidden="false" customHeight="false" outlineLevel="0" collapsed="false">
      <c r="B23" s="72" t="n">
        <v>83.77</v>
      </c>
      <c r="C23" s="73" t="n">
        <f aca="false">+B26</f>
        <v>87.189</v>
      </c>
      <c r="D23" s="73" t="n">
        <f aca="false">+C26</f>
        <v>89.047</v>
      </c>
      <c r="E23" s="73" t="n">
        <f aca="false">+D26</f>
        <v>92.039</v>
      </c>
      <c r="F23" s="73" t="n">
        <f aca="false">+E26</f>
        <v>98.273</v>
      </c>
      <c r="G23" s="73" t="n">
        <f aca="false">+F26</f>
        <v>103.02</v>
      </c>
      <c r="H23" s="73" t="n">
        <f aca="false">+G26</f>
        <v>105.934</v>
      </c>
      <c r="I23" s="73" t="n">
        <f aca="false">+H26</f>
        <v>109.271</v>
      </c>
      <c r="J23" s="73" t="n">
        <v>117.308</v>
      </c>
      <c r="K23" s="73" t="n">
        <v>126.478</v>
      </c>
      <c r="L23" s="73" t="n">
        <f aca="false">+K26</f>
        <v>132.373</v>
      </c>
    </row>
    <row r="24" customFormat="false" ht="12.75" hidden="false" customHeight="false" outlineLevel="0" collapsed="false">
      <c r="B24" s="64"/>
    </row>
    <row r="25" s="71" customFormat="true" ht="13.8" hidden="false" customHeight="false" outlineLevel="0" collapsed="false">
      <c r="B25" s="69" t="s">
        <v>35</v>
      </c>
      <c r="C25" s="74" t="s">
        <v>36</v>
      </c>
      <c r="D25" s="74" t="s">
        <v>37</v>
      </c>
      <c r="E25" s="74" t="s">
        <v>38</v>
      </c>
      <c r="F25" s="74" t="s">
        <v>39</v>
      </c>
      <c r="G25" s="74" t="s">
        <v>40</v>
      </c>
      <c r="H25" s="74" t="s">
        <v>41</v>
      </c>
      <c r="I25" s="74" t="s">
        <v>33</v>
      </c>
      <c r="J25" s="74" t="s">
        <v>34</v>
      </c>
      <c r="K25" s="74" t="s">
        <v>42</v>
      </c>
      <c r="L25" s="74" t="s">
        <v>43</v>
      </c>
    </row>
    <row r="26" customFormat="false" ht="13.8" hidden="false" customHeight="false" outlineLevel="0" collapsed="false">
      <c r="B26" s="72" t="n">
        <v>87.189</v>
      </c>
      <c r="C26" s="75" t="n">
        <v>89.047</v>
      </c>
      <c r="D26" s="75" t="n">
        <v>92.039</v>
      </c>
      <c r="E26" s="75" t="n">
        <v>98.273</v>
      </c>
      <c r="F26" s="75" t="n">
        <v>103.02</v>
      </c>
      <c r="G26" s="75" t="n">
        <v>105.934</v>
      </c>
      <c r="H26" s="75" t="n">
        <v>109.271</v>
      </c>
      <c r="I26" s="75" t="n">
        <v>117.308</v>
      </c>
      <c r="J26" s="75" t="n">
        <v>126.478</v>
      </c>
      <c r="K26" s="75" t="n">
        <v>132.373</v>
      </c>
      <c r="L26" s="75" t="n">
        <v>137.949</v>
      </c>
    </row>
    <row r="27" customFormat="false" ht="12.75" hidden="false" customHeight="false" outlineLevel="0" collapsed="false">
      <c r="B27" s="64"/>
    </row>
    <row r="28" s="71" customFormat="true" ht="13.8" hidden="false" customHeight="false" outlineLevel="0" collapsed="false">
      <c r="A28" s="76" t="s">
        <v>44</v>
      </c>
      <c r="B28" s="77" t="n">
        <f aca="false">TRUNC(B26/B23,4)</f>
        <v>1.0408</v>
      </c>
      <c r="C28" s="78" t="n">
        <f aca="false">TRUNC(C26/C23,4)</f>
        <v>1.0213</v>
      </c>
      <c r="D28" s="78" t="n">
        <f aca="false">TRUNC(D26/D23,4)</f>
        <v>1.0336</v>
      </c>
      <c r="E28" s="78" t="n">
        <f aca="false">TRUNC(E26/E23,4)</f>
        <v>1.0677</v>
      </c>
      <c r="F28" s="78" t="n">
        <f aca="false">TRUNC(F26/F23,4)</f>
        <v>1.0483</v>
      </c>
      <c r="G28" s="78" t="n">
        <f aca="false">TRUNC(G26/G23,4)</f>
        <v>1.0282</v>
      </c>
      <c r="H28" s="78" t="n">
        <f aca="false">TRUNC(H26/H23,4)</f>
        <v>1.0315</v>
      </c>
      <c r="I28" s="78" t="n">
        <f aca="false">TRUNC(I26/I23,4)</f>
        <v>1.0735</v>
      </c>
      <c r="J28" s="78" t="n">
        <f aca="false">TRUNC(J26/J23,4)</f>
        <v>1.0781</v>
      </c>
      <c r="K28" s="78" t="n">
        <f aca="false">TRUNC(K26/K23,4)</f>
        <v>1.0466</v>
      </c>
      <c r="L28" s="78" t="n">
        <f aca="false">TRUNC(L26/L23,4)</f>
        <v>1.0421</v>
      </c>
    </row>
    <row r="29" customFormat="false" ht="12.75" hidden="false" customHeight="false" outlineLevel="0" collapsed="false">
      <c r="B29" s="64"/>
    </row>
    <row r="30" customFormat="false" ht="12.75" hidden="false" customHeight="false" outlineLevel="0" collapsed="false">
      <c r="B30" s="64"/>
    </row>
    <row r="31" customFormat="false" ht="12.75" hidden="false" customHeight="false" outlineLevel="0" collapsed="false">
      <c r="B31" s="64"/>
    </row>
    <row r="32" customFormat="false" ht="12.75" hidden="false" customHeight="false" outlineLevel="0" collapsed="false">
      <c r="B32" s="64"/>
    </row>
    <row r="33" customFormat="false" ht="12.75" hidden="false" customHeight="false" outlineLevel="0" collapsed="false">
      <c r="B33" s="64"/>
    </row>
    <row r="34" customFormat="false" ht="12.75" hidden="false" customHeight="false" outlineLevel="0" collapsed="false">
      <c r="B34" s="64"/>
    </row>
    <row r="35" customFormat="false" ht="12.75" hidden="false" customHeight="false" outlineLevel="0" collapsed="false">
      <c r="B35" s="64"/>
    </row>
    <row r="36" customFormat="false" ht="13.8" hidden="false" customHeight="false" outlineLevel="0" collapsed="false">
      <c r="A36" s="76" t="s">
        <v>45</v>
      </c>
      <c r="B36" s="64" t="n">
        <v>0</v>
      </c>
      <c r="C36" s="67" t="n">
        <f aca="false">+B39</f>
        <v>0</v>
      </c>
      <c r="D36" s="67" t="n">
        <f aca="false">+C39</f>
        <v>0</v>
      </c>
      <c r="E36" s="67" t="n">
        <f aca="false">+D39</f>
        <v>0</v>
      </c>
      <c r="F36" s="67" t="n">
        <f aca="false">+E39</f>
        <v>45603.6</v>
      </c>
      <c r="G36" s="67" t="n">
        <f aca="false">+F39</f>
        <v>46830.75388</v>
      </c>
      <c r="H36" s="67" t="n">
        <f aca="false">+G39</f>
        <v>-4869.11886058399</v>
      </c>
      <c r="I36" s="67" t="n">
        <f aca="false">+H39</f>
        <v>-7537.49610469239</v>
      </c>
      <c r="J36" s="67" t="n">
        <f aca="false">+I39</f>
        <v>-193607.673910286</v>
      </c>
      <c r="K36" s="67" t="n">
        <f aca="false">+J39</f>
        <v>-355788.43324268</v>
      </c>
      <c r="L36" s="67" t="n">
        <f aca="false">+K39</f>
        <v>-506251.484231788</v>
      </c>
    </row>
    <row r="37" customFormat="false" ht="12.75" hidden="false" customHeight="false" outlineLevel="0" collapsed="false">
      <c r="B37" s="64"/>
    </row>
    <row r="38" customFormat="false" ht="13.8" hidden="false" customHeight="false" outlineLevel="0" collapsed="false">
      <c r="A38" s="76" t="s">
        <v>46</v>
      </c>
      <c r="B38" s="79" t="n">
        <f aca="false">+B36*B28</f>
        <v>0</v>
      </c>
      <c r="C38" s="80" t="n">
        <f aca="false">+C36*C28</f>
        <v>0</v>
      </c>
      <c r="D38" s="80" t="n">
        <f aca="false">+D36*D28</f>
        <v>0</v>
      </c>
      <c r="E38" s="80" t="n">
        <f aca="false">+E36*E28</f>
        <v>0</v>
      </c>
      <c r="F38" s="80" t="n">
        <f aca="false">+F36*F28</f>
        <v>47806.25388</v>
      </c>
      <c r="G38" s="80" t="n">
        <f aca="false">+G36*G28</f>
        <v>48151.381139416</v>
      </c>
      <c r="H38" s="80" t="n">
        <f aca="false">+H36*H28</f>
        <v>-5022.49610469239</v>
      </c>
      <c r="I38" s="80" t="n">
        <f aca="false">+I36*I28</f>
        <v>-8091.50206838728</v>
      </c>
      <c r="J38" s="80" t="n">
        <f aca="false">+J36*J28</f>
        <v>-208728.43324268</v>
      </c>
      <c r="K38" s="80" t="n">
        <f aca="false">+K36*K28</f>
        <v>-372368.174231788</v>
      </c>
      <c r="L38" s="80" t="n">
        <f aca="false">+L36*L28</f>
        <v>-527564.671717947</v>
      </c>
    </row>
    <row r="39" customFormat="false" ht="13.8" hidden="false" customHeight="false" outlineLevel="0" collapsed="false">
      <c r="A39" s="76" t="s">
        <v>47</v>
      </c>
      <c r="B39" s="81" t="n">
        <f aca="false">+B38+B19</f>
        <v>0</v>
      </c>
      <c r="C39" s="82" t="n">
        <f aca="false">+C38+C19</f>
        <v>0</v>
      </c>
      <c r="D39" s="82" t="n">
        <f aca="false">+D38+D19</f>
        <v>0</v>
      </c>
      <c r="E39" s="82" t="n">
        <f aca="false">+E38+E19</f>
        <v>45603.6</v>
      </c>
      <c r="F39" s="82" t="n">
        <f aca="false">+F38+F19</f>
        <v>46830.75388</v>
      </c>
      <c r="G39" s="82" t="n">
        <f aca="false">+G38+G19</f>
        <v>-4869.11886058399</v>
      </c>
      <c r="H39" s="82" t="n">
        <f aca="false">+H38+H19</f>
        <v>-7537.49610469239</v>
      </c>
      <c r="I39" s="82" t="n">
        <f aca="false">+I38+I19</f>
        <v>-193607.673910286</v>
      </c>
      <c r="J39" s="82" t="n">
        <f aca="false">+J38+J19</f>
        <v>-355788.43324268</v>
      </c>
      <c r="K39" s="82" t="n">
        <f aca="false">+K38+K19</f>
        <v>-506251.484231788</v>
      </c>
      <c r="L39" s="82" t="e">
        <f aca="false">+L38+L19</f>
        <v>#NAME?</v>
      </c>
    </row>
    <row r="46" s="54" customFormat="true" ht="12.75" hidden="false" customHeight="false" outlineLevel="0" collapsed="false"/>
    <row r="47" s="54" customFormat="true" ht="12.75" hidden="false" customHeight="false" outlineLevel="0" collapsed="false"/>
    <row r="48" s="54" customFormat="true" ht="12.75" hidden="false" customHeight="false" outlineLevel="0" collapsed="false"/>
    <row r="49" s="54" customFormat="true" ht="12.75" hidden="false" customHeight="false" outlineLevel="0" collapsed="false"/>
    <row r="50" s="54" customFormat="true" ht="12.75" hidden="false" customHeight="false" outlineLevel="0" collapsed="false"/>
    <row r="51" s="54" customFormat="true" ht="12.75" hidden="false" customHeight="false" outlineLevel="0" collapsed="false"/>
    <row r="52" s="54" customFormat="true" ht="12.75" hidden="false" customHeight="false" outlineLevel="0" collapsed="false"/>
    <row r="54" s="54" customFormat="true" ht="12.75" hidden="false" customHeight="false" outlineLevel="0" collapsed="false"/>
    <row r="55" s="54" customFormat="true" ht="12.75" hidden="false" customHeight="false" outlineLevel="0" collapsed="false"/>
    <row r="56" s="54" customFormat="true" ht="12.75" hidden="false" customHeight="false" outlineLevel="0" collapsed="false"/>
    <row r="57" s="54" customFormat="true" ht="12.75" hidden="false" customHeight="false" outlineLevel="0" collapsed="false"/>
    <row r="58" s="54" customFormat="true" ht="12.75" hidden="false" customHeight="false" outlineLevel="0" collapsed="false"/>
    <row r="60" s="54" customFormat="true" ht="12.75" hidden="false" customHeight="false" outlineLevel="0" collapsed="false"/>
    <row r="61" s="54" customFormat="true" ht="12.75" hidden="false" customHeight="false" outlineLevel="0" collapsed="false"/>
    <row r="62" s="54" customFormat="true" ht="12.75" hidden="false" customHeight="false" outlineLevel="0" collapsed="false"/>
    <row r="63" s="54" customFormat="true" ht="12.75" hidden="false" customHeight="false" outlineLevel="0" collapsed="false"/>
    <row r="64" s="54" customFormat="true" ht="12.75" hidden="false" customHeight="false" outlineLevel="0" collapsed="false"/>
    <row r="65" s="54" customFormat="true" ht="12.75" hidden="false" customHeight="false" outlineLevel="0" collapsed="false"/>
    <row r="66" s="54" customFormat="true" ht="12.75" hidden="false" customHeight="false" outlineLevel="0" collapsed="false"/>
    <row r="67" s="54" customFormat="true" ht="12.75" hidden="false" customHeight="false" outlineLevel="0" collapsed="false"/>
    <row r="69" s="54" customFormat="true" ht="12.75" hidden="false" customHeight="false" outlineLevel="0" collapsed="false"/>
    <row r="70" s="54" customFormat="true" ht="12.75" hidden="false" customHeight="false" outlineLevel="0" collapsed="false"/>
    <row r="71" s="54" customFormat="true" ht="12.75" hidden="false" customHeight="false" outlineLevel="0" collapsed="false"/>
    <row r="72" s="54" customFormat="true" ht="12.75" hidden="false" customHeight="false" outlineLevel="0" collapsed="false"/>
    <row r="73" s="54" customFormat="true" ht="12.75" hidden="false" customHeight="false" outlineLevel="0" collapsed="false"/>
    <row r="74" s="54" customFormat="true" ht="12.75" hidden="false" customHeight="false" outlineLevel="0" collapsed="false"/>
    <row r="75" s="54" customFormat="true" ht="12.75" hidden="false" customHeight="false" outlineLevel="0" collapsed="false"/>
    <row r="77" s="54" customFormat="true" ht="12.75" hidden="false" customHeight="false" outlineLevel="0" collapsed="false"/>
    <row r="78" s="54" customFormat="true" ht="12.75" hidden="false" customHeight="false" outlineLevel="0" collapsed="false"/>
    <row r="79" s="54" customFormat="true" ht="12.75" hidden="false" customHeight="false" outlineLevel="0" collapsed="false"/>
    <row r="80" s="54" customFormat="true" ht="12.75" hidden="false" customHeight="false" outlineLevel="0" collapsed="false"/>
    <row r="81" s="54" customFormat="true" ht="12.75" hidden="false" customHeight="false" outlineLevel="0" collapsed="false"/>
    <row r="82" s="54" customFormat="true" ht="12.75" hidden="false" customHeight="false" outlineLevel="0" collapsed="false"/>
    <row r="83" s="54" customFormat="true" ht="12.75" hidden="false" customHeight="false" outlineLevel="0" collapsed="false"/>
    <row r="85" s="54" customFormat="true" ht="12.75" hidden="false" customHeight="false" outlineLevel="0" collapsed="false"/>
  </sheetData>
  <mergeCells count="2">
    <mergeCell ref="A2:L2"/>
    <mergeCell ref="A3:L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O98"/>
  <sheetViews>
    <sheetView showFormulas="false" showGridLines="true" showRowColHeaders="true" showZeros="true" rightToLeft="false" tabSelected="false" showOutlineSymbols="true" defaultGridColor="true" view="normal" topLeftCell="A46" colorId="64" zoomScale="70" zoomScaleNormal="70" zoomScalePageLayoutView="100" workbookViewId="0">
      <selection pane="topLeft" activeCell="C4" activeCellId="0" sqref="C4"/>
    </sheetView>
  </sheetViews>
  <sheetFormatPr defaultColWidth="10.6796875" defaultRowHeight="12.75" customHeight="false" zeroHeight="false" outlineLevelRow="0" outlineLevelCol="0"/>
  <cols>
    <col collapsed="false" customWidth="true" hidden="false" outlineLevel="0" max="1" min="1" style="0" width="81.67"/>
    <col collapsed="false" customWidth="true" hidden="false" outlineLevel="0" max="5" min="2" style="0" width="17"/>
    <col collapsed="false" customWidth="true" hidden="false" outlineLevel="0" max="6" min="6" style="0" width="21.11"/>
    <col collapsed="false" customWidth="true" hidden="false" outlineLevel="0" max="7" min="7" style="0" width="19.88"/>
    <col collapsed="false" customWidth="true" hidden="false" outlineLevel="0" max="8" min="8" style="0" width="15.56"/>
    <col collapsed="false" customWidth="true" hidden="false" outlineLevel="0" max="9" min="9" style="0" width="17.33"/>
    <col collapsed="false" customWidth="true" hidden="false" outlineLevel="0" max="257" min="257" style="0" width="81.67"/>
    <col collapsed="false" customWidth="true" hidden="false" outlineLevel="0" max="261" min="258" style="0" width="17"/>
    <col collapsed="false" customWidth="true" hidden="false" outlineLevel="0" max="262" min="262" style="0" width="19.44"/>
    <col collapsed="false" customWidth="true" hidden="false" outlineLevel="0" max="263" min="263" style="0" width="19.88"/>
    <col collapsed="false" customWidth="true" hidden="false" outlineLevel="0" max="513" min="513" style="0" width="81.67"/>
    <col collapsed="false" customWidth="true" hidden="false" outlineLevel="0" max="517" min="514" style="0" width="17"/>
    <col collapsed="false" customWidth="true" hidden="false" outlineLevel="0" max="518" min="518" style="0" width="19.44"/>
    <col collapsed="false" customWidth="true" hidden="false" outlineLevel="0" max="519" min="519" style="0" width="19.88"/>
    <col collapsed="false" customWidth="true" hidden="false" outlineLevel="0" max="769" min="769" style="0" width="81.67"/>
    <col collapsed="false" customWidth="true" hidden="false" outlineLevel="0" max="773" min="770" style="0" width="17"/>
    <col collapsed="false" customWidth="true" hidden="false" outlineLevel="0" max="774" min="774" style="0" width="19.44"/>
    <col collapsed="false" customWidth="true" hidden="false" outlineLevel="0" max="775" min="775" style="0" width="19.88"/>
    <col collapsed="false" customWidth="true" hidden="false" outlineLevel="0" max="1025" min="1025" style="0" width="81.67"/>
    <col collapsed="false" customWidth="true" hidden="false" outlineLevel="0" max="1029" min="1026" style="0" width="17"/>
    <col collapsed="false" customWidth="true" hidden="false" outlineLevel="0" max="1030" min="1030" style="0" width="19.44"/>
    <col collapsed="false" customWidth="true" hidden="false" outlineLevel="0" max="1031" min="1031" style="0" width="19.88"/>
    <col collapsed="false" customWidth="true" hidden="false" outlineLevel="0" max="1281" min="1281" style="0" width="81.67"/>
    <col collapsed="false" customWidth="true" hidden="false" outlineLevel="0" max="1285" min="1282" style="0" width="17"/>
    <col collapsed="false" customWidth="true" hidden="false" outlineLevel="0" max="1286" min="1286" style="0" width="19.44"/>
    <col collapsed="false" customWidth="true" hidden="false" outlineLevel="0" max="1287" min="1287" style="0" width="19.88"/>
    <col collapsed="false" customWidth="true" hidden="false" outlineLevel="0" max="1537" min="1537" style="0" width="81.67"/>
    <col collapsed="false" customWidth="true" hidden="false" outlineLevel="0" max="1541" min="1538" style="0" width="17"/>
    <col collapsed="false" customWidth="true" hidden="false" outlineLevel="0" max="1542" min="1542" style="0" width="19.44"/>
    <col collapsed="false" customWidth="true" hidden="false" outlineLevel="0" max="1543" min="1543" style="0" width="19.88"/>
    <col collapsed="false" customWidth="true" hidden="false" outlineLevel="0" max="1793" min="1793" style="0" width="81.67"/>
    <col collapsed="false" customWidth="true" hidden="false" outlineLevel="0" max="1797" min="1794" style="0" width="17"/>
    <col collapsed="false" customWidth="true" hidden="false" outlineLevel="0" max="1798" min="1798" style="0" width="19.44"/>
    <col collapsed="false" customWidth="true" hidden="false" outlineLevel="0" max="1799" min="1799" style="0" width="19.88"/>
    <col collapsed="false" customWidth="true" hidden="false" outlineLevel="0" max="2049" min="2049" style="0" width="81.67"/>
    <col collapsed="false" customWidth="true" hidden="false" outlineLevel="0" max="2053" min="2050" style="0" width="17"/>
    <col collapsed="false" customWidth="true" hidden="false" outlineLevel="0" max="2054" min="2054" style="0" width="19.44"/>
    <col collapsed="false" customWidth="true" hidden="false" outlineLevel="0" max="2055" min="2055" style="0" width="19.88"/>
    <col collapsed="false" customWidth="true" hidden="false" outlineLevel="0" max="2305" min="2305" style="0" width="81.67"/>
    <col collapsed="false" customWidth="true" hidden="false" outlineLevel="0" max="2309" min="2306" style="0" width="17"/>
    <col collapsed="false" customWidth="true" hidden="false" outlineLevel="0" max="2310" min="2310" style="0" width="19.44"/>
    <col collapsed="false" customWidth="true" hidden="false" outlineLevel="0" max="2311" min="2311" style="0" width="19.88"/>
    <col collapsed="false" customWidth="true" hidden="false" outlineLevel="0" max="2561" min="2561" style="0" width="81.67"/>
    <col collapsed="false" customWidth="true" hidden="false" outlineLevel="0" max="2565" min="2562" style="0" width="17"/>
    <col collapsed="false" customWidth="true" hidden="false" outlineLevel="0" max="2566" min="2566" style="0" width="19.44"/>
    <col collapsed="false" customWidth="true" hidden="false" outlineLevel="0" max="2567" min="2567" style="0" width="19.88"/>
    <col collapsed="false" customWidth="true" hidden="false" outlineLevel="0" max="2817" min="2817" style="0" width="81.67"/>
    <col collapsed="false" customWidth="true" hidden="false" outlineLevel="0" max="2821" min="2818" style="0" width="17"/>
    <col collapsed="false" customWidth="true" hidden="false" outlineLevel="0" max="2822" min="2822" style="0" width="19.44"/>
    <col collapsed="false" customWidth="true" hidden="false" outlineLevel="0" max="2823" min="2823" style="0" width="19.88"/>
    <col collapsed="false" customWidth="true" hidden="false" outlineLevel="0" max="3073" min="3073" style="0" width="81.67"/>
    <col collapsed="false" customWidth="true" hidden="false" outlineLevel="0" max="3077" min="3074" style="0" width="17"/>
    <col collapsed="false" customWidth="true" hidden="false" outlineLevel="0" max="3078" min="3078" style="0" width="19.44"/>
    <col collapsed="false" customWidth="true" hidden="false" outlineLevel="0" max="3079" min="3079" style="0" width="19.88"/>
    <col collapsed="false" customWidth="true" hidden="false" outlineLevel="0" max="3329" min="3329" style="0" width="81.67"/>
    <col collapsed="false" customWidth="true" hidden="false" outlineLevel="0" max="3333" min="3330" style="0" width="17"/>
    <col collapsed="false" customWidth="true" hidden="false" outlineLevel="0" max="3334" min="3334" style="0" width="19.44"/>
    <col collapsed="false" customWidth="true" hidden="false" outlineLevel="0" max="3335" min="3335" style="0" width="19.88"/>
    <col collapsed="false" customWidth="true" hidden="false" outlineLevel="0" max="3585" min="3585" style="0" width="81.67"/>
    <col collapsed="false" customWidth="true" hidden="false" outlineLevel="0" max="3589" min="3586" style="0" width="17"/>
    <col collapsed="false" customWidth="true" hidden="false" outlineLevel="0" max="3590" min="3590" style="0" width="19.44"/>
    <col collapsed="false" customWidth="true" hidden="false" outlineLevel="0" max="3591" min="3591" style="0" width="19.88"/>
    <col collapsed="false" customWidth="true" hidden="false" outlineLevel="0" max="3841" min="3841" style="0" width="81.67"/>
    <col collapsed="false" customWidth="true" hidden="false" outlineLevel="0" max="3845" min="3842" style="0" width="17"/>
    <col collapsed="false" customWidth="true" hidden="false" outlineLevel="0" max="3846" min="3846" style="0" width="19.44"/>
    <col collapsed="false" customWidth="true" hidden="false" outlineLevel="0" max="3847" min="3847" style="0" width="19.88"/>
    <col collapsed="false" customWidth="true" hidden="false" outlineLevel="0" max="4097" min="4097" style="0" width="81.67"/>
    <col collapsed="false" customWidth="true" hidden="false" outlineLevel="0" max="4101" min="4098" style="0" width="17"/>
    <col collapsed="false" customWidth="true" hidden="false" outlineLevel="0" max="4102" min="4102" style="0" width="19.44"/>
    <col collapsed="false" customWidth="true" hidden="false" outlineLevel="0" max="4103" min="4103" style="0" width="19.88"/>
    <col collapsed="false" customWidth="true" hidden="false" outlineLevel="0" max="4353" min="4353" style="0" width="81.67"/>
    <col collapsed="false" customWidth="true" hidden="false" outlineLevel="0" max="4357" min="4354" style="0" width="17"/>
    <col collapsed="false" customWidth="true" hidden="false" outlineLevel="0" max="4358" min="4358" style="0" width="19.44"/>
    <col collapsed="false" customWidth="true" hidden="false" outlineLevel="0" max="4359" min="4359" style="0" width="19.88"/>
    <col collapsed="false" customWidth="true" hidden="false" outlineLevel="0" max="4609" min="4609" style="0" width="81.67"/>
    <col collapsed="false" customWidth="true" hidden="false" outlineLevel="0" max="4613" min="4610" style="0" width="17"/>
    <col collapsed="false" customWidth="true" hidden="false" outlineLevel="0" max="4614" min="4614" style="0" width="19.44"/>
    <col collapsed="false" customWidth="true" hidden="false" outlineLevel="0" max="4615" min="4615" style="0" width="19.88"/>
    <col collapsed="false" customWidth="true" hidden="false" outlineLevel="0" max="4865" min="4865" style="0" width="81.67"/>
    <col collapsed="false" customWidth="true" hidden="false" outlineLevel="0" max="4869" min="4866" style="0" width="17"/>
    <col collapsed="false" customWidth="true" hidden="false" outlineLevel="0" max="4870" min="4870" style="0" width="19.44"/>
    <col collapsed="false" customWidth="true" hidden="false" outlineLevel="0" max="4871" min="4871" style="0" width="19.88"/>
    <col collapsed="false" customWidth="true" hidden="false" outlineLevel="0" max="5121" min="5121" style="0" width="81.67"/>
    <col collapsed="false" customWidth="true" hidden="false" outlineLevel="0" max="5125" min="5122" style="0" width="17"/>
    <col collapsed="false" customWidth="true" hidden="false" outlineLevel="0" max="5126" min="5126" style="0" width="19.44"/>
    <col collapsed="false" customWidth="true" hidden="false" outlineLevel="0" max="5127" min="5127" style="0" width="19.88"/>
    <col collapsed="false" customWidth="true" hidden="false" outlineLevel="0" max="5377" min="5377" style="0" width="81.67"/>
    <col collapsed="false" customWidth="true" hidden="false" outlineLevel="0" max="5381" min="5378" style="0" width="17"/>
    <col collapsed="false" customWidth="true" hidden="false" outlineLevel="0" max="5382" min="5382" style="0" width="19.44"/>
    <col collapsed="false" customWidth="true" hidden="false" outlineLevel="0" max="5383" min="5383" style="0" width="19.88"/>
    <col collapsed="false" customWidth="true" hidden="false" outlineLevel="0" max="5633" min="5633" style="0" width="81.67"/>
    <col collapsed="false" customWidth="true" hidden="false" outlineLevel="0" max="5637" min="5634" style="0" width="17"/>
    <col collapsed="false" customWidth="true" hidden="false" outlineLevel="0" max="5638" min="5638" style="0" width="19.44"/>
    <col collapsed="false" customWidth="true" hidden="false" outlineLevel="0" max="5639" min="5639" style="0" width="19.88"/>
    <col collapsed="false" customWidth="true" hidden="false" outlineLevel="0" max="5889" min="5889" style="0" width="81.67"/>
    <col collapsed="false" customWidth="true" hidden="false" outlineLevel="0" max="5893" min="5890" style="0" width="17"/>
    <col collapsed="false" customWidth="true" hidden="false" outlineLevel="0" max="5894" min="5894" style="0" width="19.44"/>
    <col collapsed="false" customWidth="true" hidden="false" outlineLevel="0" max="5895" min="5895" style="0" width="19.88"/>
    <col collapsed="false" customWidth="true" hidden="false" outlineLevel="0" max="6145" min="6145" style="0" width="81.67"/>
    <col collapsed="false" customWidth="true" hidden="false" outlineLevel="0" max="6149" min="6146" style="0" width="17"/>
    <col collapsed="false" customWidth="true" hidden="false" outlineLevel="0" max="6150" min="6150" style="0" width="19.44"/>
    <col collapsed="false" customWidth="true" hidden="false" outlineLevel="0" max="6151" min="6151" style="0" width="19.88"/>
    <col collapsed="false" customWidth="true" hidden="false" outlineLevel="0" max="6401" min="6401" style="0" width="81.67"/>
    <col collapsed="false" customWidth="true" hidden="false" outlineLevel="0" max="6405" min="6402" style="0" width="17"/>
    <col collapsed="false" customWidth="true" hidden="false" outlineLevel="0" max="6406" min="6406" style="0" width="19.44"/>
    <col collapsed="false" customWidth="true" hidden="false" outlineLevel="0" max="6407" min="6407" style="0" width="19.88"/>
    <col collapsed="false" customWidth="true" hidden="false" outlineLevel="0" max="6657" min="6657" style="0" width="81.67"/>
    <col collapsed="false" customWidth="true" hidden="false" outlineLevel="0" max="6661" min="6658" style="0" width="17"/>
    <col collapsed="false" customWidth="true" hidden="false" outlineLevel="0" max="6662" min="6662" style="0" width="19.44"/>
    <col collapsed="false" customWidth="true" hidden="false" outlineLevel="0" max="6663" min="6663" style="0" width="19.88"/>
    <col collapsed="false" customWidth="true" hidden="false" outlineLevel="0" max="6913" min="6913" style="0" width="81.67"/>
    <col collapsed="false" customWidth="true" hidden="false" outlineLevel="0" max="6917" min="6914" style="0" width="17"/>
    <col collapsed="false" customWidth="true" hidden="false" outlineLevel="0" max="6918" min="6918" style="0" width="19.44"/>
    <col collapsed="false" customWidth="true" hidden="false" outlineLevel="0" max="6919" min="6919" style="0" width="19.88"/>
    <col collapsed="false" customWidth="true" hidden="false" outlineLevel="0" max="7169" min="7169" style="0" width="81.67"/>
    <col collapsed="false" customWidth="true" hidden="false" outlineLevel="0" max="7173" min="7170" style="0" width="17"/>
    <col collapsed="false" customWidth="true" hidden="false" outlineLevel="0" max="7174" min="7174" style="0" width="19.44"/>
    <col collapsed="false" customWidth="true" hidden="false" outlineLevel="0" max="7175" min="7175" style="0" width="19.88"/>
    <col collapsed="false" customWidth="true" hidden="false" outlineLevel="0" max="7425" min="7425" style="0" width="81.67"/>
    <col collapsed="false" customWidth="true" hidden="false" outlineLevel="0" max="7429" min="7426" style="0" width="17"/>
    <col collapsed="false" customWidth="true" hidden="false" outlineLevel="0" max="7430" min="7430" style="0" width="19.44"/>
    <col collapsed="false" customWidth="true" hidden="false" outlineLevel="0" max="7431" min="7431" style="0" width="19.88"/>
    <col collapsed="false" customWidth="true" hidden="false" outlineLevel="0" max="7681" min="7681" style="0" width="81.67"/>
    <col collapsed="false" customWidth="true" hidden="false" outlineLevel="0" max="7685" min="7682" style="0" width="17"/>
    <col collapsed="false" customWidth="true" hidden="false" outlineLevel="0" max="7686" min="7686" style="0" width="19.44"/>
    <col collapsed="false" customWidth="true" hidden="false" outlineLevel="0" max="7687" min="7687" style="0" width="19.88"/>
    <col collapsed="false" customWidth="true" hidden="false" outlineLevel="0" max="7937" min="7937" style="0" width="81.67"/>
    <col collapsed="false" customWidth="true" hidden="false" outlineLevel="0" max="7941" min="7938" style="0" width="17"/>
    <col collapsed="false" customWidth="true" hidden="false" outlineLevel="0" max="7942" min="7942" style="0" width="19.44"/>
    <col collapsed="false" customWidth="true" hidden="false" outlineLevel="0" max="7943" min="7943" style="0" width="19.88"/>
    <col collapsed="false" customWidth="true" hidden="false" outlineLevel="0" max="8193" min="8193" style="0" width="81.67"/>
    <col collapsed="false" customWidth="true" hidden="false" outlineLevel="0" max="8197" min="8194" style="0" width="17"/>
    <col collapsed="false" customWidth="true" hidden="false" outlineLevel="0" max="8198" min="8198" style="0" width="19.44"/>
    <col collapsed="false" customWidth="true" hidden="false" outlineLevel="0" max="8199" min="8199" style="0" width="19.88"/>
    <col collapsed="false" customWidth="true" hidden="false" outlineLevel="0" max="8449" min="8449" style="0" width="81.67"/>
    <col collapsed="false" customWidth="true" hidden="false" outlineLevel="0" max="8453" min="8450" style="0" width="17"/>
    <col collapsed="false" customWidth="true" hidden="false" outlineLevel="0" max="8454" min="8454" style="0" width="19.44"/>
    <col collapsed="false" customWidth="true" hidden="false" outlineLevel="0" max="8455" min="8455" style="0" width="19.88"/>
    <col collapsed="false" customWidth="true" hidden="false" outlineLevel="0" max="8705" min="8705" style="0" width="81.67"/>
    <col collapsed="false" customWidth="true" hidden="false" outlineLevel="0" max="8709" min="8706" style="0" width="17"/>
    <col collapsed="false" customWidth="true" hidden="false" outlineLevel="0" max="8710" min="8710" style="0" width="19.44"/>
    <col collapsed="false" customWidth="true" hidden="false" outlineLevel="0" max="8711" min="8711" style="0" width="19.88"/>
    <col collapsed="false" customWidth="true" hidden="false" outlineLevel="0" max="8961" min="8961" style="0" width="81.67"/>
    <col collapsed="false" customWidth="true" hidden="false" outlineLevel="0" max="8965" min="8962" style="0" width="17"/>
    <col collapsed="false" customWidth="true" hidden="false" outlineLevel="0" max="8966" min="8966" style="0" width="19.44"/>
    <col collapsed="false" customWidth="true" hidden="false" outlineLevel="0" max="8967" min="8967" style="0" width="19.88"/>
    <col collapsed="false" customWidth="true" hidden="false" outlineLevel="0" max="9217" min="9217" style="0" width="81.67"/>
    <col collapsed="false" customWidth="true" hidden="false" outlineLevel="0" max="9221" min="9218" style="0" width="17"/>
    <col collapsed="false" customWidth="true" hidden="false" outlineLevel="0" max="9222" min="9222" style="0" width="19.44"/>
    <col collapsed="false" customWidth="true" hidden="false" outlineLevel="0" max="9223" min="9223" style="0" width="19.88"/>
    <col collapsed="false" customWidth="true" hidden="false" outlineLevel="0" max="9473" min="9473" style="0" width="81.67"/>
    <col collapsed="false" customWidth="true" hidden="false" outlineLevel="0" max="9477" min="9474" style="0" width="17"/>
    <col collapsed="false" customWidth="true" hidden="false" outlineLevel="0" max="9478" min="9478" style="0" width="19.44"/>
    <col collapsed="false" customWidth="true" hidden="false" outlineLevel="0" max="9479" min="9479" style="0" width="19.88"/>
    <col collapsed="false" customWidth="true" hidden="false" outlineLevel="0" max="9729" min="9729" style="0" width="81.67"/>
    <col collapsed="false" customWidth="true" hidden="false" outlineLevel="0" max="9733" min="9730" style="0" width="17"/>
    <col collapsed="false" customWidth="true" hidden="false" outlineLevel="0" max="9734" min="9734" style="0" width="19.44"/>
    <col collapsed="false" customWidth="true" hidden="false" outlineLevel="0" max="9735" min="9735" style="0" width="19.88"/>
    <col collapsed="false" customWidth="true" hidden="false" outlineLevel="0" max="9985" min="9985" style="0" width="81.67"/>
    <col collapsed="false" customWidth="true" hidden="false" outlineLevel="0" max="9989" min="9986" style="0" width="17"/>
    <col collapsed="false" customWidth="true" hidden="false" outlineLevel="0" max="9990" min="9990" style="0" width="19.44"/>
    <col collapsed="false" customWidth="true" hidden="false" outlineLevel="0" max="9991" min="9991" style="0" width="19.88"/>
    <col collapsed="false" customWidth="true" hidden="false" outlineLevel="0" max="10241" min="10241" style="0" width="81.67"/>
    <col collapsed="false" customWidth="true" hidden="false" outlineLevel="0" max="10245" min="10242" style="0" width="17"/>
    <col collapsed="false" customWidth="true" hidden="false" outlineLevel="0" max="10246" min="10246" style="0" width="19.44"/>
    <col collapsed="false" customWidth="true" hidden="false" outlineLevel="0" max="10247" min="10247" style="0" width="19.88"/>
    <col collapsed="false" customWidth="true" hidden="false" outlineLevel="0" max="10497" min="10497" style="0" width="81.67"/>
    <col collapsed="false" customWidth="true" hidden="false" outlineLevel="0" max="10501" min="10498" style="0" width="17"/>
    <col collapsed="false" customWidth="true" hidden="false" outlineLevel="0" max="10502" min="10502" style="0" width="19.44"/>
    <col collapsed="false" customWidth="true" hidden="false" outlineLevel="0" max="10503" min="10503" style="0" width="19.88"/>
    <col collapsed="false" customWidth="true" hidden="false" outlineLevel="0" max="10753" min="10753" style="0" width="81.67"/>
    <col collapsed="false" customWidth="true" hidden="false" outlineLevel="0" max="10757" min="10754" style="0" width="17"/>
    <col collapsed="false" customWidth="true" hidden="false" outlineLevel="0" max="10758" min="10758" style="0" width="19.44"/>
    <col collapsed="false" customWidth="true" hidden="false" outlineLevel="0" max="10759" min="10759" style="0" width="19.88"/>
    <col collapsed="false" customWidth="true" hidden="false" outlineLevel="0" max="11009" min="11009" style="0" width="81.67"/>
    <col collapsed="false" customWidth="true" hidden="false" outlineLevel="0" max="11013" min="11010" style="0" width="17"/>
    <col collapsed="false" customWidth="true" hidden="false" outlineLevel="0" max="11014" min="11014" style="0" width="19.44"/>
    <col collapsed="false" customWidth="true" hidden="false" outlineLevel="0" max="11015" min="11015" style="0" width="19.88"/>
    <col collapsed="false" customWidth="true" hidden="false" outlineLevel="0" max="11265" min="11265" style="0" width="81.67"/>
    <col collapsed="false" customWidth="true" hidden="false" outlineLevel="0" max="11269" min="11266" style="0" width="17"/>
    <col collapsed="false" customWidth="true" hidden="false" outlineLevel="0" max="11270" min="11270" style="0" width="19.44"/>
    <col collapsed="false" customWidth="true" hidden="false" outlineLevel="0" max="11271" min="11271" style="0" width="19.88"/>
    <col collapsed="false" customWidth="true" hidden="false" outlineLevel="0" max="11521" min="11521" style="0" width="81.67"/>
    <col collapsed="false" customWidth="true" hidden="false" outlineLevel="0" max="11525" min="11522" style="0" width="17"/>
    <col collapsed="false" customWidth="true" hidden="false" outlineLevel="0" max="11526" min="11526" style="0" width="19.44"/>
    <col collapsed="false" customWidth="true" hidden="false" outlineLevel="0" max="11527" min="11527" style="0" width="19.88"/>
    <col collapsed="false" customWidth="true" hidden="false" outlineLevel="0" max="11777" min="11777" style="0" width="81.67"/>
    <col collapsed="false" customWidth="true" hidden="false" outlineLevel="0" max="11781" min="11778" style="0" width="17"/>
    <col collapsed="false" customWidth="true" hidden="false" outlineLevel="0" max="11782" min="11782" style="0" width="19.44"/>
    <col collapsed="false" customWidth="true" hidden="false" outlineLevel="0" max="11783" min="11783" style="0" width="19.88"/>
    <col collapsed="false" customWidth="true" hidden="false" outlineLevel="0" max="12033" min="12033" style="0" width="81.67"/>
    <col collapsed="false" customWidth="true" hidden="false" outlineLevel="0" max="12037" min="12034" style="0" width="17"/>
    <col collapsed="false" customWidth="true" hidden="false" outlineLevel="0" max="12038" min="12038" style="0" width="19.44"/>
    <col collapsed="false" customWidth="true" hidden="false" outlineLevel="0" max="12039" min="12039" style="0" width="19.88"/>
    <col collapsed="false" customWidth="true" hidden="false" outlineLevel="0" max="12289" min="12289" style="0" width="81.67"/>
    <col collapsed="false" customWidth="true" hidden="false" outlineLevel="0" max="12293" min="12290" style="0" width="17"/>
    <col collapsed="false" customWidth="true" hidden="false" outlineLevel="0" max="12294" min="12294" style="0" width="19.44"/>
    <col collapsed="false" customWidth="true" hidden="false" outlineLevel="0" max="12295" min="12295" style="0" width="19.88"/>
    <col collapsed="false" customWidth="true" hidden="false" outlineLevel="0" max="12545" min="12545" style="0" width="81.67"/>
    <col collapsed="false" customWidth="true" hidden="false" outlineLevel="0" max="12549" min="12546" style="0" width="17"/>
    <col collapsed="false" customWidth="true" hidden="false" outlineLevel="0" max="12550" min="12550" style="0" width="19.44"/>
    <col collapsed="false" customWidth="true" hidden="false" outlineLevel="0" max="12551" min="12551" style="0" width="19.88"/>
    <col collapsed="false" customWidth="true" hidden="false" outlineLevel="0" max="12801" min="12801" style="0" width="81.67"/>
    <col collapsed="false" customWidth="true" hidden="false" outlineLevel="0" max="12805" min="12802" style="0" width="17"/>
    <col collapsed="false" customWidth="true" hidden="false" outlineLevel="0" max="12806" min="12806" style="0" width="19.44"/>
    <col collapsed="false" customWidth="true" hidden="false" outlineLevel="0" max="12807" min="12807" style="0" width="19.88"/>
    <col collapsed="false" customWidth="true" hidden="false" outlineLevel="0" max="13057" min="13057" style="0" width="81.67"/>
    <col collapsed="false" customWidth="true" hidden="false" outlineLevel="0" max="13061" min="13058" style="0" width="17"/>
    <col collapsed="false" customWidth="true" hidden="false" outlineLevel="0" max="13062" min="13062" style="0" width="19.44"/>
    <col collapsed="false" customWidth="true" hidden="false" outlineLevel="0" max="13063" min="13063" style="0" width="19.88"/>
    <col collapsed="false" customWidth="true" hidden="false" outlineLevel="0" max="13313" min="13313" style="0" width="81.67"/>
    <col collapsed="false" customWidth="true" hidden="false" outlineLevel="0" max="13317" min="13314" style="0" width="17"/>
    <col collapsed="false" customWidth="true" hidden="false" outlineLevel="0" max="13318" min="13318" style="0" width="19.44"/>
    <col collapsed="false" customWidth="true" hidden="false" outlineLevel="0" max="13319" min="13319" style="0" width="19.88"/>
    <col collapsed="false" customWidth="true" hidden="false" outlineLevel="0" max="13569" min="13569" style="0" width="81.67"/>
    <col collapsed="false" customWidth="true" hidden="false" outlineLevel="0" max="13573" min="13570" style="0" width="17"/>
    <col collapsed="false" customWidth="true" hidden="false" outlineLevel="0" max="13574" min="13574" style="0" width="19.44"/>
    <col collapsed="false" customWidth="true" hidden="false" outlineLevel="0" max="13575" min="13575" style="0" width="19.88"/>
    <col collapsed="false" customWidth="true" hidden="false" outlineLevel="0" max="13825" min="13825" style="0" width="81.67"/>
    <col collapsed="false" customWidth="true" hidden="false" outlineLevel="0" max="13829" min="13826" style="0" width="17"/>
    <col collapsed="false" customWidth="true" hidden="false" outlineLevel="0" max="13830" min="13830" style="0" width="19.44"/>
    <col collapsed="false" customWidth="true" hidden="false" outlineLevel="0" max="13831" min="13831" style="0" width="19.88"/>
    <col collapsed="false" customWidth="true" hidden="false" outlineLevel="0" max="14081" min="14081" style="0" width="81.67"/>
    <col collapsed="false" customWidth="true" hidden="false" outlineLevel="0" max="14085" min="14082" style="0" width="17"/>
    <col collapsed="false" customWidth="true" hidden="false" outlineLevel="0" max="14086" min="14086" style="0" width="19.44"/>
    <col collapsed="false" customWidth="true" hidden="false" outlineLevel="0" max="14087" min="14087" style="0" width="19.88"/>
    <col collapsed="false" customWidth="true" hidden="false" outlineLevel="0" max="14337" min="14337" style="0" width="81.67"/>
    <col collapsed="false" customWidth="true" hidden="false" outlineLevel="0" max="14341" min="14338" style="0" width="17"/>
    <col collapsed="false" customWidth="true" hidden="false" outlineLevel="0" max="14342" min="14342" style="0" width="19.44"/>
    <col collapsed="false" customWidth="true" hidden="false" outlineLevel="0" max="14343" min="14343" style="0" width="19.88"/>
    <col collapsed="false" customWidth="true" hidden="false" outlineLevel="0" max="14593" min="14593" style="0" width="81.67"/>
    <col collapsed="false" customWidth="true" hidden="false" outlineLevel="0" max="14597" min="14594" style="0" width="17"/>
    <col collapsed="false" customWidth="true" hidden="false" outlineLevel="0" max="14598" min="14598" style="0" width="19.44"/>
    <col collapsed="false" customWidth="true" hidden="false" outlineLevel="0" max="14599" min="14599" style="0" width="19.88"/>
    <col collapsed="false" customWidth="true" hidden="false" outlineLevel="0" max="14849" min="14849" style="0" width="81.67"/>
    <col collapsed="false" customWidth="true" hidden="false" outlineLevel="0" max="14853" min="14850" style="0" width="17"/>
    <col collapsed="false" customWidth="true" hidden="false" outlineLevel="0" max="14854" min="14854" style="0" width="19.44"/>
    <col collapsed="false" customWidth="true" hidden="false" outlineLevel="0" max="14855" min="14855" style="0" width="19.88"/>
    <col collapsed="false" customWidth="true" hidden="false" outlineLevel="0" max="15105" min="15105" style="0" width="81.67"/>
    <col collapsed="false" customWidth="true" hidden="false" outlineLevel="0" max="15109" min="15106" style="0" width="17"/>
    <col collapsed="false" customWidth="true" hidden="false" outlineLevel="0" max="15110" min="15110" style="0" width="19.44"/>
    <col collapsed="false" customWidth="true" hidden="false" outlineLevel="0" max="15111" min="15111" style="0" width="19.88"/>
    <col collapsed="false" customWidth="true" hidden="false" outlineLevel="0" max="15361" min="15361" style="0" width="81.67"/>
    <col collapsed="false" customWidth="true" hidden="false" outlineLevel="0" max="15365" min="15362" style="0" width="17"/>
    <col collapsed="false" customWidth="true" hidden="false" outlineLevel="0" max="15366" min="15366" style="0" width="19.44"/>
    <col collapsed="false" customWidth="true" hidden="false" outlineLevel="0" max="15367" min="15367" style="0" width="19.88"/>
    <col collapsed="false" customWidth="true" hidden="false" outlineLevel="0" max="15617" min="15617" style="0" width="81.67"/>
    <col collapsed="false" customWidth="true" hidden="false" outlineLevel="0" max="15621" min="15618" style="0" width="17"/>
    <col collapsed="false" customWidth="true" hidden="false" outlineLevel="0" max="15622" min="15622" style="0" width="19.44"/>
    <col collapsed="false" customWidth="true" hidden="false" outlineLevel="0" max="15623" min="15623" style="0" width="19.88"/>
    <col collapsed="false" customWidth="true" hidden="false" outlineLevel="0" max="15873" min="15873" style="0" width="81.67"/>
    <col collapsed="false" customWidth="true" hidden="false" outlineLevel="0" max="15877" min="15874" style="0" width="17"/>
    <col collapsed="false" customWidth="true" hidden="false" outlineLevel="0" max="15878" min="15878" style="0" width="19.44"/>
    <col collapsed="false" customWidth="true" hidden="false" outlineLevel="0" max="15879" min="15879" style="0" width="19.88"/>
    <col collapsed="false" customWidth="true" hidden="false" outlineLevel="0" max="16129" min="16129" style="0" width="81.67"/>
    <col collapsed="false" customWidth="true" hidden="false" outlineLevel="0" max="16133" min="16130" style="0" width="17"/>
    <col collapsed="false" customWidth="true" hidden="false" outlineLevel="0" max="16134" min="16134" style="0" width="19.44"/>
    <col collapsed="false" customWidth="true" hidden="false" outlineLevel="0" max="16135" min="16135" style="0" width="19.88"/>
  </cols>
  <sheetData>
    <row r="2" s="83" customFormat="true" ht="19.7" hidden="false" customHeight="false" outlineLevel="0" collapsed="false">
      <c r="A2" s="83" t="str">
        <f aca="false">+ER!B9</f>
        <v>AL SERVICIOS MULTIPLES EMPRESARIALES SA DE CV</v>
      </c>
      <c r="B2" s="84"/>
      <c r="C2" s="84"/>
      <c r="D2" s="85" t="s">
        <v>48</v>
      </c>
      <c r="E2" s="84"/>
      <c r="F2" s="86"/>
      <c r="G2" s="86"/>
      <c r="H2" s="86"/>
      <c r="I2" s="87"/>
      <c r="J2" s="87"/>
      <c r="K2" s="87"/>
      <c r="L2" s="87"/>
      <c r="M2" s="87"/>
      <c r="N2" s="87"/>
    </row>
    <row r="3" customFormat="false" ht="17.25" hidden="false" customHeight="false" outlineLevel="0" collapsed="false">
      <c r="A3" s="88"/>
      <c r="B3" s="89"/>
      <c r="C3" s="89"/>
      <c r="D3" s="89" t="s">
        <v>49</v>
      </c>
      <c r="E3" s="89"/>
      <c r="F3" s="90"/>
      <c r="G3" s="90"/>
      <c r="H3" s="90"/>
      <c r="I3" s="91"/>
      <c r="J3" s="91"/>
      <c r="K3" s="91"/>
      <c r="L3" s="91"/>
      <c r="M3" s="91"/>
      <c r="N3" s="91"/>
    </row>
    <row r="4" customFormat="false" ht="17.25" hidden="false" customHeight="false" outlineLevel="0" collapsed="false">
      <c r="A4" s="88" t="s">
        <v>50</v>
      </c>
      <c r="B4" s="89"/>
      <c r="C4" s="89"/>
      <c r="D4" s="89" t="n">
        <f aca="false">+ER!H70</f>
        <v>-2792291.314609</v>
      </c>
      <c r="E4" s="89" t="n">
        <f aca="false">+C17-C48-D4</f>
        <v>0</v>
      </c>
      <c r="F4" s="90"/>
      <c r="G4" s="90"/>
      <c r="H4" s="90"/>
      <c r="I4" s="91"/>
      <c r="J4" s="91"/>
      <c r="K4" s="91"/>
      <c r="L4" s="91"/>
      <c r="M4" s="91"/>
      <c r="N4" s="91"/>
    </row>
    <row r="6" customFormat="false" ht="17.25" hidden="false" customHeight="false" outlineLevel="0" collapsed="false">
      <c r="A6" s="92" t="s">
        <v>51</v>
      </c>
      <c r="B6" s="89"/>
      <c r="C6" s="89"/>
      <c r="D6" s="89"/>
      <c r="E6" s="91"/>
      <c r="F6" s="90"/>
      <c r="G6" s="90"/>
      <c r="H6" s="90"/>
      <c r="I6" s="91"/>
      <c r="J6" s="91"/>
      <c r="K6" s="91"/>
      <c r="L6" s="91"/>
      <c r="M6" s="91"/>
      <c r="N6" s="91"/>
    </row>
    <row r="7" customFormat="false" ht="17.25" hidden="false" customHeight="false" outlineLevel="0" collapsed="false">
      <c r="A7" s="88"/>
      <c r="B7" s="89"/>
      <c r="C7" s="89"/>
      <c r="D7" s="89"/>
      <c r="E7" s="91"/>
      <c r="F7" s="90"/>
      <c r="G7" s="90"/>
      <c r="H7" s="90"/>
      <c r="I7" s="91"/>
      <c r="J7" s="91"/>
      <c r="K7" s="91"/>
      <c r="L7" s="91"/>
      <c r="M7" s="91"/>
      <c r="N7" s="91"/>
    </row>
    <row r="8" customFormat="false" ht="17.25" hidden="false" customHeight="false" outlineLevel="0" collapsed="false">
      <c r="A8" s="88" t="s">
        <v>52</v>
      </c>
      <c r="B8" s="89" t="n">
        <f aca="false">+ER!H18</f>
        <v>1977920.26</v>
      </c>
      <c r="C8" s="88"/>
      <c r="D8" s="89"/>
      <c r="E8" s="91"/>
      <c r="F8" s="90"/>
      <c r="G8" s="90"/>
      <c r="H8" s="90"/>
      <c r="I8" s="91"/>
      <c r="J8" s="91"/>
      <c r="K8" s="91"/>
      <c r="L8" s="91"/>
      <c r="M8" s="91"/>
      <c r="N8" s="91"/>
    </row>
    <row r="9" customFormat="false" ht="17.25" hidden="true" customHeight="false" outlineLevel="0" collapsed="false">
      <c r="A9" s="88" t="s">
        <v>53</v>
      </c>
      <c r="B9" s="89" t="n">
        <v>0</v>
      </c>
      <c r="C9" s="88"/>
      <c r="D9" s="89"/>
      <c r="E9" s="91"/>
      <c r="F9" s="90"/>
      <c r="G9" s="90"/>
      <c r="H9" s="90"/>
      <c r="I9" s="91"/>
      <c r="J9" s="91"/>
      <c r="K9" s="91"/>
      <c r="L9" s="91"/>
      <c r="M9" s="91"/>
      <c r="N9" s="91"/>
    </row>
    <row r="10" customFormat="false" ht="17.25" hidden="true" customHeight="false" outlineLevel="0" collapsed="false">
      <c r="A10" s="88" t="s">
        <v>54</v>
      </c>
      <c r="B10" s="89" t="n">
        <v>0</v>
      </c>
      <c r="C10" s="88"/>
      <c r="D10" s="89"/>
      <c r="E10" s="91"/>
      <c r="F10" s="90"/>
      <c r="G10" s="90"/>
      <c r="H10" s="90"/>
      <c r="I10" s="91"/>
      <c r="J10" s="91"/>
      <c r="K10" s="91"/>
      <c r="L10" s="91"/>
      <c r="M10" s="91"/>
      <c r="N10" s="91"/>
    </row>
    <row r="11" customFormat="false" ht="17.25" hidden="true" customHeight="false" outlineLevel="0" collapsed="false">
      <c r="A11" s="88" t="s">
        <v>55</v>
      </c>
      <c r="B11" s="89" t="n">
        <v>0</v>
      </c>
      <c r="C11" s="88"/>
      <c r="D11" s="89"/>
      <c r="E11" s="91"/>
      <c r="F11" s="90"/>
      <c r="G11" s="90"/>
      <c r="H11" s="90"/>
      <c r="I11" s="91"/>
      <c r="J11" s="91"/>
      <c r="K11" s="91"/>
      <c r="L11" s="91"/>
      <c r="M11" s="91"/>
      <c r="N11" s="91"/>
    </row>
    <row r="12" customFormat="false" ht="17.25" hidden="false" customHeight="false" outlineLevel="0" collapsed="false">
      <c r="A12" s="88" t="s">
        <v>56</v>
      </c>
      <c r="B12" s="89" t="n">
        <f aca="false">+ER!H61</f>
        <v>4574.35</v>
      </c>
      <c r="C12" s="88"/>
      <c r="D12" s="89"/>
      <c r="E12" s="91"/>
      <c r="F12" s="90"/>
      <c r="G12" s="90"/>
      <c r="H12" s="90"/>
      <c r="I12" s="91"/>
      <c r="J12" s="91"/>
      <c r="K12" s="91"/>
      <c r="L12" s="91"/>
      <c r="M12" s="91"/>
      <c r="N12" s="91"/>
    </row>
    <row r="13" customFormat="false" ht="17.25" hidden="false" customHeight="false" outlineLevel="0" collapsed="false">
      <c r="A13" s="88" t="s">
        <v>57</v>
      </c>
      <c r="B13" s="89" t="n">
        <v>0</v>
      </c>
      <c r="C13" s="88"/>
      <c r="D13" s="89"/>
      <c r="E13" s="91"/>
      <c r="F13" s="90"/>
      <c r="G13" s="90"/>
      <c r="H13" s="90"/>
      <c r="I13" s="91"/>
      <c r="J13" s="91"/>
      <c r="K13" s="91"/>
      <c r="L13" s="91"/>
      <c r="M13" s="91"/>
      <c r="N13" s="91"/>
    </row>
    <row r="14" customFormat="false" ht="17.25" hidden="false" customHeight="false" outlineLevel="0" collapsed="false">
      <c r="A14" s="88" t="s">
        <v>58</v>
      </c>
      <c r="B14" s="89" t="n">
        <f aca="false">+ER!H56</f>
        <v>98.9199</v>
      </c>
      <c r="C14" s="88"/>
      <c r="D14" s="89"/>
      <c r="E14" s="91"/>
      <c r="F14" s="90"/>
      <c r="G14" s="90"/>
      <c r="H14" s="90"/>
      <c r="I14" s="91"/>
      <c r="J14" s="91"/>
      <c r="K14" s="91"/>
      <c r="L14" s="91"/>
      <c r="M14" s="91"/>
      <c r="N14" s="91"/>
    </row>
    <row r="15" customFormat="false" ht="17.25" hidden="false" customHeight="false" outlineLevel="0" collapsed="false">
      <c r="A15" s="88" t="s">
        <v>59</v>
      </c>
      <c r="B15" s="93" t="n">
        <v>0</v>
      </c>
      <c r="C15" s="88"/>
      <c r="D15" s="89"/>
      <c r="E15" s="91"/>
      <c r="F15" s="90"/>
      <c r="G15" s="90"/>
      <c r="H15" s="90"/>
      <c r="I15" s="91"/>
      <c r="J15" s="91"/>
      <c r="K15" s="91"/>
      <c r="L15" s="91"/>
      <c r="M15" s="91"/>
      <c r="N15" s="91"/>
    </row>
    <row r="16" customFormat="false" ht="17.25" hidden="false" customHeight="false" outlineLevel="0" collapsed="false">
      <c r="A16" s="88"/>
      <c r="B16" s="89"/>
      <c r="C16" s="93"/>
      <c r="D16" s="89"/>
      <c r="E16" s="91"/>
      <c r="F16" s="90"/>
      <c r="G16" s="90"/>
      <c r="H16" s="90"/>
      <c r="I16" s="91"/>
      <c r="J16" s="91"/>
      <c r="K16" s="91"/>
      <c r="L16" s="91"/>
      <c r="M16" s="91"/>
      <c r="N16" s="91"/>
    </row>
    <row r="17" customFormat="false" ht="17.25" hidden="false" customHeight="false" outlineLevel="0" collapsed="false">
      <c r="A17" s="88" t="s">
        <v>60</v>
      </c>
      <c r="B17" s="89"/>
      <c r="C17" s="89" t="n">
        <f aca="false">SUM(B7:B16)</f>
        <v>1982593.5299</v>
      </c>
      <c r="D17" s="94"/>
      <c r="E17" s="94"/>
      <c r="F17" s="95"/>
      <c r="G17" s="95" t="n">
        <v>8777497</v>
      </c>
      <c r="H17" s="51" t="n">
        <f aca="false">+C17-G17</f>
        <v>-6794903.4701</v>
      </c>
    </row>
    <row r="19" customFormat="false" ht="17.25" hidden="false" customHeight="false" outlineLevel="0" collapsed="false">
      <c r="A19" s="92" t="s">
        <v>61</v>
      </c>
      <c r="B19" s="89"/>
      <c r="C19" s="89"/>
      <c r="D19" s="94"/>
      <c r="E19" s="94"/>
      <c r="F19" s="95"/>
      <c r="G19" s="95"/>
    </row>
    <row r="21" customFormat="false" ht="17.25" hidden="false" customHeight="false" outlineLevel="0" collapsed="false">
      <c r="A21" s="88" t="s">
        <v>62</v>
      </c>
      <c r="B21" s="89" t="e">
        <f aca="false">+bal!#ref!</f>
        <v>#NAME?</v>
      </c>
      <c r="C21" s="89"/>
      <c r="D21" s="94"/>
      <c r="E21" s="96"/>
      <c r="F21" s="95"/>
      <c r="G21" s="95"/>
    </row>
    <row r="22" customFormat="false" ht="17.25" hidden="false" customHeight="false" outlineLevel="0" collapsed="false">
      <c r="A22" s="88" t="s">
        <v>63</v>
      </c>
      <c r="B22" s="89" t="n">
        <v>0</v>
      </c>
      <c r="C22" s="89"/>
      <c r="D22" s="94"/>
      <c r="E22" s="94"/>
      <c r="F22" s="95"/>
      <c r="G22" s="95"/>
    </row>
    <row r="23" customFormat="false" ht="17.25" hidden="false" customHeight="false" outlineLevel="0" collapsed="false">
      <c r="A23" s="88" t="s">
        <v>64</v>
      </c>
      <c r="B23" s="89" t="n">
        <f aca="false">272809*0</f>
        <v>0</v>
      </c>
      <c r="C23" s="89"/>
      <c r="D23" s="94"/>
      <c r="E23" s="94"/>
      <c r="F23" s="95"/>
      <c r="G23" s="95"/>
    </row>
    <row r="24" customFormat="false" ht="17.25" hidden="false" customHeight="false" outlineLevel="0" collapsed="false">
      <c r="A24" s="88" t="s">
        <v>65</v>
      </c>
      <c r="B24" s="93"/>
      <c r="C24" s="89"/>
      <c r="D24" s="94"/>
      <c r="E24" s="94"/>
      <c r="F24" s="95"/>
      <c r="G24" s="95"/>
    </row>
    <row r="25" customFormat="false" ht="17.25" hidden="false" customHeight="false" outlineLevel="0" collapsed="false">
      <c r="A25" s="88"/>
      <c r="B25" s="89"/>
      <c r="C25" s="89" t="e">
        <f aca="false">SUM(B20:B24)</f>
        <v>#NAME?</v>
      </c>
      <c r="D25" s="94"/>
      <c r="E25" s="94"/>
      <c r="F25" s="95"/>
      <c r="G25" s="95" t="e">
        <f aca="false">+B14-C25</f>
        <v>#NAME?</v>
      </c>
    </row>
    <row r="26" customFormat="false" ht="17.25" hidden="false" customHeight="false" outlineLevel="0" collapsed="false">
      <c r="A26" s="92" t="s">
        <v>66</v>
      </c>
      <c r="B26" s="89"/>
      <c r="C26" s="89"/>
      <c r="D26" s="94"/>
      <c r="E26" s="94"/>
      <c r="F26" s="95"/>
      <c r="G26" s="95"/>
    </row>
    <row r="28" customFormat="false" ht="17.25" hidden="false" customHeight="false" outlineLevel="0" collapsed="false">
      <c r="A28" s="88" t="s">
        <v>67</v>
      </c>
      <c r="B28" s="89" t="n">
        <v>0</v>
      </c>
      <c r="C28" s="89"/>
      <c r="D28" s="94"/>
      <c r="E28" s="94"/>
      <c r="F28" s="95"/>
      <c r="G28" s="95"/>
    </row>
    <row r="29" customFormat="false" ht="17.25" hidden="false" customHeight="false" outlineLevel="0" collapsed="false">
      <c r="A29" s="88" t="s">
        <v>68</v>
      </c>
      <c r="B29" s="89" t="n">
        <v>172725</v>
      </c>
      <c r="C29" s="89"/>
      <c r="D29" s="94"/>
      <c r="E29" s="94"/>
      <c r="F29" s="95"/>
      <c r="G29" s="95"/>
    </row>
    <row r="30" customFormat="false" ht="17.25" hidden="false" customHeight="false" outlineLevel="0" collapsed="false">
      <c r="A30" s="88" t="s">
        <v>69</v>
      </c>
      <c r="B30" s="89" t="n">
        <f aca="false">+BAL!G79</f>
        <v>7883960.62</v>
      </c>
      <c r="C30" s="89"/>
      <c r="D30" s="94"/>
      <c r="E30" s="94"/>
      <c r="F30" s="95"/>
      <c r="G30" s="95" t="e">
        <f aca="false">+D36-B29</f>
        <v>#NAME?</v>
      </c>
    </row>
    <row r="31" customFormat="false" ht="17.25" hidden="false" customHeight="false" outlineLevel="0" collapsed="false">
      <c r="A31" s="88" t="s">
        <v>70</v>
      </c>
      <c r="B31" s="89" t="n">
        <f aca="false">+B22</f>
        <v>0</v>
      </c>
      <c r="C31" s="89"/>
      <c r="D31" s="94"/>
      <c r="E31" s="94"/>
      <c r="F31" s="95"/>
      <c r="G31" s="95" t="n">
        <v>8777496.74</v>
      </c>
    </row>
    <row r="32" customFormat="false" ht="17.25" hidden="true" customHeight="false" outlineLevel="0" collapsed="false">
      <c r="A32" s="88" t="s">
        <v>71</v>
      </c>
      <c r="B32" s="89" t="n">
        <v>0</v>
      </c>
      <c r="C32" s="89"/>
      <c r="D32" s="94"/>
      <c r="E32" s="94"/>
      <c r="F32" s="95"/>
      <c r="G32" s="95"/>
    </row>
    <row r="33" customFormat="false" ht="17.25" hidden="false" customHeight="false" outlineLevel="0" collapsed="false">
      <c r="A33" s="88" t="s">
        <v>71</v>
      </c>
      <c r="B33" s="93" t="n">
        <v>0</v>
      </c>
      <c r="C33" s="89"/>
      <c r="D33" s="89"/>
      <c r="E33" s="94"/>
      <c r="F33" s="95"/>
      <c r="G33" s="95" t="e">
        <f aca="false">+G31-G30</f>
        <v>#NAME?</v>
      </c>
    </row>
    <row r="34" customFormat="false" ht="17.25" hidden="false" customHeight="false" outlineLevel="0" collapsed="false">
      <c r="A34" s="88"/>
      <c r="B34" s="89"/>
      <c r="C34" s="97" t="n">
        <f aca="false">SUM(B28:B34)</f>
        <v>8056685.62</v>
      </c>
      <c r="D34" s="89"/>
      <c r="E34" s="94"/>
      <c r="F34" s="95"/>
      <c r="G34" s="95"/>
    </row>
    <row r="35" customFormat="false" ht="17.25" hidden="false" customHeight="false" outlineLevel="0" collapsed="false">
      <c r="A35" s="88"/>
      <c r="B35" s="89"/>
      <c r="C35" s="89"/>
      <c r="D35" s="89"/>
      <c r="E35" s="94"/>
      <c r="F35" s="95"/>
      <c r="G35" s="95" t="n">
        <v>10963446</v>
      </c>
    </row>
    <row r="36" customFormat="false" ht="17.25" hidden="false" customHeight="false" outlineLevel="0" collapsed="false">
      <c r="A36" s="88" t="s">
        <v>72</v>
      </c>
      <c r="B36" s="89"/>
      <c r="C36" s="89"/>
      <c r="D36" s="98" t="e">
        <f aca="false">C17-C25+C34</f>
        <v>#NAME?</v>
      </c>
      <c r="E36" s="94"/>
      <c r="F36" s="95"/>
      <c r="G36" s="95" t="e">
        <f aca="false">+D36-C34</f>
        <v>#NAME?</v>
      </c>
      <c r="H36" s="1"/>
      <c r="I36" s="1" t="n">
        <v>11150829</v>
      </c>
      <c r="J36" s="51" t="e">
        <f aca="false">+D36-I36</f>
        <v>#NAME?</v>
      </c>
    </row>
    <row r="37" customFormat="false" ht="12.75" hidden="false" customHeight="false" outlineLevel="0" collapsed="false">
      <c r="G37" s="51" t="e">
        <f aca="false">+G35-G36</f>
        <v>#NAME?</v>
      </c>
    </row>
    <row r="38" customFormat="false" ht="17.25" hidden="false" customHeight="false" outlineLevel="0" collapsed="false">
      <c r="A38" s="92" t="s">
        <v>73</v>
      </c>
      <c r="B38" s="89"/>
      <c r="C38" s="89"/>
      <c r="D38" s="89"/>
      <c r="E38" s="94"/>
      <c r="F38" s="95"/>
      <c r="G38" s="95"/>
    </row>
    <row r="40" customFormat="false" ht="17.25" hidden="false" customHeight="false" outlineLevel="0" collapsed="false">
      <c r="A40" s="88" t="s">
        <v>74</v>
      </c>
      <c r="B40" s="89" t="n">
        <f aca="false">+ER!H23</f>
        <v>1654681.763989</v>
      </c>
      <c r="C40" s="89"/>
      <c r="D40" s="89"/>
      <c r="E40" s="94"/>
      <c r="F40" s="95"/>
      <c r="G40" s="95" t="n">
        <v>11916261</v>
      </c>
    </row>
    <row r="41" customFormat="false" ht="17.25" hidden="false" customHeight="false" outlineLevel="0" collapsed="false">
      <c r="A41" s="88" t="s">
        <v>75</v>
      </c>
      <c r="B41" s="89" t="n">
        <f aca="false">+ER!H51</f>
        <v>2890224.43052</v>
      </c>
      <c r="C41" s="89"/>
      <c r="D41" s="89"/>
      <c r="E41" s="94"/>
      <c r="F41" s="95"/>
      <c r="G41" s="95" t="e">
        <f aca="false">+G36-G40</f>
        <v>#NAME?</v>
      </c>
    </row>
    <row r="42" customFormat="false" ht="17.25" hidden="false" customHeight="false" outlineLevel="0" collapsed="false">
      <c r="A42" s="88" t="s">
        <v>76</v>
      </c>
      <c r="B42" s="89" t="n">
        <f aca="false">-ER!H62</f>
        <v>229978.65</v>
      </c>
      <c r="C42" s="89"/>
      <c r="D42" s="89"/>
      <c r="E42" s="94"/>
      <c r="F42" s="95"/>
      <c r="G42" s="95"/>
    </row>
    <row r="43" customFormat="false" ht="17.25" hidden="false" customHeight="false" outlineLevel="0" collapsed="false">
      <c r="A43" s="88" t="s">
        <v>77</v>
      </c>
      <c r="B43" s="89" t="n">
        <v>0</v>
      </c>
      <c r="C43" s="89"/>
      <c r="D43" s="89"/>
      <c r="E43" s="94"/>
      <c r="F43" s="95"/>
      <c r="G43" s="95"/>
    </row>
    <row r="44" customFormat="false" ht="17.25" hidden="false" customHeight="false" outlineLevel="0" collapsed="false">
      <c r="A44" s="88" t="s">
        <v>78</v>
      </c>
      <c r="B44" s="89" t="n">
        <v>0</v>
      </c>
      <c r="C44" s="89"/>
      <c r="D44" s="89"/>
      <c r="E44" s="94"/>
      <c r="F44" s="95"/>
      <c r="G44" s="95"/>
    </row>
    <row r="45" customFormat="false" ht="17.25" hidden="false" customHeight="false" outlineLevel="0" collapsed="false">
      <c r="A45" s="88" t="s">
        <v>79</v>
      </c>
      <c r="B45" s="89" t="n">
        <v>0</v>
      </c>
      <c r="C45" s="89"/>
      <c r="D45" s="89"/>
      <c r="E45" s="94"/>
      <c r="F45" s="95"/>
      <c r="G45" s="95"/>
    </row>
    <row r="46" customFormat="false" ht="17.25" hidden="false" customHeight="false" outlineLevel="0" collapsed="false">
      <c r="A46" s="88" t="s">
        <v>71</v>
      </c>
      <c r="B46" s="93" t="n">
        <v>0</v>
      </c>
      <c r="C46" s="89"/>
      <c r="D46" s="89"/>
      <c r="E46" s="94"/>
      <c r="F46" s="95"/>
      <c r="G46" s="95"/>
    </row>
    <row r="48" customFormat="false" ht="17.25" hidden="false" customHeight="false" outlineLevel="0" collapsed="false">
      <c r="A48" s="88" t="s">
        <v>80</v>
      </c>
      <c r="B48" s="89"/>
      <c r="C48" s="89" t="n">
        <f aca="false">SUM(B40:B47)</f>
        <v>4774884.844509</v>
      </c>
      <c r="D48" s="89"/>
      <c r="E48" s="96" t="n">
        <f aca="false">+C17-C48-D4</f>
        <v>0</v>
      </c>
      <c r="F48" s="95"/>
      <c r="G48" s="95"/>
    </row>
    <row r="50" customFormat="false" ht="17.25" hidden="false" customHeight="false" outlineLevel="0" collapsed="false">
      <c r="A50" s="92" t="s">
        <v>81</v>
      </c>
      <c r="B50" s="89"/>
      <c r="C50" s="89"/>
      <c r="D50" s="89"/>
      <c r="E50" s="89"/>
      <c r="F50" s="90"/>
      <c r="G50" s="95"/>
      <c r="H50" s="95"/>
    </row>
    <row r="52" customFormat="false" ht="17.35" hidden="false" customHeight="false" outlineLevel="0" collapsed="false">
      <c r="A52" s="88" t="s">
        <v>82</v>
      </c>
      <c r="B52" s="99" t="n">
        <f aca="false">+ER!H44</f>
        <v>0</v>
      </c>
      <c r="C52" s="89"/>
      <c r="D52" s="89"/>
      <c r="E52" s="89" t="n">
        <f aca="false">+B52-B70</f>
        <v>-112539</v>
      </c>
      <c r="F52" s="90"/>
      <c r="G52" s="95"/>
      <c r="H52" s="95"/>
    </row>
    <row r="53" customFormat="false" ht="17.35" hidden="false" customHeight="false" outlineLevel="0" collapsed="false">
      <c r="A53" s="88" t="str">
        <f aca="false">+A40</f>
        <v>COSTO DE VENTAS</v>
      </c>
      <c r="B53" s="99" t="n">
        <f aca="false">+B40</f>
        <v>1654681.763989</v>
      </c>
      <c r="C53" s="89"/>
      <c r="D53" s="89"/>
      <c r="E53" s="89"/>
      <c r="F53" s="90"/>
      <c r="G53" s="95"/>
      <c r="H53" s="95"/>
    </row>
    <row r="54" customFormat="false" ht="17.35" hidden="false" customHeight="false" outlineLevel="0" collapsed="false">
      <c r="A54" s="88" t="s">
        <v>83</v>
      </c>
      <c r="B54" s="89"/>
      <c r="C54" s="89"/>
      <c r="D54" s="89"/>
      <c r="E54" s="89"/>
      <c r="F54" s="90"/>
      <c r="G54" s="95"/>
      <c r="H54" s="95"/>
    </row>
    <row r="55" customFormat="false" ht="17.35" hidden="false" customHeight="false" outlineLevel="0" collapsed="false">
      <c r="A55" s="88" t="s">
        <v>28</v>
      </c>
      <c r="B55" s="99" t="n">
        <f aca="false">+ER!H50</f>
        <v>43318.29</v>
      </c>
      <c r="C55" s="89"/>
      <c r="D55" s="89"/>
      <c r="E55" s="89"/>
      <c r="F55" s="90"/>
      <c r="G55" s="95"/>
      <c r="H55" s="95"/>
    </row>
    <row r="56" customFormat="false" ht="17.35" hidden="false" customHeight="false" outlineLevel="0" collapsed="false">
      <c r="A56" s="88" t="s">
        <v>84</v>
      </c>
      <c r="B56" s="89" t="n">
        <v>0</v>
      </c>
      <c r="C56" s="89"/>
      <c r="D56" s="89"/>
      <c r="E56" s="89"/>
      <c r="F56" s="90"/>
      <c r="G56" s="95"/>
      <c r="H56" s="95"/>
    </row>
    <row r="57" customFormat="false" ht="17.35" hidden="false" customHeight="false" outlineLevel="0" collapsed="false">
      <c r="A57" s="100" t="s">
        <v>85</v>
      </c>
      <c r="B57" s="101" t="n">
        <f aca="false">+B45</f>
        <v>0</v>
      </c>
      <c r="C57" s="89"/>
      <c r="D57" s="89"/>
      <c r="E57" s="89"/>
      <c r="F57" s="90"/>
      <c r="G57" s="95"/>
      <c r="H57" s="95"/>
    </row>
    <row r="58" customFormat="false" ht="17.35" hidden="false" customHeight="false" outlineLevel="0" collapsed="false">
      <c r="A58" s="102" t="s">
        <v>86</v>
      </c>
      <c r="B58" s="103" t="n">
        <v>260103</v>
      </c>
      <c r="C58" s="89" t="n">
        <f aca="false">+B58*0.3</f>
        <v>78030.9</v>
      </c>
      <c r="D58" s="89"/>
      <c r="E58" s="89"/>
      <c r="F58" s="90"/>
      <c r="G58" s="95"/>
      <c r="H58" s="95"/>
    </row>
    <row r="59" customFormat="false" ht="17.35" hidden="false" customHeight="false" outlineLevel="0" collapsed="false">
      <c r="A59" s="88" t="s">
        <v>87</v>
      </c>
      <c r="B59" s="103"/>
      <c r="C59" s="89"/>
      <c r="D59" s="89"/>
      <c r="E59" s="89"/>
      <c r="F59" s="90"/>
      <c r="G59" s="95"/>
      <c r="H59" s="95"/>
      <c r="M59" s="1"/>
      <c r="N59" s="1"/>
      <c r="O59" s="1"/>
    </row>
    <row r="60" customFormat="false" ht="17.35" hidden="false" customHeight="false" outlineLevel="0" collapsed="false">
      <c r="A60" s="88" t="s">
        <v>88</v>
      </c>
      <c r="B60" s="89" t="n">
        <v>0</v>
      </c>
      <c r="C60" s="89"/>
      <c r="D60" s="89"/>
      <c r="E60" s="89"/>
      <c r="F60" s="90"/>
      <c r="G60" s="95"/>
      <c r="H60" s="95"/>
    </row>
    <row r="61" customFormat="false" ht="17.35" hidden="false" customHeight="false" outlineLevel="0" collapsed="false">
      <c r="A61" s="88" t="s">
        <v>89</v>
      </c>
      <c r="B61" s="89" t="n">
        <v>0</v>
      </c>
      <c r="C61" s="104"/>
      <c r="D61" s="89"/>
      <c r="E61" s="89"/>
      <c r="F61" s="90"/>
      <c r="G61" s="95"/>
      <c r="H61" s="95"/>
    </row>
    <row r="62" customFormat="false" ht="17.35" hidden="false" customHeight="false" outlineLevel="0" collapsed="false">
      <c r="A62" s="88" t="s">
        <v>90</v>
      </c>
      <c r="B62" s="93" t="n">
        <v>0</v>
      </c>
      <c r="C62" s="89"/>
      <c r="D62" s="89"/>
      <c r="E62" s="89"/>
      <c r="F62" s="90"/>
      <c r="G62" s="95"/>
      <c r="H62" s="95"/>
    </row>
    <row r="63" customFormat="false" ht="17.35" hidden="false" customHeight="false" outlineLevel="0" collapsed="false">
      <c r="A63" s="88"/>
      <c r="B63" s="89"/>
      <c r="C63" s="105" t="n">
        <f aca="false">SUM(B52:B62)</f>
        <v>1958103.053989</v>
      </c>
      <c r="D63" s="89"/>
      <c r="E63" s="89"/>
      <c r="F63" s="90"/>
      <c r="G63" s="95"/>
      <c r="H63" s="95"/>
    </row>
    <row r="64" customFormat="false" ht="17.35" hidden="false" customHeight="false" outlineLevel="0" collapsed="false">
      <c r="A64" s="88"/>
      <c r="B64" s="89"/>
      <c r="C64" s="89"/>
      <c r="D64" s="89"/>
      <c r="E64" s="89"/>
      <c r="F64" s="90"/>
      <c r="G64" s="95"/>
      <c r="H64" s="95"/>
    </row>
    <row r="65" customFormat="false" ht="17.35" hidden="false" customHeight="false" outlineLevel="0" collapsed="false">
      <c r="A65" s="92" t="s">
        <v>91</v>
      </c>
      <c r="B65" s="89"/>
      <c r="C65" s="89"/>
      <c r="D65" s="89"/>
      <c r="E65" s="89"/>
      <c r="F65" s="90"/>
      <c r="G65" s="90"/>
      <c r="H65" s="95"/>
    </row>
    <row r="66" customFormat="false" ht="17.35" hidden="false" customHeight="false" outlineLevel="0" collapsed="false">
      <c r="A66" s="88"/>
      <c r="B66" s="89"/>
      <c r="C66" s="89"/>
      <c r="D66" s="89"/>
      <c r="E66" s="89"/>
      <c r="F66" s="90"/>
      <c r="G66" s="90"/>
      <c r="H66" s="95"/>
    </row>
    <row r="67" customFormat="false" ht="17.35" hidden="false" customHeight="false" outlineLevel="0" collapsed="false">
      <c r="A67" s="88" t="s">
        <v>92</v>
      </c>
      <c r="B67" s="99" t="n">
        <f aca="false">+B53+0</f>
        <v>1654681.763989</v>
      </c>
      <c r="C67" s="89"/>
      <c r="D67" s="89"/>
      <c r="E67" s="89"/>
      <c r="F67" s="90"/>
      <c r="G67" s="90"/>
      <c r="H67" s="95"/>
    </row>
    <row r="68" customFormat="false" ht="17.35" hidden="false" customHeight="false" outlineLevel="0" collapsed="false">
      <c r="A68" s="88" t="s">
        <v>93</v>
      </c>
      <c r="B68" s="89" t="n">
        <v>0</v>
      </c>
      <c r="C68" s="89"/>
      <c r="D68" s="89"/>
      <c r="E68" s="89"/>
      <c r="F68" s="90" t="n">
        <f aca="false">14228+13990</f>
        <v>28218</v>
      </c>
      <c r="G68" s="90"/>
      <c r="H68" s="95"/>
    </row>
    <row r="69" customFormat="false" ht="17.35" hidden="false" customHeight="false" outlineLevel="0" collapsed="false">
      <c r="A69" s="88" t="s">
        <v>94</v>
      </c>
      <c r="B69" s="89" t="n">
        <f aca="false">600000*H69</f>
        <v>0</v>
      </c>
      <c r="C69" s="89"/>
      <c r="D69" s="89"/>
      <c r="E69" s="89"/>
      <c r="F69" s="90"/>
      <c r="G69" s="90"/>
      <c r="H69" s="95"/>
    </row>
    <row r="70" customFormat="false" ht="17.35" hidden="false" customHeight="false" outlineLevel="0" collapsed="false">
      <c r="A70" s="88" t="s">
        <v>95</v>
      </c>
      <c r="B70" s="99" t="n">
        <v>112539</v>
      </c>
      <c r="C70" s="89"/>
      <c r="D70" s="89"/>
      <c r="E70" s="89"/>
      <c r="F70" s="90"/>
      <c r="G70" s="90"/>
      <c r="H70" s="95"/>
    </row>
    <row r="71" customFormat="false" ht="17.35" hidden="false" customHeight="false" outlineLevel="0" collapsed="false">
      <c r="A71" s="88" t="s">
        <v>96</v>
      </c>
      <c r="B71" s="89" t="n">
        <f aca="false">2905000*H69</f>
        <v>0</v>
      </c>
      <c r="C71" s="89"/>
      <c r="D71" s="89"/>
      <c r="E71" s="89"/>
      <c r="F71" s="90"/>
      <c r="G71" s="90"/>
      <c r="H71" s="95"/>
    </row>
    <row r="72" customFormat="false" ht="17.35" hidden="false" customHeight="false" outlineLevel="0" collapsed="false">
      <c r="A72" s="88" t="s">
        <v>97</v>
      </c>
      <c r="B72" s="89" t="n">
        <v>0</v>
      </c>
      <c r="C72" s="89"/>
      <c r="D72" s="89"/>
      <c r="E72" s="89"/>
      <c r="F72" s="90"/>
      <c r="G72" s="90"/>
      <c r="H72" s="95"/>
    </row>
    <row r="73" customFormat="false" ht="17.35" hidden="false" customHeight="false" outlineLevel="0" collapsed="false">
      <c r="A73" s="88" t="s">
        <v>98</v>
      </c>
      <c r="B73" s="89" t="n">
        <v>0</v>
      </c>
      <c r="C73" s="89"/>
      <c r="D73" s="89"/>
      <c r="E73" s="89"/>
      <c r="F73" s="90"/>
      <c r="G73" s="90" t="n">
        <v>3191195</v>
      </c>
      <c r="H73" s="95" t="n">
        <f aca="false">+G73-G74</f>
        <v>906541.759818001</v>
      </c>
    </row>
    <row r="74" customFormat="false" ht="17.35" hidden="false" customHeight="false" outlineLevel="0" collapsed="false">
      <c r="A74" s="88" t="s">
        <v>99</v>
      </c>
      <c r="B74" s="89" t="n">
        <v>0</v>
      </c>
      <c r="C74" s="104"/>
      <c r="D74" s="89"/>
      <c r="E74" s="89"/>
      <c r="F74" s="90"/>
      <c r="G74" s="90" t="n">
        <f aca="false">+G86</f>
        <v>2284653.240182</v>
      </c>
      <c r="H74" s="95"/>
    </row>
    <row r="75" customFormat="false" ht="17.35" hidden="false" customHeight="false" outlineLevel="0" collapsed="false">
      <c r="A75" s="88" t="s">
        <v>100</v>
      </c>
      <c r="B75" s="93" t="n">
        <v>0</v>
      </c>
      <c r="C75" s="89"/>
      <c r="D75" s="89"/>
      <c r="E75" s="89"/>
      <c r="F75" s="90"/>
      <c r="G75" s="90" t="n">
        <v>1925988</v>
      </c>
      <c r="H75" s="95"/>
    </row>
    <row r="76" customFormat="false" ht="17.35" hidden="false" customHeight="false" outlineLevel="0" collapsed="false">
      <c r="A76" s="88"/>
      <c r="B76" s="89"/>
      <c r="C76" s="105" t="n">
        <f aca="false">SUM(B67:B75)</f>
        <v>1767220.763989</v>
      </c>
      <c r="D76" s="89"/>
      <c r="E76" s="89"/>
      <c r="F76" s="90"/>
      <c r="G76" s="90" t="n">
        <f aca="false">+G74-G75</f>
        <v>358665.240181999</v>
      </c>
      <c r="H76" s="95" t="n">
        <f aca="false">+F78+G76</f>
        <v>-5841244.205309</v>
      </c>
    </row>
    <row r="77" customFormat="false" ht="17.35" hidden="false" customHeight="false" outlineLevel="0" collapsed="false">
      <c r="A77" s="88"/>
      <c r="B77" s="89"/>
      <c r="C77" s="89"/>
      <c r="D77" s="89"/>
      <c r="E77" s="89"/>
      <c r="F77" s="90" t="n">
        <v>10783912</v>
      </c>
      <c r="G77" s="90"/>
      <c r="H77" s="95"/>
    </row>
    <row r="78" customFormat="false" ht="17.35" hidden="false" customHeight="false" outlineLevel="0" collapsed="false">
      <c r="A78" s="106" t="s">
        <v>101</v>
      </c>
      <c r="B78" s="89"/>
      <c r="C78" s="89"/>
      <c r="D78" s="89" t="n">
        <f aca="false">+C48+C76-C63</f>
        <v>4584002.554509</v>
      </c>
      <c r="E78" s="89"/>
      <c r="F78" s="90" t="n">
        <f aca="false">+D78-F77</f>
        <v>-6199909.445491</v>
      </c>
      <c r="G78" s="90" t="n">
        <f aca="false">+D78</f>
        <v>4584002.554509</v>
      </c>
      <c r="H78" s="95" t="s">
        <v>102</v>
      </c>
      <c r="J78" s="107"/>
    </row>
    <row r="79" customFormat="false" ht="17.35" hidden="false" customHeight="false" outlineLevel="0" collapsed="false">
      <c r="A79" s="88"/>
      <c r="B79" s="89"/>
      <c r="C79" s="89"/>
      <c r="D79" s="93"/>
      <c r="E79" s="89"/>
      <c r="F79" s="90"/>
      <c r="G79" s="108" t="n">
        <f aca="false">-B53</f>
        <v>-1654681.763989</v>
      </c>
      <c r="H79" s="109" t="s">
        <v>103</v>
      </c>
    </row>
    <row r="80" customFormat="false" ht="17.35" hidden="false" customHeight="false" outlineLevel="0" collapsed="false">
      <c r="A80" s="110" t="s">
        <v>104</v>
      </c>
      <c r="B80" s="110"/>
      <c r="C80" s="110"/>
      <c r="D80" s="103" t="e">
        <f aca="false">+D36-D78</f>
        <v>#NAME?</v>
      </c>
      <c r="E80" s="89" t="e">
        <f aca="false">+TRUNC((D80-B58)*0.1,0)*1</f>
        <v>#NAME?</v>
      </c>
      <c r="F80" s="90"/>
      <c r="G80" s="108" t="n">
        <f aca="false">-ER!M30</f>
        <v>0</v>
      </c>
      <c r="H80" s="111" t="s">
        <v>105</v>
      </c>
    </row>
    <row r="81" customFormat="false" ht="17.35" hidden="false" customHeight="false" outlineLevel="0" collapsed="false">
      <c r="A81" s="110" t="s">
        <v>106</v>
      </c>
      <c r="B81" s="110"/>
      <c r="C81" s="110"/>
      <c r="D81" s="112" t="n">
        <v>9659</v>
      </c>
      <c r="E81" s="89"/>
      <c r="F81" s="95"/>
      <c r="G81" s="113" t="n">
        <f aca="false">-BAL!G136-BAL!G137-BAL!G138-BAL!G139</f>
        <v>-316429.32</v>
      </c>
      <c r="H81" s="114" t="s">
        <v>107</v>
      </c>
    </row>
    <row r="82" customFormat="false" ht="17.35" hidden="false" customHeight="false" outlineLevel="0" collapsed="false">
      <c r="A82" s="110" t="s">
        <v>108</v>
      </c>
      <c r="B82" s="110"/>
      <c r="C82" s="110"/>
      <c r="D82" s="89" t="e">
        <f aca="false">+D80-D81</f>
        <v>#NAME?</v>
      </c>
      <c r="E82" s="115" t="e">
        <f aca="false">+D82/D36</f>
        <v>#NAME?</v>
      </c>
      <c r="F82" s="95"/>
    </row>
    <row r="83" customFormat="false" ht="17.35" hidden="false" customHeight="false" outlineLevel="0" collapsed="false">
      <c r="A83" s="116" t="s">
        <v>109</v>
      </c>
      <c r="B83" s="116"/>
      <c r="C83" s="116"/>
      <c r="D83" s="117" t="e">
        <f aca="false">+D82</f>
        <v>#NAME?</v>
      </c>
      <c r="E83" s="89"/>
      <c r="F83" s="95"/>
      <c r="G83" s="113" t="n">
        <f aca="false">-B70</f>
        <v>-112539</v>
      </c>
      <c r="H83" s="118" t="s">
        <v>110</v>
      </c>
    </row>
    <row r="84" customFormat="false" ht="17.35" hidden="false" customHeight="false" outlineLevel="0" collapsed="false">
      <c r="A84" s="110" t="s">
        <v>111</v>
      </c>
      <c r="B84" s="110"/>
      <c r="C84" s="110"/>
      <c r="D84" s="89" t="e">
        <f aca="false">+D82-D83</f>
        <v>#NAME?</v>
      </c>
      <c r="E84" s="115" t="n">
        <v>0.0257</v>
      </c>
      <c r="F84" s="95"/>
      <c r="G84" s="95" t="n">
        <f aca="false">SUM(G78:G83)</f>
        <v>2500352.47052</v>
      </c>
    </row>
    <row r="85" customFormat="false" ht="17.35" hidden="false" customHeight="false" outlineLevel="0" collapsed="false">
      <c r="A85" s="110" t="s">
        <v>112</v>
      </c>
      <c r="B85" s="110"/>
      <c r="C85" s="110"/>
      <c r="D85" s="119" t="n">
        <v>0.3</v>
      </c>
      <c r="E85" s="89"/>
      <c r="F85" s="95"/>
      <c r="G85" s="120" t="n">
        <f aca="false">-BAL!G164-131644</f>
        <v>-215699.230338</v>
      </c>
      <c r="H85" s="0" t="s">
        <v>113</v>
      </c>
    </row>
    <row r="86" customFormat="false" ht="15" hidden="false" customHeight="false" outlineLevel="0" collapsed="false">
      <c r="G86" s="95" t="n">
        <f aca="false">+G84+G85</f>
        <v>2284653.240182</v>
      </c>
    </row>
    <row r="87" customFormat="false" ht="17.35" hidden="false" customHeight="false" outlineLevel="0" collapsed="false">
      <c r="A87" s="110" t="s">
        <v>114</v>
      </c>
      <c r="B87" s="110"/>
      <c r="C87" s="110"/>
      <c r="D87" s="89" t="e">
        <f aca="false">D84*D85*0</f>
        <v>#NAME?</v>
      </c>
      <c r="E87" s="89"/>
      <c r="F87" s="95"/>
      <c r="G87" s="121" t="n">
        <f aca="false">-ER!H38</f>
        <v>-55597.44</v>
      </c>
      <c r="H87" s="122" t="s">
        <v>115</v>
      </c>
    </row>
    <row r="88" customFormat="false" ht="17.35" hidden="false" customHeight="false" outlineLevel="0" collapsed="false">
      <c r="A88" s="88"/>
      <c r="B88" s="89"/>
      <c r="C88" s="89"/>
      <c r="D88" s="89"/>
      <c r="E88" s="89"/>
      <c r="F88" s="95"/>
      <c r="G88" s="121" t="n">
        <f aca="false">-BAL!G140</f>
        <v>-2137.33</v>
      </c>
      <c r="H88" s="122" t="s">
        <v>116</v>
      </c>
    </row>
    <row r="89" customFormat="false" ht="17.35" hidden="false" customHeight="false" outlineLevel="0" collapsed="false">
      <c r="A89" s="123" t="s">
        <v>117</v>
      </c>
      <c r="B89" s="123"/>
      <c r="C89" s="89" t="n">
        <v>0</v>
      </c>
      <c r="D89" s="89"/>
      <c r="E89" s="89"/>
      <c r="F89" s="95"/>
      <c r="G89" s="121" t="n">
        <v>0</v>
      </c>
      <c r="H89" s="124" t="s">
        <v>118</v>
      </c>
    </row>
    <row r="90" customFormat="false" ht="17.35" hidden="false" customHeight="false" outlineLevel="0" collapsed="false">
      <c r="A90" s="123"/>
      <c r="B90" s="123"/>
      <c r="C90" s="89"/>
      <c r="D90" s="112" t="n">
        <f aca="false">+C89</f>
        <v>0</v>
      </c>
      <c r="E90" s="89"/>
      <c r="F90" s="95"/>
      <c r="G90" s="121" t="n">
        <f aca="false">-ER!H35</f>
        <v>-141745.19</v>
      </c>
      <c r="H90" s="122" t="s">
        <v>119</v>
      </c>
    </row>
    <row r="91" customFormat="false" ht="17.35" hidden="false" customHeight="false" outlineLevel="0" collapsed="false">
      <c r="A91" s="125" t="s">
        <v>120</v>
      </c>
      <c r="B91" s="125"/>
      <c r="C91" s="125"/>
      <c r="D91" s="93" t="e">
        <f aca="false">+D87-D90</f>
        <v>#NAME?</v>
      </c>
      <c r="E91" s="89"/>
      <c r="F91" s="95"/>
      <c r="G91" s="121" t="n">
        <f aca="false">-BAL!G177</f>
        <v>-143053.54</v>
      </c>
      <c r="H91" s="122" t="s">
        <v>121</v>
      </c>
    </row>
    <row r="92" customFormat="false" ht="17.35" hidden="false" customHeight="false" outlineLevel="0" collapsed="false">
      <c r="A92" s="88"/>
      <c r="B92" s="89"/>
      <c r="C92" s="89"/>
      <c r="D92" s="89"/>
      <c r="E92" s="89"/>
      <c r="F92" s="95"/>
      <c r="G92" s="121" t="n">
        <f aca="false">-BAL!G176</f>
        <v>-42675.8</v>
      </c>
      <c r="H92" s="122" t="s">
        <v>122</v>
      </c>
    </row>
    <row r="93" customFormat="false" ht="17.35" hidden="false" customHeight="false" outlineLevel="0" collapsed="false">
      <c r="A93" s="88"/>
      <c r="B93" s="89"/>
      <c r="C93" s="89"/>
      <c r="D93" s="89"/>
      <c r="E93" s="89"/>
      <c r="G93" s="121" t="n">
        <f aca="false">-ER!H32</f>
        <v>-12288.78</v>
      </c>
      <c r="H93" s="122" t="s">
        <v>123</v>
      </c>
    </row>
    <row r="94" customFormat="false" ht="17.35" hidden="false" customHeight="false" outlineLevel="0" collapsed="false">
      <c r="A94" s="88"/>
      <c r="B94" s="89"/>
      <c r="G94" s="121" t="n">
        <f aca="false">-ER!H39</f>
        <v>-2165.75</v>
      </c>
      <c r="H94" s="122" t="s">
        <v>124</v>
      </c>
    </row>
    <row r="95" customFormat="false" ht="15" hidden="false" customHeight="false" outlineLevel="0" collapsed="false">
      <c r="A95" s="94"/>
      <c r="B95" s="94"/>
      <c r="G95" s="121" t="n">
        <f aca="false">-ER!H43</f>
        <v>-6328.270346</v>
      </c>
      <c r="H95" s="122" t="s">
        <v>125</v>
      </c>
    </row>
    <row r="96" customFormat="false" ht="15" hidden="false" customHeight="false" outlineLevel="0" collapsed="false">
      <c r="G96" s="121" t="n">
        <v>0</v>
      </c>
      <c r="H96" s="122" t="s">
        <v>126</v>
      </c>
    </row>
    <row r="97" customFormat="false" ht="15" hidden="false" customHeight="false" outlineLevel="0" collapsed="false">
      <c r="G97" s="121" t="n">
        <f aca="false">-ER!H37</f>
        <v>-72756.347393</v>
      </c>
      <c r="H97" s="122" t="s">
        <v>127</v>
      </c>
    </row>
    <row r="98" customFormat="false" ht="15" hidden="false" customHeight="false" outlineLevel="0" collapsed="false">
      <c r="F98" s="121" t="n">
        <f aca="false">-G98</f>
        <v>-1805904.792443</v>
      </c>
      <c r="G98" s="121" t="n">
        <f aca="false">SUM(G86:G97)</f>
        <v>1805904.792443</v>
      </c>
    </row>
  </sheetData>
  <mergeCells count="10">
    <mergeCell ref="A80:C80"/>
    <mergeCell ref="A81:C81"/>
    <mergeCell ref="A82:C82"/>
    <mergeCell ref="A83:C83"/>
    <mergeCell ref="A84:C84"/>
    <mergeCell ref="A85:C85"/>
    <mergeCell ref="A87:C87"/>
    <mergeCell ref="A89:B89"/>
    <mergeCell ref="A90:B90"/>
    <mergeCell ref="A91:C9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5:S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ColWidth="11.5625" defaultRowHeight="12.75" customHeight="false" zeroHeight="false" outlineLevelRow="0" outlineLevelCol="0"/>
  <cols>
    <col collapsed="false" customWidth="true" hidden="false" outlineLevel="0" max="1" min="1" style="54" width="5.88"/>
    <col collapsed="false" customWidth="true" hidden="false" outlineLevel="0" max="2" min="2" style="54" width="4.33"/>
    <col collapsed="false" customWidth="true" hidden="false" outlineLevel="0" max="3" min="3" style="54" width="16.89"/>
    <col collapsed="false" customWidth="true" hidden="false" outlineLevel="0" max="4" min="4" style="54" width="10.66"/>
    <col collapsed="false" customWidth="true" hidden="false" outlineLevel="0" max="6" min="5" style="54" width="16.67"/>
    <col collapsed="false" customWidth="true" hidden="false" outlineLevel="0" max="7" min="7" style="54" width="3.44"/>
    <col collapsed="false" customWidth="true" hidden="false" outlineLevel="0" max="8" min="8" style="54" width="5"/>
    <col collapsed="false" customWidth="true" hidden="false" outlineLevel="0" max="9" min="9" style="54" width="20.33"/>
    <col collapsed="false" customWidth="true" hidden="false" outlineLevel="0" max="10" min="10" style="54" width="7.11"/>
    <col collapsed="false" customWidth="true" hidden="false" outlineLevel="0" max="12" min="11" style="54" width="16.67"/>
    <col collapsed="false" customWidth="true" hidden="false" outlineLevel="0" max="13" min="13" style="54" width="4.56"/>
    <col collapsed="false" customWidth="true" hidden="false" outlineLevel="0" max="14" min="14" style="54" width="12.22"/>
    <col collapsed="false" customWidth="false" hidden="false" outlineLevel="0" max="16384" min="15" style="54" width="11.56"/>
  </cols>
  <sheetData>
    <row r="5" customFormat="false" ht="15" hidden="false" customHeight="false" outlineLevel="0" collapsed="false">
      <c r="A5" s="126"/>
      <c r="B5" s="127"/>
      <c r="C5" s="127"/>
      <c r="D5" s="127"/>
      <c r="E5" s="127"/>
      <c r="F5" s="127"/>
      <c r="G5" s="127"/>
      <c r="H5" s="127"/>
      <c r="I5" s="127"/>
      <c r="J5" s="127"/>
      <c r="K5" s="127"/>
      <c r="L5" s="127"/>
      <c r="M5" s="126"/>
    </row>
    <row r="6" customFormat="false" ht="15" hidden="false" customHeight="false" outlineLevel="0" collapsed="false">
      <c r="A6" s="126"/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6"/>
    </row>
    <row r="7" customFormat="false" ht="15" hidden="false" customHeight="false" outlineLevel="0" collapsed="false">
      <c r="A7" s="126"/>
      <c r="B7" s="127" t="s">
        <v>128</v>
      </c>
      <c r="C7" s="127"/>
      <c r="D7" s="127"/>
      <c r="E7" s="127"/>
      <c r="F7" s="127"/>
      <c r="G7" s="127"/>
      <c r="H7" s="127"/>
      <c r="I7" s="127"/>
      <c r="J7" s="127"/>
      <c r="K7" s="127"/>
      <c r="L7" s="127"/>
      <c r="M7" s="126"/>
    </row>
    <row r="8" customFormat="false" ht="17.25" hidden="false" customHeight="false" outlineLevel="0" collapsed="false">
      <c r="B8" s="129" t="s">
        <v>129</v>
      </c>
      <c r="C8" s="129"/>
      <c r="D8" s="129"/>
      <c r="E8" s="129"/>
      <c r="F8" s="129"/>
      <c r="G8" s="129"/>
      <c r="H8" s="129"/>
      <c r="I8" s="129"/>
      <c r="J8" s="129"/>
      <c r="K8" s="129"/>
      <c r="L8" s="129"/>
    </row>
    <row r="9" customFormat="false" ht="12.75" hidden="false" customHeight="false" outlineLevel="0" collapsed="false">
      <c r="B9" s="130" t="s">
        <v>130</v>
      </c>
      <c r="C9" s="130"/>
      <c r="D9" s="130"/>
      <c r="E9" s="130"/>
      <c r="F9" s="130"/>
      <c r="G9" s="130"/>
      <c r="H9" s="130"/>
      <c r="I9" s="130"/>
      <c r="J9" s="130"/>
      <c r="K9" s="130"/>
      <c r="L9" s="130"/>
    </row>
    <row r="10" customFormat="false" ht="12.75" hidden="false" customHeight="false" outlineLevel="0" collapsed="false">
      <c r="B10" s="130" t="s">
        <v>131</v>
      </c>
      <c r="C10" s="130"/>
      <c r="D10" s="130"/>
      <c r="E10" s="130"/>
      <c r="F10" s="130"/>
      <c r="G10" s="130"/>
      <c r="H10" s="130"/>
      <c r="I10" s="130"/>
      <c r="J10" s="130"/>
      <c r="K10" s="130"/>
      <c r="L10" s="130"/>
    </row>
    <row r="13" customFormat="false" ht="12.75" hidden="false" customHeight="false" outlineLevel="0" collapsed="false">
      <c r="C13" s="131" t="s">
        <v>132</v>
      </c>
      <c r="I13" s="131" t="s">
        <v>133</v>
      </c>
    </row>
    <row r="14" customFormat="false" ht="12.75" hidden="false" customHeight="false" outlineLevel="0" collapsed="false">
      <c r="C14" s="131" t="s">
        <v>134</v>
      </c>
      <c r="I14" s="131" t="s">
        <v>134</v>
      </c>
    </row>
    <row r="16" customFormat="false" ht="12.75" hidden="false" customHeight="false" outlineLevel="0" collapsed="false">
      <c r="B16" s="132" t="s">
        <v>135</v>
      </c>
      <c r="C16" s="132"/>
      <c r="E16" s="133" t="n">
        <f aca="false">+BAL!G7</f>
        <v>1324.44</v>
      </c>
      <c r="H16" s="132" t="s">
        <v>136</v>
      </c>
      <c r="I16" s="132"/>
      <c r="K16" s="133" t="n">
        <f aca="false">+BAL!G61</f>
        <v>501280.306</v>
      </c>
    </row>
    <row r="17" customFormat="false" ht="12.75" hidden="false" customHeight="false" outlineLevel="0" collapsed="false">
      <c r="B17" s="132" t="s">
        <v>137</v>
      </c>
      <c r="C17" s="132"/>
      <c r="E17" s="133" t="n">
        <f aca="false">+BAL!G9</f>
        <v>-1008790.452061</v>
      </c>
      <c r="H17" s="132" t="s">
        <v>138</v>
      </c>
      <c r="I17" s="132"/>
      <c r="K17" s="133" t="n">
        <f aca="false">+(BAL!G62/4)</f>
        <v>832902.94</v>
      </c>
      <c r="N17" s="134"/>
    </row>
    <row r="18" customFormat="false" ht="12.75" hidden="false" customHeight="false" outlineLevel="0" collapsed="false">
      <c r="B18" s="132" t="s">
        <v>139</v>
      </c>
      <c r="E18" s="133" t="n">
        <f aca="false">+BAL!G17</f>
        <v>479239.98</v>
      </c>
      <c r="H18" s="132" t="s">
        <v>140</v>
      </c>
      <c r="I18" s="132"/>
      <c r="K18" s="133" t="n">
        <f aca="false">+BAL!G79</f>
        <v>7883960.62</v>
      </c>
      <c r="M18" s="135"/>
    </row>
    <row r="19" customFormat="false" ht="12.75" hidden="false" customHeight="false" outlineLevel="0" collapsed="false">
      <c r="B19" s="132" t="s">
        <v>141</v>
      </c>
      <c r="C19" s="132"/>
      <c r="E19" s="133" t="n">
        <f aca="false">+BAL!G23</f>
        <v>0</v>
      </c>
      <c r="H19" s="132" t="s">
        <v>142</v>
      </c>
      <c r="I19" s="132"/>
      <c r="K19" s="133" t="n">
        <f aca="false">+BAL!G81</f>
        <v>181339.95</v>
      </c>
      <c r="M19" s="135"/>
    </row>
    <row r="20" customFormat="false" ht="12.75" hidden="false" customHeight="false" outlineLevel="0" collapsed="false">
      <c r="B20" s="132" t="s">
        <v>143</v>
      </c>
      <c r="C20" s="132"/>
      <c r="E20" s="133" t="n">
        <f aca="false">+BAL!G38+BAL!G35+BAL!G32+BAL!G31</f>
        <v>2925438.981189</v>
      </c>
      <c r="H20" s="132" t="s">
        <v>144</v>
      </c>
      <c r="I20" s="132"/>
      <c r="K20" s="136" t="n">
        <f aca="false">+BAL!G90</f>
        <v>2275.19</v>
      </c>
    </row>
    <row r="21" customFormat="false" ht="12.75" hidden="false" customHeight="false" outlineLevel="0" collapsed="false">
      <c r="B21" s="132" t="s">
        <v>145</v>
      </c>
      <c r="C21" s="132"/>
      <c r="E21" s="133" t="n">
        <f aca="false">+BAL!G33</f>
        <v>0</v>
      </c>
      <c r="K21" s="133" t="n">
        <f aca="false">SUM(K16:K20)</f>
        <v>9401759.006</v>
      </c>
    </row>
    <row r="22" customFormat="false" ht="12.75" hidden="false" customHeight="false" outlineLevel="0" collapsed="false">
      <c r="B22" s="132" t="s">
        <v>146</v>
      </c>
      <c r="C22" s="132"/>
      <c r="E22" s="133" t="n">
        <f aca="false">+BAL!G28</f>
        <v>22890</v>
      </c>
      <c r="K22" s="134"/>
    </row>
    <row r="23" customFormat="false" ht="12.75" hidden="false" customHeight="false" outlineLevel="0" collapsed="false">
      <c r="B23" s="132" t="s">
        <v>147</v>
      </c>
      <c r="C23" s="132"/>
      <c r="E23" s="133" t="n">
        <f aca="false">+BAL!G45</f>
        <v>122794.3507</v>
      </c>
      <c r="I23" s="131" t="s">
        <v>148</v>
      </c>
    </row>
    <row r="24" customFormat="false" ht="12.75" hidden="false" customHeight="false" outlineLevel="0" collapsed="false">
      <c r="B24" s="132" t="s">
        <v>149</v>
      </c>
      <c r="C24" s="132"/>
      <c r="E24" s="136" t="n">
        <f aca="false">+BAL!G43</f>
        <v>0</v>
      </c>
      <c r="H24" s="132" t="s">
        <v>138</v>
      </c>
      <c r="I24" s="132"/>
      <c r="K24" s="133" t="n">
        <f aca="false">+K17*4-K17-0.03</f>
        <v>2498708.79</v>
      </c>
    </row>
    <row r="25" customFormat="false" ht="12.75" hidden="false" customHeight="false" outlineLevel="0" collapsed="false">
      <c r="B25" s="132"/>
      <c r="C25" s="132"/>
      <c r="E25" s="137"/>
      <c r="Q25" s="134"/>
      <c r="S25" s="134"/>
    </row>
    <row r="26" customFormat="false" ht="12.75" hidden="false" customHeight="false" outlineLevel="0" collapsed="false">
      <c r="B26" s="131" t="s">
        <v>150</v>
      </c>
      <c r="D26" s="138"/>
      <c r="F26" s="133" t="n">
        <f aca="false">SUM(E16:E24)</f>
        <v>2542897.299828</v>
      </c>
      <c r="H26" s="131" t="s">
        <v>151</v>
      </c>
      <c r="L26" s="133" t="n">
        <f aca="false">SUM(K15:K20)+K24</f>
        <v>11900467.796</v>
      </c>
      <c r="M26" s="134"/>
    </row>
    <row r="27" customFormat="false" ht="12.75" hidden="false" customHeight="false" outlineLevel="0" collapsed="false">
      <c r="D27" s="139"/>
      <c r="L27" s="134"/>
      <c r="M27" s="137"/>
    </row>
    <row r="28" customFormat="false" ht="12.75" hidden="false" customHeight="false" outlineLevel="0" collapsed="false">
      <c r="C28" s="131" t="s">
        <v>152</v>
      </c>
      <c r="D28" s="140"/>
      <c r="I28" s="131"/>
      <c r="M28" s="137"/>
    </row>
    <row r="29" customFormat="false" ht="12.75" hidden="false" customHeight="false" outlineLevel="0" collapsed="false">
      <c r="B29" s="132" t="s">
        <v>153</v>
      </c>
      <c r="E29" s="133" t="n">
        <v>0</v>
      </c>
      <c r="F29" s="137"/>
      <c r="I29" s="131" t="s">
        <v>154</v>
      </c>
      <c r="M29" s="137"/>
    </row>
    <row r="30" customFormat="false" ht="12.75" hidden="false" customHeight="false" outlineLevel="0" collapsed="false">
      <c r="B30" s="132" t="s">
        <v>155</v>
      </c>
      <c r="E30" s="133" t="n">
        <f aca="false">+BAL!G48</f>
        <v>44082.65</v>
      </c>
      <c r="I30" s="131" t="s">
        <v>156</v>
      </c>
      <c r="M30" s="137"/>
    </row>
    <row r="31" customFormat="false" ht="12.75" hidden="false" customHeight="false" outlineLevel="0" collapsed="false">
      <c r="B31" s="132" t="s">
        <v>157</v>
      </c>
      <c r="E31" s="133" t="n">
        <f aca="false">+BAL!G51</f>
        <v>14106.03</v>
      </c>
      <c r="H31" s="132" t="s">
        <v>158</v>
      </c>
      <c r="K31" s="133" t="n">
        <f aca="false">+BAL!G91</f>
        <v>425800</v>
      </c>
      <c r="M31" s="137"/>
    </row>
    <row r="32" customFormat="false" ht="12.75" hidden="false" customHeight="false" outlineLevel="0" collapsed="false">
      <c r="B32" s="132" t="s">
        <v>159</v>
      </c>
      <c r="E32" s="133" t="n">
        <f aca="false">+BAL!G54</f>
        <v>575862.07</v>
      </c>
      <c r="H32" s="132" t="s">
        <v>160</v>
      </c>
      <c r="K32" s="133" t="n">
        <f aca="false">+BAL!G94</f>
        <v>1090000</v>
      </c>
      <c r="M32" s="137"/>
    </row>
    <row r="33" customFormat="false" ht="12.75" hidden="false" customHeight="false" outlineLevel="0" collapsed="false">
      <c r="B33" s="132" t="s">
        <v>161</v>
      </c>
      <c r="E33" s="133" t="n">
        <f aca="false">+BAL!G58</f>
        <v>19497.08</v>
      </c>
      <c r="H33" s="132" t="s">
        <v>162</v>
      </c>
      <c r="K33" s="133" t="n">
        <f aca="false">+BAL!G95</f>
        <v>-7969283.6019</v>
      </c>
      <c r="M33" s="137"/>
    </row>
    <row r="34" customFormat="false" ht="12.75" hidden="false" customHeight="false" outlineLevel="0" collapsed="false">
      <c r="B34" s="132" t="s">
        <v>163</v>
      </c>
      <c r="E34" s="136" t="n">
        <f aca="false">-BAL!G50-BAL!G53-BAL!G57-BAL!G60</f>
        <v>-541752.28</v>
      </c>
      <c r="H34" s="132" t="s">
        <v>164</v>
      </c>
      <c r="K34" s="141" t="n">
        <f aca="false">+ER!H70</f>
        <v>-2792291.314609</v>
      </c>
    </row>
    <row r="35" customFormat="false" ht="12.75" hidden="false" customHeight="false" outlineLevel="0" collapsed="false">
      <c r="B35" s="132"/>
      <c r="E35" s="142"/>
      <c r="M35" s="143"/>
    </row>
    <row r="36" customFormat="false" ht="12.75" hidden="false" customHeight="false" outlineLevel="0" collapsed="false">
      <c r="B36" s="131" t="s">
        <v>165</v>
      </c>
      <c r="F36" s="133" t="n">
        <f aca="false">SUM(E29:E34)</f>
        <v>111795.55</v>
      </c>
      <c r="H36" s="131" t="s">
        <v>166</v>
      </c>
      <c r="L36" s="143" t="n">
        <f aca="false">SUM(K31:K34)</f>
        <v>-9245774.916509</v>
      </c>
    </row>
    <row r="37" customFormat="false" ht="12.75" hidden="false" customHeight="false" outlineLevel="0" collapsed="false">
      <c r="B37" s="131"/>
      <c r="F37" s="137"/>
      <c r="K37" s="137"/>
    </row>
    <row r="38" customFormat="false" ht="12.75" hidden="true" customHeight="false" outlineLevel="0" collapsed="false">
      <c r="C38" s="144" t="s">
        <v>167</v>
      </c>
      <c r="D38" s="140"/>
      <c r="F38" s="137"/>
    </row>
    <row r="39" customFormat="false" ht="12.75" hidden="true" customHeight="false" outlineLevel="0" collapsed="false">
      <c r="B39" s="132" t="s">
        <v>168</v>
      </c>
      <c r="E39" s="133" t="n">
        <v>0</v>
      </c>
      <c r="F39" s="137"/>
    </row>
    <row r="40" customFormat="false" ht="12.75" hidden="true" customHeight="false" outlineLevel="0" collapsed="false">
      <c r="B40" s="132" t="s">
        <v>169</v>
      </c>
      <c r="E40" s="136" t="n">
        <v>0</v>
      </c>
      <c r="F40" s="137"/>
    </row>
    <row r="41" customFormat="false" ht="12.75" hidden="true" customHeight="false" outlineLevel="0" collapsed="false">
      <c r="B41" s="132"/>
      <c r="E41" s="137"/>
      <c r="F41" s="137"/>
    </row>
    <row r="42" customFormat="false" ht="12.75" hidden="true" customHeight="false" outlineLevel="0" collapsed="false">
      <c r="B42" s="131" t="s">
        <v>170</v>
      </c>
      <c r="F42" s="136" t="n">
        <f aca="false">SUM(E39:E40)</f>
        <v>0</v>
      </c>
    </row>
    <row r="43" customFormat="false" ht="12.75" hidden="true" customHeight="false" outlineLevel="0" collapsed="false">
      <c r="B43" s="131"/>
      <c r="F43" s="137"/>
    </row>
    <row r="45" customFormat="false" ht="12.75" hidden="false" customHeight="false" outlineLevel="0" collapsed="false">
      <c r="B45" s="131" t="s">
        <v>171</v>
      </c>
      <c r="C45" s="131"/>
      <c r="F45" s="145" t="n">
        <f aca="false">F26+F36+F42</f>
        <v>2654692.849828</v>
      </c>
      <c r="H45" s="131" t="s">
        <v>172</v>
      </c>
      <c r="L45" s="146" t="n">
        <f aca="false">L26+L36-0</f>
        <v>2654692.879491</v>
      </c>
    </row>
    <row r="47" customFormat="false" ht="12.75" hidden="false" customHeight="false" outlineLevel="0" collapsed="false">
      <c r="I47" s="143"/>
      <c r="L47" s="137" t="n">
        <f aca="false">+F45-L45</f>
        <v>-0.029663001652807</v>
      </c>
    </row>
    <row r="48" customFormat="false" ht="15" hidden="false" customHeight="false" outlineLevel="0" collapsed="false">
      <c r="F48" s="147" t="n">
        <f aca="false">+F45-L45</f>
        <v>-0.029663001652807</v>
      </c>
      <c r="G48" s="148"/>
    </row>
    <row r="49" customFormat="false" ht="12.75" hidden="false" customHeight="true" outlineLevel="0" collapsed="false">
      <c r="B49" s="149"/>
      <c r="C49" s="149"/>
      <c r="D49" s="149"/>
      <c r="E49" s="149"/>
      <c r="F49" s="149"/>
      <c r="G49" s="149"/>
      <c r="H49" s="149"/>
      <c r="I49" s="149"/>
      <c r="J49" s="149"/>
      <c r="K49" s="149"/>
      <c r="L49" s="149"/>
    </row>
    <row r="50" customFormat="false" ht="12.75" hidden="false" customHeight="true" outlineLevel="0" collapsed="false">
      <c r="B50" s="148"/>
      <c r="C50" s="148"/>
      <c r="D50" s="148"/>
      <c r="E50" s="148"/>
      <c r="F50" s="148"/>
      <c r="G50" s="148"/>
      <c r="H50" s="148"/>
      <c r="I50" s="148"/>
      <c r="J50" s="148"/>
      <c r="K50" s="148"/>
      <c r="L50" s="148"/>
    </row>
    <row r="51" customFormat="false" ht="12.75" hidden="false" customHeight="true" outlineLevel="0" collapsed="false">
      <c r="B51" s="148"/>
      <c r="C51" s="148"/>
      <c r="D51" s="148"/>
      <c r="E51" s="148"/>
      <c r="F51" s="148"/>
      <c r="G51" s="148"/>
      <c r="H51" s="148"/>
      <c r="I51" s="148"/>
      <c r="J51" s="148"/>
      <c r="K51" s="148"/>
      <c r="L51" s="148"/>
    </row>
    <row r="52" customFormat="false" ht="12.75" hidden="false" customHeight="true" outlineLevel="0" collapsed="false">
      <c r="B52" s="148"/>
      <c r="C52" s="148"/>
      <c r="D52" s="148"/>
      <c r="E52" s="148"/>
      <c r="F52" s="148"/>
      <c r="G52" s="148"/>
      <c r="H52" s="148"/>
      <c r="I52" s="148"/>
      <c r="J52" s="148"/>
      <c r="K52" s="148"/>
      <c r="L52" s="148"/>
    </row>
    <row r="53" customFormat="false" ht="12.75" hidden="false" customHeight="true" outlineLevel="0" collapsed="false">
      <c r="B53" s="148"/>
      <c r="C53" s="148"/>
      <c r="D53" s="148"/>
      <c r="E53" s="148"/>
      <c r="F53" s="148"/>
      <c r="G53" s="148"/>
      <c r="H53" s="148"/>
      <c r="I53" s="148"/>
      <c r="J53" s="148"/>
      <c r="K53" s="148"/>
      <c r="L53" s="148"/>
    </row>
    <row r="54" customFormat="false" ht="12.75" hidden="false" customHeight="true" outlineLevel="0" collapsed="false">
      <c r="B54" s="148"/>
      <c r="C54" s="148"/>
      <c r="D54" s="148"/>
      <c r="E54" s="148"/>
      <c r="F54" s="148"/>
      <c r="G54" s="148"/>
      <c r="H54" s="148"/>
      <c r="I54" s="148"/>
      <c r="J54" s="148"/>
      <c r="K54" s="148"/>
      <c r="L54" s="148"/>
    </row>
    <row r="55" customFormat="false" ht="12.75" hidden="false" customHeight="false" outlineLevel="0" collapsed="false">
      <c r="B55" s="150"/>
      <c r="C55" s="150"/>
      <c r="D55" s="150"/>
      <c r="E55" s="150"/>
      <c r="F55" s="150"/>
      <c r="G55" s="151"/>
      <c r="H55" s="150"/>
    </row>
    <row r="56" customFormat="false" ht="12.75" hidden="false" customHeight="false" outlineLevel="0" collapsed="false">
      <c r="B56" s="151"/>
      <c r="C56" s="151"/>
      <c r="D56" s="151"/>
      <c r="E56" s="151"/>
      <c r="F56" s="151"/>
      <c r="G56" s="152"/>
      <c r="H56" s="153"/>
      <c r="I56" s="153"/>
      <c r="J56" s="153"/>
      <c r="K56" s="153"/>
      <c r="L56" s="153"/>
    </row>
    <row r="57" customFormat="false" ht="12.75" hidden="false" customHeight="false" outlineLevel="0" collapsed="false">
      <c r="B57" s="152"/>
      <c r="C57" s="152"/>
      <c r="D57" s="152"/>
      <c r="E57" s="152"/>
      <c r="F57" s="152"/>
      <c r="G57" s="152"/>
      <c r="H57" s="153"/>
      <c r="I57" s="153"/>
      <c r="J57" s="153"/>
      <c r="K57" s="153"/>
      <c r="L57" s="153"/>
    </row>
    <row r="58" customFormat="false" ht="13.5" hidden="false" customHeight="false" outlineLevel="0" collapsed="false">
      <c r="B58" s="154" t="s">
        <v>173</v>
      </c>
      <c r="C58" s="154"/>
      <c r="D58" s="154"/>
      <c r="E58" s="154"/>
      <c r="F58" s="153"/>
      <c r="G58" s="155"/>
      <c r="H58" s="153"/>
      <c r="I58" s="153"/>
      <c r="J58" s="156" t="s">
        <v>174</v>
      </c>
      <c r="K58" s="157"/>
      <c r="L58" s="153"/>
    </row>
    <row r="59" customFormat="false" ht="13.5" hidden="false" customHeight="false" outlineLevel="0" collapsed="false">
      <c r="B59" s="158" t="s">
        <v>175</v>
      </c>
      <c r="C59" s="158"/>
      <c r="D59" s="158"/>
      <c r="E59" s="158"/>
      <c r="F59" s="159"/>
      <c r="G59" s="152"/>
      <c r="H59" s="153"/>
      <c r="I59" s="157"/>
      <c r="J59" s="156" t="s">
        <v>176</v>
      </c>
      <c r="K59" s="157"/>
      <c r="L59" s="153"/>
    </row>
    <row r="60" customFormat="false" ht="12.75" hidden="false" customHeight="false" outlineLevel="0" collapsed="false">
      <c r="B60" s="158" t="s">
        <v>177</v>
      </c>
      <c r="C60" s="158" t="s">
        <v>178</v>
      </c>
      <c r="D60" s="158"/>
      <c r="E60" s="158"/>
      <c r="F60" s="152"/>
      <c r="H60" s="153"/>
      <c r="I60" s="153"/>
      <c r="J60" s="153"/>
      <c r="K60" s="153"/>
      <c r="L60" s="153"/>
    </row>
  </sheetData>
  <mergeCells count="8">
    <mergeCell ref="B5:L5"/>
    <mergeCell ref="B7:L7"/>
    <mergeCell ref="B8:L8"/>
    <mergeCell ref="B9:L9"/>
    <mergeCell ref="B10:L10"/>
    <mergeCell ref="B58:E58"/>
    <mergeCell ref="B59:E59"/>
    <mergeCell ref="B60:E6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87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B11" activeCellId="0" sqref="B11"/>
    </sheetView>
  </sheetViews>
  <sheetFormatPr defaultColWidth="9.109375" defaultRowHeight="12.75" customHeight="false" zeroHeight="false" outlineLevelRow="0" outlineLevelCol="0"/>
  <cols>
    <col collapsed="false" customWidth="true" hidden="false" outlineLevel="0" max="1" min="1" style="54" width="4.33"/>
    <col collapsed="false" customWidth="true" hidden="false" outlineLevel="0" max="2" min="2" style="54" width="13"/>
    <col collapsed="false" customWidth="true" hidden="false" outlineLevel="0" max="3" min="3" style="54" width="24.88"/>
    <col collapsed="false" customWidth="true" hidden="true" outlineLevel="0" max="4" min="4" style="54" width="18.67"/>
    <col collapsed="false" customWidth="true" hidden="true" outlineLevel="0" max="5" min="5" style="54" width="2.67"/>
    <col collapsed="false" customWidth="true" hidden="true" outlineLevel="0" max="6" min="6" style="54" width="1.88"/>
    <col collapsed="false" customWidth="true" hidden="false" outlineLevel="0" max="7" min="7" style="54" width="2.67"/>
    <col collapsed="false" customWidth="true" hidden="false" outlineLevel="0" max="8" min="8" style="160" width="18.67"/>
    <col collapsed="false" customWidth="true" hidden="false" outlineLevel="0" max="9" min="9" style="54" width="2.67"/>
    <col collapsed="false" customWidth="true" hidden="false" outlineLevel="0" max="10" min="10" style="54" width="11.67"/>
    <col collapsed="false" customWidth="true" hidden="false" outlineLevel="0" max="11" min="11" style="54" width="2.67"/>
    <col collapsed="false" customWidth="false" hidden="false" outlineLevel="0" max="12" min="12" style="54" width="9.11"/>
    <col collapsed="false" customWidth="true" hidden="false" outlineLevel="0" max="13" min="13" style="54" width="14.44"/>
    <col collapsed="false" customWidth="true" hidden="false" outlineLevel="0" max="14" min="14" style="54" width="11.44"/>
    <col collapsed="false" customWidth="false" hidden="false" outlineLevel="0" max="16" min="15" style="54" width="9.11"/>
    <col collapsed="false" customWidth="true" hidden="false" outlineLevel="0" max="17" min="17" style="54" width="15"/>
    <col collapsed="false" customWidth="true" hidden="false" outlineLevel="0" max="18" min="18" style="54" width="13.22"/>
    <col collapsed="false" customWidth="false" hidden="false" outlineLevel="0" max="20" min="19" style="54" width="9.11"/>
    <col collapsed="false" customWidth="true" hidden="false" outlineLevel="0" max="21" min="21" style="54" width="13.11"/>
    <col collapsed="false" customWidth="false" hidden="false" outlineLevel="0" max="256" min="22" style="54" width="9.11"/>
    <col collapsed="false" customWidth="true" hidden="false" outlineLevel="0" max="257" min="257" style="54" width="4.33"/>
    <col collapsed="false" customWidth="true" hidden="false" outlineLevel="0" max="258" min="258" style="54" width="13"/>
    <col collapsed="false" customWidth="true" hidden="false" outlineLevel="0" max="259" min="259" style="54" width="24.88"/>
    <col collapsed="false" customWidth="true" hidden="true" outlineLevel="0" max="262" min="260" style="54" width="11.53"/>
    <col collapsed="false" customWidth="true" hidden="false" outlineLevel="0" max="263" min="263" style="54" width="2.67"/>
    <col collapsed="false" customWidth="true" hidden="false" outlineLevel="0" max="264" min="264" style="54" width="18.67"/>
    <col collapsed="false" customWidth="true" hidden="false" outlineLevel="0" max="265" min="265" style="54" width="2.67"/>
    <col collapsed="false" customWidth="true" hidden="false" outlineLevel="0" max="266" min="266" style="54" width="11.67"/>
    <col collapsed="false" customWidth="true" hidden="false" outlineLevel="0" max="267" min="267" style="54" width="2.67"/>
    <col collapsed="false" customWidth="false" hidden="false" outlineLevel="0" max="268" min="268" style="54" width="9.11"/>
    <col collapsed="false" customWidth="true" hidden="false" outlineLevel="0" max="269" min="269" style="54" width="12.67"/>
    <col collapsed="false" customWidth="false" hidden="false" outlineLevel="0" max="512" min="270" style="54" width="9.11"/>
    <col collapsed="false" customWidth="true" hidden="false" outlineLevel="0" max="513" min="513" style="54" width="4.33"/>
    <col collapsed="false" customWidth="true" hidden="false" outlineLevel="0" max="514" min="514" style="54" width="13"/>
    <col collapsed="false" customWidth="true" hidden="false" outlineLevel="0" max="515" min="515" style="54" width="24.88"/>
    <col collapsed="false" customWidth="true" hidden="true" outlineLevel="0" max="518" min="516" style="54" width="11.53"/>
    <col collapsed="false" customWidth="true" hidden="false" outlineLevel="0" max="519" min="519" style="54" width="2.67"/>
    <col collapsed="false" customWidth="true" hidden="false" outlineLevel="0" max="520" min="520" style="54" width="18.67"/>
    <col collapsed="false" customWidth="true" hidden="false" outlineLevel="0" max="521" min="521" style="54" width="2.67"/>
    <col collapsed="false" customWidth="true" hidden="false" outlineLevel="0" max="522" min="522" style="54" width="11.67"/>
    <col collapsed="false" customWidth="true" hidden="false" outlineLevel="0" max="523" min="523" style="54" width="2.67"/>
    <col collapsed="false" customWidth="false" hidden="false" outlineLevel="0" max="524" min="524" style="54" width="9.11"/>
    <col collapsed="false" customWidth="true" hidden="false" outlineLevel="0" max="525" min="525" style="54" width="12.67"/>
    <col collapsed="false" customWidth="false" hidden="false" outlineLevel="0" max="768" min="526" style="54" width="9.11"/>
    <col collapsed="false" customWidth="true" hidden="false" outlineLevel="0" max="769" min="769" style="54" width="4.33"/>
    <col collapsed="false" customWidth="true" hidden="false" outlineLevel="0" max="770" min="770" style="54" width="13"/>
    <col collapsed="false" customWidth="true" hidden="false" outlineLevel="0" max="771" min="771" style="54" width="24.88"/>
    <col collapsed="false" customWidth="true" hidden="true" outlineLevel="0" max="774" min="772" style="54" width="11.53"/>
    <col collapsed="false" customWidth="true" hidden="false" outlineLevel="0" max="775" min="775" style="54" width="2.67"/>
    <col collapsed="false" customWidth="true" hidden="false" outlineLevel="0" max="776" min="776" style="54" width="18.67"/>
    <col collapsed="false" customWidth="true" hidden="false" outlineLevel="0" max="777" min="777" style="54" width="2.67"/>
    <col collapsed="false" customWidth="true" hidden="false" outlineLevel="0" max="778" min="778" style="54" width="11.67"/>
    <col collapsed="false" customWidth="true" hidden="false" outlineLevel="0" max="779" min="779" style="54" width="2.67"/>
    <col collapsed="false" customWidth="false" hidden="false" outlineLevel="0" max="780" min="780" style="54" width="9.11"/>
    <col collapsed="false" customWidth="true" hidden="false" outlineLevel="0" max="781" min="781" style="54" width="12.67"/>
    <col collapsed="false" customWidth="false" hidden="false" outlineLevel="0" max="1024" min="782" style="54" width="9.11"/>
    <col collapsed="false" customWidth="true" hidden="false" outlineLevel="0" max="1025" min="1025" style="54" width="4.33"/>
    <col collapsed="false" customWidth="true" hidden="false" outlineLevel="0" max="1026" min="1026" style="54" width="13"/>
    <col collapsed="false" customWidth="true" hidden="false" outlineLevel="0" max="1027" min="1027" style="54" width="24.88"/>
    <col collapsed="false" customWidth="true" hidden="true" outlineLevel="0" max="1030" min="1028" style="54" width="11.53"/>
    <col collapsed="false" customWidth="true" hidden="false" outlineLevel="0" max="1031" min="1031" style="54" width="2.67"/>
    <col collapsed="false" customWidth="true" hidden="false" outlineLevel="0" max="1032" min="1032" style="54" width="18.67"/>
    <col collapsed="false" customWidth="true" hidden="false" outlineLevel="0" max="1033" min="1033" style="54" width="2.67"/>
    <col collapsed="false" customWidth="true" hidden="false" outlineLevel="0" max="1034" min="1034" style="54" width="11.67"/>
    <col collapsed="false" customWidth="true" hidden="false" outlineLevel="0" max="1035" min="1035" style="54" width="2.67"/>
    <col collapsed="false" customWidth="false" hidden="false" outlineLevel="0" max="1036" min="1036" style="54" width="9.11"/>
    <col collapsed="false" customWidth="true" hidden="false" outlineLevel="0" max="1037" min="1037" style="54" width="12.67"/>
    <col collapsed="false" customWidth="false" hidden="false" outlineLevel="0" max="1280" min="1038" style="54" width="9.11"/>
    <col collapsed="false" customWidth="true" hidden="false" outlineLevel="0" max="1281" min="1281" style="54" width="4.33"/>
    <col collapsed="false" customWidth="true" hidden="false" outlineLevel="0" max="1282" min="1282" style="54" width="13"/>
    <col collapsed="false" customWidth="true" hidden="false" outlineLevel="0" max="1283" min="1283" style="54" width="24.88"/>
    <col collapsed="false" customWidth="true" hidden="true" outlineLevel="0" max="1286" min="1284" style="54" width="11.53"/>
    <col collapsed="false" customWidth="true" hidden="false" outlineLevel="0" max="1287" min="1287" style="54" width="2.67"/>
    <col collapsed="false" customWidth="true" hidden="false" outlineLevel="0" max="1288" min="1288" style="54" width="18.67"/>
    <col collapsed="false" customWidth="true" hidden="false" outlineLevel="0" max="1289" min="1289" style="54" width="2.67"/>
    <col collapsed="false" customWidth="true" hidden="false" outlineLevel="0" max="1290" min="1290" style="54" width="11.67"/>
    <col collapsed="false" customWidth="true" hidden="false" outlineLevel="0" max="1291" min="1291" style="54" width="2.67"/>
    <col collapsed="false" customWidth="false" hidden="false" outlineLevel="0" max="1292" min="1292" style="54" width="9.11"/>
    <col collapsed="false" customWidth="true" hidden="false" outlineLevel="0" max="1293" min="1293" style="54" width="12.67"/>
    <col collapsed="false" customWidth="false" hidden="false" outlineLevel="0" max="1536" min="1294" style="54" width="9.11"/>
    <col collapsed="false" customWidth="true" hidden="false" outlineLevel="0" max="1537" min="1537" style="54" width="4.33"/>
    <col collapsed="false" customWidth="true" hidden="false" outlineLevel="0" max="1538" min="1538" style="54" width="13"/>
    <col collapsed="false" customWidth="true" hidden="false" outlineLevel="0" max="1539" min="1539" style="54" width="24.88"/>
    <col collapsed="false" customWidth="true" hidden="true" outlineLevel="0" max="1542" min="1540" style="54" width="11.53"/>
    <col collapsed="false" customWidth="true" hidden="false" outlineLevel="0" max="1543" min="1543" style="54" width="2.67"/>
    <col collapsed="false" customWidth="true" hidden="false" outlineLevel="0" max="1544" min="1544" style="54" width="18.67"/>
    <col collapsed="false" customWidth="true" hidden="false" outlineLevel="0" max="1545" min="1545" style="54" width="2.67"/>
    <col collapsed="false" customWidth="true" hidden="false" outlineLevel="0" max="1546" min="1546" style="54" width="11.67"/>
    <col collapsed="false" customWidth="true" hidden="false" outlineLevel="0" max="1547" min="1547" style="54" width="2.67"/>
    <col collapsed="false" customWidth="false" hidden="false" outlineLevel="0" max="1548" min="1548" style="54" width="9.11"/>
    <col collapsed="false" customWidth="true" hidden="false" outlineLevel="0" max="1549" min="1549" style="54" width="12.67"/>
    <col collapsed="false" customWidth="false" hidden="false" outlineLevel="0" max="1792" min="1550" style="54" width="9.11"/>
    <col collapsed="false" customWidth="true" hidden="false" outlineLevel="0" max="1793" min="1793" style="54" width="4.33"/>
    <col collapsed="false" customWidth="true" hidden="false" outlineLevel="0" max="1794" min="1794" style="54" width="13"/>
    <col collapsed="false" customWidth="true" hidden="false" outlineLevel="0" max="1795" min="1795" style="54" width="24.88"/>
    <col collapsed="false" customWidth="true" hidden="true" outlineLevel="0" max="1798" min="1796" style="54" width="11.53"/>
    <col collapsed="false" customWidth="true" hidden="false" outlineLevel="0" max="1799" min="1799" style="54" width="2.67"/>
    <col collapsed="false" customWidth="true" hidden="false" outlineLevel="0" max="1800" min="1800" style="54" width="18.67"/>
    <col collapsed="false" customWidth="true" hidden="false" outlineLevel="0" max="1801" min="1801" style="54" width="2.67"/>
    <col collapsed="false" customWidth="true" hidden="false" outlineLevel="0" max="1802" min="1802" style="54" width="11.67"/>
    <col collapsed="false" customWidth="true" hidden="false" outlineLevel="0" max="1803" min="1803" style="54" width="2.67"/>
    <col collapsed="false" customWidth="false" hidden="false" outlineLevel="0" max="1804" min="1804" style="54" width="9.11"/>
    <col collapsed="false" customWidth="true" hidden="false" outlineLevel="0" max="1805" min="1805" style="54" width="12.67"/>
    <col collapsed="false" customWidth="false" hidden="false" outlineLevel="0" max="2048" min="1806" style="54" width="9.11"/>
    <col collapsed="false" customWidth="true" hidden="false" outlineLevel="0" max="2049" min="2049" style="54" width="4.33"/>
    <col collapsed="false" customWidth="true" hidden="false" outlineLevel="0" max="2050" min="2050" style="54" width="13"/>
    <col collapsed="false" customWidth="true" hidden="false" outlineLevel="0" max="2051" min="2051" style="54" width="24.88"/>
    <col collapsed="false" customWidth="true" hidden="true" outlineLevel="0" max="2054" min="2052" style="54" width="11.53"/>
    <col collapsed="false" customWidth="true" hidden="false" outlineLevel="0" max="2055" min="2055" style="54" width="2.67"/>
    <col collapsed="false" customWidth="true" hidden="false" outlineLevel="0" max="2056" min="2056" style="54" width="18.67"/>
    <col collapsed="false" customWidth="true" hidden="false" outlineLevel="0" max="2057" min="2057" style="54" width="2.67"/>
    <col collapsed="false" customWidth="true" hidden="false" outlineLevel="0" max="2058" min="2058" style="54" width="11.67"/>
    <col collapsed="false" customWidth="true" hidden="false" outlineLevel="0" max="2059" min="2059" style="54" width="2.67"/>
    <col collapsed="false" customWidth="false" hidden="false" outlineLevel="0" max="2060" min="2060" style="54" width="9.11"/>
    <col collapsed="false" customWidth="true" hidden="false" outlineLevel="0" max="2061" min="2061" style="54" width="12.67"/>
    <col collapsed="false" customWidth="false" hidden="false" outlineLevel="0" max="2304" min="2062" style="54" width="9.11"/>
    <col collapsed="false" customWidth="true" hidden="false" outlineLevel="0" max="2305" min="2305" style="54" width="4.33"/>
    <col collapsed="false" customWidth="true" hidden="false" outlineLevel="0" max="2306" min="2306" style="54" width="13"/>
    <col collapsed="false" customWidth="true" hidden="false" outlineLevel="0" max="2307" min="2307" style="54" width="24.88"/>
    <col collapsed="false" customWidth="true" hidden="true" outlineLevel="0" max="2310" min="2308" style="54" width="11.53"/>
    <col collapsed="false" customWidth="true" hidden="false" outlineLevel="0" max="2311" min="2311" style="54" width="2.67"/>
    <col collapsed="false" customWidth="true" hidden="false" outlineLevel="0" max="2312" min="2312" style="54" width="18.67"/>
    <col collapsed="false" customWidth="true" hidden="false" outlineLevel="0" max="2313" min="2313" style="54" width="2.67"/>
    <col collapsed="false" customWidth="true" hidden="false" outlineLevel="0" max="2314" min="2314" style="54" width="11.67"/>
    <col collapsed="false" customWidth="true" hidden="false" outlineLevel="0" max="2315" min="2315" style="54" width="2.67"/>
    <col collapsed="false" customWidth="false" hidden="false" outlineLevel="0" max="2316" min="2316" style="54" width="9.11"/>
    <col collapsed="false" customWidth="true" hidden="false" outlineLevel="0" max="2317" min="2317" style="54" width="12.67"/>
    <col collapsed="false" customWidth="false" hidden="false" outlineLevel="0" max="2560" min="2318" style="54" width="9.11"/>
    <col collapsed="false" customWidth="true" hidden="false" outlineLevel="0" max="2561" min="2561" style="54" width="4.33"/>
    <col collapsed="false" customWidth="true" hidden="false" outlineLevel="0" max="2562" min="2562" style="54" width="13"/>
    <col collapsed="false" customWidth="true" hidden="false" outlineLevel="0" max="2563" min="2563" style="54" width="24.88"/>
    <col collapsed="false" customWidth="true" hidden="true" outlineLevel="0" max="2566" min="2564" style="54" width="11.53"/>
    <col collapsed="false" customWidth="true" hidden="false" outlineLevel="0" max="2567" min="2567" style="54" width="2.67"/>
    <col collapsed="false" customWidth="true" hidden="false" outlineLevel="0" max="2568" min="2568" style="54" width="18.67"/>
    <col collapsed="false" customWidth="true" hidden="false" outlineLevel="0" max="2569" min="2569" style="54" width="2.67"/>
    <col collapsed="false" customWidth="true" hidden="false" outlineLevel="0" max="2570" min="2570" style="54" width="11.67"/>
    <col collapsed="false" customWidth="true" hidden="false" outlineLevel="0" max="2571" min="2571" style="54" width="2.67"/>
    <col collapsed="false" customWidth="false" hidden="false" outlineLevel="0" max="2572" min="2572" style="54" width="9.11"/>
    <col collapsed="false" customWidth="true" hidden="false" outlineLevel="0" max="2573" min="2573" style="54" width="12.67"/>
    <col collapsed="false" customWidth="false" hidden="false" outlineLevel="0" max="2816" min="2574" style="54" width="9.11"/>
    <col collapsed="false" customWidth="true" hidden="false" outlineLevel="0" max="2817" min="2817" style="54" width="4.33"/>
    <col collapsed="false" customWidth="true" hidden="false" outlineLevel="0" max="2818" min="2818" style="54" width="13"/>
    <col collapsed="false" customWidth="true" hidden="false" outlineLevel="0" max="2819" min="2819" style="54" width="24.88"/>
    <col collapsed="false" customWidth="true" hidden="true" outlineLevel="0" max="2822" min="2820" style="54" width="11.53"/>
    <col collapsed="false" customWidth="true" hidden="false" outlineLevel="0" max="2823" min="2823" style="54" width="2.67"/>
    <col collapsed="false" customWidth="true" hidden="false" outlineLevel="0" max="2824" min="2824" style="54" width="18.67"/>
    <col collapsed="false" customWidth="true" hidden="false" outlineLevel="0" max="2825" min="2825" style="54" width="2.67"/>
    <col collapsed="false" customWidth="true" hidden="false" outlineLevel="0" max="2826" min="2826" style="54" width="11.67"/>
    <col collapsed="false" customWidth="true" hidden="false" outlineLevel="0" max="2827" min="2827" style="54" width="2.67"/>
    <col collapsed="false" customWidth="false" hidden="false" outlineLevel="0" max="2828" min="2828" style="54" width="9.11"/>
    <col collapsed="false" customWidth="true" hidden="false" outlineLevel="0" max="2829" min="2829" style="54" width="12.67"/>
    <col collapsed="false" customWidth="false" hidden="false" outlineLevel="0" max="3072" min="2830" style="54" width="9.11"/>
    <col collapsed="false" customWidth="true" hidden="false" outlineLevel="0" max="3073" min="3073" style="54" width="4.33"/>
    <col collapsed="false" customWidth="true" hidden="false" outlineLevel="0" max="3074" min="3074" style="54" width="13"/>
    <col collapsed="false" customWidth="true" hidden="false" outlineLevel="0" max="3075" min="3075" style="54" width="24.88"/>
    <col collapsed="false" customWidth="true" hidden="true" outlineLevel="0" max="3078" min="3076" style="54" width="11.53"/>
    <col collapsed="false" customWidth="true" hidden="false" outlineLevel="0" max="3079" min="3079" style="54" width="2.67"/>
    <col collapsed="false" customWidth="true" hidden="false" outlineLevel="0" max="3080" min="3080" style="54" width="18.67"/>
    <col collapsed="false" customWidth="true" hidden="false" outlineLevel="0" max="3081" min="3081" style="54" width="2.67"/>
    <col collapsed="false" customWidth="true" hidden="false" outlineLevel="0" max="3082" min="3082" style="54" width="11.67"/>
    <col collapsed="false" customWidth="true" hidden="false" outlineLevel="0" max="3083" min="3083" style="54" width="2.67"/>
    <col collapsed="false" customWidth="false" hidden="false" outlineLevel="0" max="3084" min="3084" style="54" width="9.11"/>
    <col collapsed="false" customWidth="true" hidden="false" outlineLevel="0" max="3085" min="3085" style="54" width="12.67"/>
    <col collapsed="false" customWidth="false" hidden="false" outlineLevel="0" max="3328" min="3086" style="54" width="9.11"/>
    <col collapsed="false" customWidth="true" hidden="false" outlineLevel="0" max="3329" min="3329" style="54" width="4.33"/>
    <col collapsed="false" customWidth="true" hidden="false" outlineLevel="0" max="3330" min="3330" style="54" width="13"/>
    <col collapsed="false" customWidth="true" hidden="false" outlineLevel="0" max="3331" min="3331" style="54" width="24.88"/>
    <col collapsed="false" customWidth="true" hidden="true" outlineLevel="0" max="3334" min="3332" style="54" width="11.53"/>
    <col collapsed="false" customWidth="true" hidden="false" outlineLevel="0" max="3335" min="3335" style="54" width="2.67"/>
    <col collapsed="false" customWidth="true" hidden="false" outlineLevel="0" max="3336" min="3336" style="54" width="18.67"/>
    <col collapsed="false" customWidth="true" hidden="false" outlineLevel="0" max="3337" min="3337" style="54" width="2.67"/>
    <col collapsed="false" customWidth="true" hidden="false" outlineLevel="0" max="3338" min="3338" style="54" width="11.67"/>
    <col collapsed="false" customWidth="true" hidden="false" outlineLevel="0" max="3339" min="3339" style="54" width="2.67"/>
    <col collapsed="false" customWidth="false" hidden="false" outlineLevel="0" max="3340" min="3340" style="54" width="9.11"/>
    <col collapsed="false" customWidth="true" hidden="false" outlineLevel="0" max="3341" min="3341" style="54" width="12.67"/>
    <col collapsed="false" customWidth="false" hidden="false" outlineLevel="0" max="3584" min="3342" style="54" width="9.11"/>
    <col collapsed="false" customWidth="true" hidden="false" outlineLevel="0" max="3585" min="3585" style="54" width="4.33"/>
    <col collapsed="false" customWidth="true" hidden="false" outlineLevel="0" max="3586" min="3586" style="54" width="13"/>
    <col collapsed="false" customWidth="true" hidden="false" outlineLevel="0" max="3587" min="3587" style="54" width="24.88"/>
    <col collapsed="false" customWidth="true" hidden="true" outlineLevel="0" max="3590" min="3588" style="54" width="11.53"/>
    <col collapsed="false" customWidth="true" hidden="false" outlineLevel="0" max="3591" min="3591" style="54" width="2.67"/>
    <col collapsed="false" customWidth="true" hidden="false" outlineLevel="0" max="3592" min="3592" style="54" width="18.67"/>
    <col collapsed="false" customWidth="true" hidden="false" outlineLevel="0" max="3593" min="3593" style="54" width="2.67"/>
    <col collapsed="false" customWidth="true" hidden="false" outlineLevel="0" max="3594" min="3594" style="54" width="11.67"/>
    <col collapsed="false" customWidth="true" hidden="false" outlineLevel="0" max="3595" min="3595" style="54" width="2.67"/>
    <col collapsed="false" customWidth="false" hidden="false" outlineLevel="0" max="3596" min="3596" style="54" width="9.11"/>
    <col collapsed="false" customWidth="true" hidden="false" outlineLevel="0" max="3597" min="3597" style="54" width="12.67"/>
    <col collapsed="false" customWidth="false" hidden="false" outlineLevel="0" max="3840" min="3598" style="54" width="9.11"/>
    <col collapsed="false" customWidth="true" hidden="false" outlineLevel="0" max="3841" min="3841" style="54" width="4.33"/>
    <col collapsed="false" customWidth="true" hidden="false" outlineLevel="0" max="3842" min="3842" style="54" width="13"/>
    <col collapsed="false" customWidth="true" hidden="false" outlineLevel="0" max="3843" min="3843" style="54" width="24.88"/>
    <col collapsed="false" customWidth="true" hidden="true" outlineLevel="0" max="3846" min="3844" style="54" width="11.53"/>
    <col collapsed="false" customWidth="true" hidden="false" outlineLevel="0" max="3847" min="3847" style="54" width="2.67"/>
    <col collapsed="false" customWidth="true" hidden="false" outlineLevel="0" max="3848" min="3848" style="54" width="18.67"/>
    <col collapsed="false" customWidth="true" hidden="false" outlineLevel="0" max="3849" min="3849" style="54" width="2.67"/>
    <col collapsed="false" customWidth="true" hidden="false" outlineLevel="0" max="3850" min="3850" style="54" width="11.67"/>
    <col collapsed="false" customWidth="true" hidden="false" outlineLevel="0" max="3851" min="3851" style="54" width="2.67"/>
    <col collapsed="false" customWidth="false" hidden="false" outlineLevel="0" max="3852" min="3852" style="54" width="9.11"/>
    <col collapsed="false" customWidth="true" hidden="false" outlineLevel="0" max="3853" min="3853" style="54" width="12.67"/>
    <col collapsed="false" customWidth="false" hidden="false" outlineLevel="0" max="4096" min="3854" style="54" width="9.11"/>
    <col collapsed="false" customWidth="true" hidden="false" outlineLevel="0" max="4097" min="4097" style="54" width="4.33"/>
    <col collapsed="false" customWidth="true" hidden="false" outlineLevel="0" max="4098" min="4098" style="54" width="13"/>
    <col collapsed="false" customWidth="true" hidden="false" outlineLevel="0" max="4099" min="4099" style="54" width="24.88"/>
    <col collapsed="false" customWidth="true" hidden="true" outlineLevel="0" max="4102" min="4100" style="54" width="11.53"/>
    <col collapsed="false" customWidth="true" hidden="false" outlineLevel="0" max="4103" min="4103" style="54" width="2.67"/>
    <col collapsed="false" customWidth="true" hidden="false" outlineLevel="0" max="4104" min="4104" style="54" width="18.67"/>
    <col collapsed="false" customWidth="true" hidden="false" outlineLevel="0" max="4105" min="4105" style="54" width="2.67"/>
    <col collapsed="false" customWidth="true" hidden="false" outlineLevel="0" max="4106" min="4106" style="54" width="11.67"/>
    <col collapsed="false" customWidth="true" hidden="false" outlineLevel="0" max="4107" min="4107" style="54" width="2.67"/>
    <col collapsed="false" customWidth="false" hidden="false" outlineLevel="0" max="4108" min="4108" style="54" width="9.11"/>
    <col collapsed="false" customWidth="true" hidden="false" outlineLevel="0" max="4109" min="4109" style="54" width="12.67"/>
    <col collapsed="false" customWidth="false" hidden="false" outlineLevel="0" max="4352" min="4110" style="54" width="9.11"/>
    <col collapsed="false" customWidth="true" hidden="false" outlineLevel="0" max="4353" min="4353" style="54" width="4.33"/>
    <col collapsed="false" customWidth="true" hidden="false" outlineLevel="0" max="4354" min="4354" style="54" width="13"/>
    <col collapsed="false" customWidth="true" hidden="false" outlineLevel="0" max="4355" min="4355" style="54" width="24.88"/>
    <col collapsed="false" customWidth="true" hidden="true" outlineLevel="0" max="4358" min="4356" style="54" width="11.53"/>
    <col collapsed="false" customWidth="true" hidden="false" outlineLevel="0" max="4359" min="4359" style="54" width="2.67"/>
    <col collapsed="false" customWidth="true" hidden="false" outlineLevel="0" max="4360" min="4360" style="54" width="18.67"/>
    <col collapsed="false" customWidth="true" hidden="false" outlineLevel="0" max="4361" min="4361" style="54" width="2.67"/>
    <col collapsed="false" customWidth="true" hidden="false" outlineLevel="0" max="4362" min="4362" style="54" width="11.67"/>
    <col collapsed="false" customWidth="true" hidden="false" outlineLevel="0" max="4363" min="4363" style="54" width="2.67"/>
    <col collapsed="false" customWidth="false" hidden="false" outlineLevel="0" max="4364" min="4364" style="54" width="9.11"/>
    <col collapsed="false" customWidth="true" hidden="false" outlineLevel="0" max="4365" min="4365" style="54" width="12.67"/>
    <col collapsed="false" customWidth="false" hidden="false" outlineLevel="0" max="4608" min="4366" style="54" width="9.11"/>
    <col collapsed="false" customWidth="true" hidden="false" outlineLevel="0" max="4609" min="4609" style="54" width="4.33"/>
    <col collapsed="false" customWidth="true" hidden="false" outlineLevel="0" max="4610" min="4610" style="54" width="13"/>
    <col collapsed="false" customWidth="true" hidden="false" outlineLevel="0" max="4611" min="4611" style="54" width="24.88"/>
    <col collapsed="false" customWidth="true" hidden="true" outlineLevel="0" max="4614" min="4612" style="54" width="11.53"/>
    <col collapsed="false" customWidth="true" hidden="false" outlineLevel="0" max="4615" min="4615" style="54" width="2.67"/>
    <col collapsed="false" customWidth="true" hidden="false" outlineLevel="0" max="4616" min="4616" style="54" width="18.67"/>
    <col collapsed="false" customWidth="true" hidden="false" outlineLevel="0" max="4617" min="4617" style="54" width="2.67"/>
    <col collapsed="false" customWidth="true" hidden="false" outlineLevel="0" max="4618" min="4618" style="54" width="11.67"/>
    <col collapsed="false" customWidth="true" hidden="false" outlineLevel="0" max="4619" min="4619" style="54" width="2.67"/>
    <col collapsed="false" customWidth="false" hidden="false" outlineLevel="0" max="4620" min="4620" style="54" width="9.11"/>
    <col collapsed="false" customWidth="true" hidden="false" outlineLevel="0" max="4621" min="4621" style="54" width="12.67"/>
    <col collapsed="false" customWidth="false" hidden="false" outlineLevel="0" max="4864" min="4622" style="54" width="9.11"/>
    <col collapsed="false" customWidth="true" hidden="false" outlineLevel="0" max="4865" min="4865" style="54" width="4.33"/>
    <col collapsed="false" customWidth="true" hidden="false" outlineLevel="0" max="4866" min="4866" style="54" width="13"/>
    <col collapsed="false" customWidth="true" hidden="false" outlineLevel="0" max="4867" min="4867" style="54" width="24.88"/>
    <col collapsed="false" customWidth="true" hidden="true" outlineLevel="0" max="4870" min="4868" style="54" width="11.53"/>
    <col collapsed="false" customWidth="true" hidden="false" outlineLevel="0" max="4871" min="4871" style="54" width="2.67"/>
    <col collapsed="false" customWidth="true" hidden="false" outlineLevel="0" max="4872" min="4872" style="54" width="18.67"/>
    <col collapsed="false" customWidth="true" hidden="false" outlineLevel="0" max="4873" min="4873" style="54" width="2.67"/>
    <col collapsed="false" customWidth="true" hidden="false" outlineLevel="0" max="4874" min="4874" style="54" width="11.67"/>
    <col collapsed="false" customWidth="true" hidden="false" outlineLevel="0" max="4875" min="4875" style="54" width="2.67"/>
    <col collapsed="false" customWidth="false" hidden="false" outlineLevel="0" max="4876" min="4876" style="54" width="9.11"/>
    <col collapsed="false" customWidth="true" hidden="false" outlineLevel="0" max="4877" min="4877" style="54" width="12.67"/>
    <col collapsed="false" customWidth="false" hidden="false" outlineLevel="0" max="5120" min="4878" style="54" width="9.11"/>
    <col collapsed="false" customWidth="true" hidden="false" outlineLevel="0" max="5121" min="5121" style="54" width="4.33"/>
    <col collapsed="false" customWidth="true" hidden="false" outlineLevel="0" max="5122" min="5122" style="54" width="13"/>
    <col collapsed="false" customWidth="true" hidden="false" outlineLevel="0" max="5123" min="5123" style="54" width="24.88"/>
    <col collapsed="false" customWidth="true" hidden="true" outlineLevel="0" max="5126" min="5124" style="54" width="11.53"/>
    <col collapsed="false" customWidth="true" hidden="false" outlineLevel="0" max="5127" min="5127" style="54" width="2.67"/>
    <col collapsed="false" customWidth="true" hidden="false" outlineLevel="0" max="5128" min="5128" style="54" width="18.67"/>
    <col collapsed="false" customWidth="true" hidden="false" outlineLevel="0" max="5129" min="5129" style="54" width="2.67"/>
    <col collapsed="false" customWidth="true" hidden="false" outlineLevel="0" max="5130" min="5130" style="54" width="11.67"/>
    <col collapsed="false" customWidth="true" hidden="false" outlineLevel="0" max="5131" min="5131" style="54" width="2.67"/>
    <col collapsed="false" customWidth="false" hidden="false" outlineLevel="0" max="5132" min="5132" style="54" width="9.11"/>
    <col collapsed="false" customWidth="true" hidden="false" outlineLevel="0" max="5133" min="5133" style="54" width="12.67"/>
    <col collapsed="false" customWidth="false" hidden="false" outlineLevel="0" max="5376" min="5134" style="54" width="9.11"/>
    <col collapsed="false" customWidth="true" hidden="false" outlineLevel="0" max="5377" min="5377" style="54" width="4.33"/>
    <col collapsed="false" customWidth="true" hidden="false" outlineLevel="0" max="5378" min="5378" style="54" width="13"/>
    <col collapsed="false" customWidth="true" hidden="false" outlineLevel="0" max="5379" min="5379" style="54" width="24.88"/>
    <col collapsed="false" customWidth="true" hidden="true" outlineLevel="0" max="5382" min="5380" style="54" width="11.53"/>
    <col collapsed="false" customWidth="true" hidden="false" outlineLevel="0" max="5383" min="5383" style="54" width="2.67"/>
    <col collapsed="false" customWidth="true" hidden="false" outlineLevel="0" max="5384" min="5384" style="54" width="18.67"/>
    <col collapsed="false" customWidth="true" hidden="false" outlineLevel="0" max="5385" min="5385" style="54" width="2.67"/>
    <col collapsed="false" customWidth="true" hidden="false" outlineLevel="0" max="5386" min="5386" style="54" width="11.67"/>
    <col collapsed="false" customWidth="true" hidden="false" outlineLevel="0" max="5387" min="5387" style="54" width="2.67"/>
    <col collapsed="false" customWidth="false" hidden="false" outlineLevel="0" max="5388" min="5388" style="54" width="9.11"/>
    <col collapsed="false" customWidth="true" hidden="false" outlineLevel="0" max="5389" min="5389" style="54" width="12.67"/>
    <col collapsed="false" customWidth="false" hidden="false" outlineLevel="0" max="5632" min="5390" style="54" width="9.11"/>
    <col collapsed="false" customWidth="true" hidden="false" outlineLevel="0" max="5633" min="5633" style="54" width="4.33"/>
    <col collapsed="false" customWidth="true" hidden="false" outlineLevel="0" max="5634" min="5634" style="54" width="13"/>
    <col collapsed="false" customWidth="true" hidden="false" outlineLevel="0" max="5635" min="5635" style="54" width="24.88"/>
    <col collapsed="false" customWidth="true" hidden="true" outlineLevel="0" max="5638" min="5636" style="54" width="11.53"/>
    <col collapsed="false" customWidth="true" hidden="false" outlineLevel="0" max="5639" min="5639" style="54" width="2.67"/>
    <col collapsed="false" customWidth="true" hidden="false" outlineLevel="0" max="5640" min="5640" style="54" width="18.67"/>
    <col collapsed="false" customWidth="true" hidden="false" outlineLevel="0" max="5641" min="5641" style="54" width="2.67"/>
    <col collapsed="false" customWidth="true" hidden="false" outlineLevel="0" max="5642" min="5642" style="54" width="11.67"/>
    <col collapsed="false" customWidth="true" hidden="false" outlineLevel="0" max="5643" min="5643" style="54" width="2.67"/>
    <col collapsed="false" customWidth="false" hidden="false" outlineLevel="0" max="5644" min="5644" style="54" width="9.11"/>
    <col collapsed="false" customWidth="true" hidden="false" outlineLevel="0" max="5645" min="5645" style="54" width="12.67"/>
    <col collapsed="false" customWidth="false" hidden="false" outlineLevel="0" max="5888" min="5646" style="54" width="9.11"/>
    <col collapsed="false" customWidth="true" hidden="false" outlineLevel="0" max="5889" min="5889" style="54" width="4.33"/>
    <col collapsed="false" customWidth="true" hidden="false" outlineLevel="0" max="5890" min="5890" style="54" width="13"/>
    <col collapsed="false" customWidth="true" hidden="false" outlineLevel="0" max="5891" min="5891" style="54" width="24.88"/>
    <col collapsed="false" customWidth="true" hidden="true" outlineLevel="0" max="5894" min="5892" style="54" width="11.53"/>
    <col collapsed="false" customWidth="true" hidden="false" outlineLevel="0" max="5895" min="5895" style="54" width="2.67"/>
    <col collapsed="false" customWidth="true" hidden="false" outlineLevel="0" max="5896" min="5896" style="54" width="18.67"/>
    <col collapsed="false" customWidth="true" hidden="false" outlineLevel="0" max="5897" min="5897" style="54" width="2.67"/>
    <col collapsed="false" customWidth="true" hidden="false" outlineLevel="0" max="5898" min="5898" style="54" width="11.67"/>
    <col collapsed="false" customWidth="true" hidden="false" outlineLevel="0" max="5899" min="5899" style="54" width="2.67"/>
    <col collapsed="false" customWidth="false" hidden="false" outlineLevel="0" max="5900" min="5900" style="54" width="9.11"/>
    <col collapsed="false" customWidth="true" hidden="false" outlineLevel="0" max="5901" min="5901" style="54" width="12.67"/>
    <col collapsed="false" customWidth="false" hidden="false" outlineLevel="0" max="6144" min="5902" style="54" width="9.11"/>
    <col collapsed="false" customWidth="true" hidden="false" outlineLevel="0" max="6145" min="6145" style="54" width="4.33"/>
    <col collapsed="false" customWidth="true" hidden="false" outlineLevel="0" max="6146" min="6146" style="54" width="13"/>
    <col collapsed="false" customWidth="true" hidden="false" outlineLevel="0" max="6147" min="6147" style="54" width="24.88"/>
    <col collapsed="false" customWidth="true" hidden="true" outlineLevel="0" max="6150" min="6148" style="54" width="11.53"/>
    <col collapsed="false" customWidth="true" hidden="false" outlineLevel="0" max="6151" min="6151" style="54" width="2.67"/>
    <col collapsed="false" customWidth="true" hidden="false" outlineLevel="0" max="6152" min="6152" style="54" width="18.67"/>
    <col collapsed="false" customWidth="true" hidden="false" outlineLevel="0" max="6153" min="6153" style="54" width="2.67"/>
    <col collapsed="false" customWidth="true" hidden="false" outlineLevel="0" max="6154" min="6154" style="54" width="11.67"/>
    <col collapsed="false" customWidth="true" hidden="false" outlineLevel="0" max="6155" min="6155" style="54" width="2.67"/>
    <col collapsed="false" customWidth="false" hidden="false" outlineLevel="0" max="6156" min="6156" style="54" width="9.11"/>
    <col collapsed="false" customWidth="true" hidden="false" outlineLevel="0" max="6157" min="6157" style="54" width="12.67"/>
    <col collapsed="false" customWidth="false" hidden="false" outlineLevel="0" max="6400" min="6158" style="54" width="9.11"/>
    <col collapsed="false" customWidth="true" hidden="false" outlineLevel="0" max="6401" min="6401" style="54" width="4.33"/>
    <col collapsed="false" customWidth="true" hidden="false" outlineLevel="0" max="6402" min="6402" style="54" width="13"/>
    <col collapsed="false" customWidth="true" hidden="false" outlineLevel="0" max="6403" min="6403" style="54" width="24.88"/>
    <col collapsed="false" customWidth="true" hidden="true" outlineLevel="0" max="6406" min="6404" style="54" width="11.53"/>
    <col collapsed="false" customWidth="true" hidden="false" outlineLevel="0" max="6407" min="6407" style="54" width="2.67"/>
    <col collapsed="false" customWidth="true" hidden="false" outlineLevel="0" max="6408" min="6408" style="54" width="18.67"/>
    <col collapsed="false" customWidth="true" hidden="false" outlineLevel="0" max="6409" min="6409" style="54" width="2.67"/>
    <col collapsed="false" customWidth="true" hidden="false" outlineLevel="0" max="6410" min="6410" style="54" width="11.67"/>
    <col collapsed="false" customWidth="true" hidden="false" outlineLevel="0" max="6411" min="6411" style="54" width="2.67"/>
    <col collapsed="false" customWidth="false" hidden="false" outlineLevel="0" max="6412" min="6412" style="54" width="9.11"/>
    <col collapsed="false" customWidth="true" hidden="false" outlineLevel="0" max="6413" min="6413" style="54" width="12.67"/>
    <col collapsed="false" customWidth="false" hidden="false" outlineLevel="0" max="6656" min="6414" style="54" width="9.11"/>
    <col collapsed="false" customWidth="true" hidden="false" outlineLevel="0" max="6657" min="6657" style="54" width="4.33"/>
    <col collapsed="false" customWidth="true" hidden="false" outlineLevel="0" max="6658" min="6658" style="54" width="13"/>
    <col collapsed="false" customWidth="true" hidden="false" outlineLevel="0" max="6659" min="6659" style="54" width="24.88"/>
    <col collapsed="false" customWidth="true" hidden="true" outlineLevel="0" max="6662" min="6660" style="54" width="11.53"/>
    <col collapsed="false" customWidth="true" hidden="false" outlineLevel="0" max="6663" min="6663" style="54" width="2.67"/>
    <col collapsed="false" customWidth="true" hidden="false" outlineLevel="0" max="6664" min="6664" style="54" width="18.67"/>
    <col collapsed="false" customWidth="true" hidden="false" outlineLevel="0" max="6665" min="6665" style="54" width="2.67"/>
    <col collapsed="false" customWidth="true" hidden="false" outlineLevel="0" max="6666" min="6666" style="54" width="11.67"/>
    <col collapsed="false" customWidth="true" hidden="false" outlineLevel="0" max="6667" min="6667" style="54" width="2.67"/>
    <col collapsed="false" customWidth="false" hidden="false" outlineLevel="0" max="6668" min="6668" style="54" width="9.11"/>
    <col collapsed="false" customWidth="true" hidden="false" outlineLevel="0" max="6669" min="6669" style="54" width="12.67"/>
    <col collapsed="false" customWidth="false" hidden="false" outlineLevel="0" max="6912" min="6670" style="54" width="9.11"/>
    <col collapsed="false" customWidth="true" hidden="false" outlineLevel="0" max="6913" min="6913" style="54" width="4.33"/>
    <col collapsed="false" customWidth="true" hidden="false" outlineLevel="0" max="6914" min="6914" style="54" width="13"/>
    <col collapsed="false" customWidth="true" hidden="false" outlineLevel="0" max="6915" min="6915" style="54" width="24.88"/>
    <col collapsed="false" customWidth="true" hidden="true" outlineLevel="0" max="6918" min="6916" style="54" width="11.53"/>
    <col collapsed="false" customWidth="true" hidden="false" outlineLevel="0" max="6919" min="6919" style="54" width="2.67"/>
    <col collapsed="false" customWidth="true" hidden="false" outlineLevel="0" max="6920" min="6920" style="54" width="18.67"/>
    <col collapsed="false" customWidth="true" hidden="false" outlineLevel="0" max="6921" min="6921" style="54" width="2.67"/>
    <col collapsed="false" customWidth="true" hidden="false" outlineLevel="0" max="6922" min="6922" style="54" width="11.67"/>
    <col collapsed="false" customWidth="true" hidden="false" outlineLevel="0" max="6923" min="6923" style="54" width="2.67"/>
    <col collapsed="false" customWidth="false" hidden="false" outlineLevel="0" max="6924" min="6924" style="54" width="9.11"/>
    <col collapsed="false" customWidth="true" hidden="false" outlineLevel="0" max="6925" min="6925" style="54" width="12.67"/>
    <col collapsed="false" customWidth="false" hidden="false" outlineLevel="0" max="7168" min="6926" style="54" width="9.11"/>
    <col collapsed="false" customWidth="true" hidden="false" outlineLevel="0" max="7169" min="7169" style="54" width="4.33"/>
    <col collapsed="false" customWidth="true" hidden="false" outlineLevel="0" max="7170" min="7170" style="54" width="13"/>
    <col collapsed="false" customWidth="true" hidden="false" outlineLevel="0" max="7171" min="7171" style="54" width="24.88"/>
    <col collapsed="false" customWidth="true" hidden="true" outlineLevel="0" max="7174" min="7172" style="54" width="11.53"/>
    <col collapsed="false" customWidth="true" hidden="false" outlineLevel="0" max="7175" min="7175" style="54" width="2.67"/>
    <col collapsed="false" customWidth="true" hidden="false" outlineLevel="0" max="7176" min="7176" style="54" width="18.67"/>
    <col collapsed="false" customWidth="true" hidden="false" outlineLevel="0" max="7177" min="7177" style="54" width="2.67"/>
    <col collapsed="false" customWidth="true" hidden="false" outlineLevel="0" max="7178" min="7178" style="54" width="11.67"/>
    <col collapsed="false" customWidth="true" hidden="false" outlineLevel="0" max="7179" min="7179" style="54" width="2.67"/>
    <col collapsed="false" customWidth="false" hidden="false" outlineLevel="0" max="7180" min="7180" style="54" width="9.11"/>
    <col collapsed="false" customWidth="true" hidden="false" outlineLevel="0" max="7181" min="7181" style="54" width="12.67"/>
    <col collapsed="false" customWidth="false" hidden="false" outlineLevel="0" max="7424" min="7182" style="54" width="9.11"/>
    <col collapsed="false" customWidth="true" hidden="false" outlineLevel="0" max="7425" min="7425" style="54" width="4.33"/>
    <col collapsed="false" customWidth="true" hidden="false" outlineLevel="0" max="7426" min="7426" style="54" width="13"/>
    <col collapsed="false" customWidth="true" hidden="false" outlineLevel="0" max="7427" min="7427" style="54" width="24.88"/>
    <col collapsed="false" customWidth="true" hidden="true" outlineLevel="0" max="7430" min="7428" style="54" width="11.53"/>
    <col collapsed="false" customWidth="true" hidden="false" outlineLevel="0" max="7431" min="7431" style="54" width="2.67"/>
    <col collapsed="false" customWidth="true" hidden="false" outlineLevel="0" max="7432" min="7432" style="54" width="18.67"/>
    <col collapsed="false" customWidth="true" hidden="false" outlineLevel="0" max="7433" min="7433" style="54" width="2.67"/>
    <col collapsed="false" customWidth="true" hidden="false" outlineLevel="0" max="7434" min="7434" style="54" width="11.67"/>
    <col collapsed="false" customWidth="true" hidden="false" outlineLevel="0" max="7435" min="7435" style="54" width="2.67"/>
    <col collapsed="false" customWidth="false" hidden="false" outlineLevel="0" max="7436" min="7436" style="54" width="9.11"/>
    <col collapsed="false" customWidth="true" hidden="false" outlineLevel="0" max="7437" min="7437" style="54" width="12.67"/>
    <col collapsed="false" customWidth="false" hidden="false" outlineLevel="0" max="7680" min="7438" style="54" width="9.11"/>
    <col collapsed="false" customWidth="true" hidden="false" outlineLevel="0" max="7681" min="7681" style="54" width="4.33"/>
    <col collapsed="false" customWidth="true" hidden="false" outlineLevel="0" max="7682" min="7682" style="54" width="13"/>
    <col collapsed="false" customWidth="true" hidden="false" outlineLevel="0" max="7683" min="7683" style="54" width="24.88"/>
    <col collapsed="false" customWidth="true" hidden="true" outlineLevel="0" max="7686" min="7684" style="54" width="11.53"/>
    <col collapsed="false" customWidth="true" hidden="false" outlineLevel="0" max="7687" min="7687" style="54" width="2.67"/>
    <col collapsed="false" customWidth="true" hidden="false" outlineLevel="0" max="7688" min="7688" style="54" width="18.67"/>
    <col collapsed="false" customWidth="true" hidden="false" outlineLevel="0" max="7689" min="7689" style="54" width="2.67"/>
    <col collapsed="false" customWidth="true" hidden="false" outlineLevel="0" max="7690" min="7690" style="54" width="11.67"/>
    <col collapsed="false" customWidth="true" hidden="false" outlineLevel="0" max="7691" min="7691" style="54" width="2.67"/>
    <col collapsed="false" customWidth="false" hidden="false" outlineLevel="0" max="7692" min="7692" style="54" width="9.11"/>
    <col collapsed="false" customWidth="true" hidden="false" outlineLevel="0" max="7693" min="7693" style="54" width="12.67"/>
    <col collapsed="false" customWidth="false" hidden="false" outlineLevel="0" max="7936" min="7694" style="54" width="9.11"/>
    <col collapsed="false" customWidth="true" hidden="false" outlineLevel="0" max="7937" min="7937" style="54" width="4.33"/>
    <col collapsed="false" customWidth="true" hidden="false" outlineLevel="0" max="7938" min="7938" style="54" width="13"/>
    <col collapsed="false" customWidth="true" hidden="false" outlineLevel="0" max="7939" min="7939" style="54" width="24.88"/>
    <col collapsed="false" customWidth="true" hidden="true" outlineLevel="0" max="7942" min="7940" style="54" width="11.53"/>
    <col collapsed="false" customWidth="true" hidden="false" outlineLevel="0" max="7943" min="7943" style="54" width="2.67"/>
    <col collapsed="false" customWidth="true" hidden="false" outlineLevel="0" max="7944" min="7944" style="54" width="18.67"/>
    <col collapsed="false" customWidth="true" hidden="false" outlineLevel="0" max="7945" min="7945" style="54" width="2.67"/>
    <col collapsed="false" customWidth="true" hidden="false" outlineLevel="0" max="7946" min="7946" style="54" width="11.67"/>
    <col collapsed="false" customWidth="true" hidden="false" outlineLevel="0" max="7947" min="7947" style="54" width="2.67"/>
    <col collapsed="false" customWidth="false" hidden="false" outlineLevel="0" max="7948" min="7948" style="54" width="9.11"/>
    <col collapsed="false" customWidth="true" hidden="false" outlineLevel="0" max="7949" min="7949" style="54" width="12.67"/>
    <col collapsed="false" customWidth="false" hidden="false" outlineLevel="0" max="8192" min="7950" style="54" width="9.11"/>
    <col collapsed="false" customWidth="true" hidden="false" outlineLevel="0" max="8193" min="8193" style="54" width="4.33"/>
    <col collapsed="false" customWidth="true" hidden="false" outlineLevel="0" max="8194" min="8194" style="54" width="13"/>
    <col collapsed="false" customWidth="true" hidden="false" outlineLevel="0" max="8195" min="8195" style="54" width="24.88"/>
    <col collapsed="false" customWidth="true" hidden="true" outlineLevel="0" max="8198" min="8196" style="54" width="11.53"/>
    <col collapsed="false" customWidth="true" hidden="false" outlineLevel="0" max="8199" min="8199" style="54" width="2.67"/>
    <col collapsed="false" customWidth="true" hidden="false" outlineLevel="0" max="8200" min="8200" style="54" width="18.67"/>
    <col collapsed="false" customWidth="true" hidden="false" outlineLevel="0" max="8201" min="8201" style="54" width="2.67"/>
    <col collapsed="false" customWidth="true" hidden="false" outlineLevel="0" max="8202" min="8202" style="54" width="11.67"/>
    <col collapsed="false" customWidth="true" hidden="false" outlineLevel="0" max="8203" min="8203" style="54" width="2.67"/>
    <col collapsed="false" customWidth="false" hidden="false" outlineLevel="0" max="8204" min="8204" style="54" width="9.11"/>
    <col collapsed="false" customWidth="true" hidden="false" outlineLevel="0" max="8205" min="8205" style="54" width="12.67"/>
    <col collapsed="false" customWidth="false" hidden="false" outlineLevel="0" max="8448" min="8206" style="54" width="9.11"/>
    <col collapsed="false" customWidth="true" hidden="false" outlineLevel="0" max="8449" min="8449" style="54" width="4.33"/>
    <col collapsed="false" customWidth="true" hidden="false" outlineLevel="0" max="8450" min="8450" style="54" width="13"/>
    <col collapsed="false" customWidth="true" hidden="false" outlineLevel="0" max="8451" min="8451" style="54" width="24.88"/>
    <col collapsed="false" customWidth="true" hidden="true" outlineLevel="0" max="8454" min="8452" style="54" width="11.53"/>
    <col collapsed="false" customWidth="true" hidden="false" outlineLevel="0" max="8455" min="8455" style="54" width="2.67"/>
    <col collapsed="false" customWidth="true" hidden="false" outlineLevel="0" max="8456" min="8456" style="54" width="18.67"/>
    <col collapsed="false" customWidth="true" hidden="false" outlineLevel="0" max="8457" min="8457" style="54" width="2.67"/>
    <col collapsed="false" customWidth="true" hidden="false" outlineLevel="0" max="8458" min="8458" style="54" width="11.67"/>
    <col collapsed="false" customWidth="true" hidden="false" outlineLevel="0" max="8459" min="8459" style="54" width="2.67"/>
    <col collapsed="false" customWidth="false" hidden="false" outlineLevel="0" max="8460" min="8460" style="54" width="9.11"/>
    <col collapsed="false" customWidth="true" hidden="false" outlineLevel="0" max="8461" min="8461" style="54" width="12.67"/>
    <col collapsed="false" customWidth="false" hidden="false" outlineLevel="0" max="8704" min="8462" style="54" width="9.11"/>
    <col collapsed="false" customWidth="true" hidden="false" outlineLevel="0" max="8705" min="8705" style="54" width="4.33"/>
    <col collapsed="false" customWidth="true" hidden="false" outlineLevel="0" max="8706" min="8706" style="54" width="13"/>
    <col collapsed="false" customWidth="true" hidden="false" outlineLevel="0" max="8707" min="8707" style="54" width="24.88"/>
    <col collapsed="false" customWidth="true" hidden="true" outlineLevel="0" max="8710" min="8708" style="54" width="11.53"/>
    <col collapsed="false" customWidth="true" hidden="false" outlineLevel="0" max="8711" min="8711" style="54" width="2.67"/>
    <col collapsed="false" customWidth="true" hidden="false" outlineLevel="0" max="8712" min="8712" style="54" width="18.67"/>
    <col collapsed="false" customWidth="true" hidden="false" outlineLevel="0" max="8713" min="8713" style="54" width="2.67"/>
    <col collapsed="false" customWidth="true" hidden="false" outlineLevel="0" max="8714" min="8714" style="54" width="11.67"/>
    <col collapsed="false" customWidth="true" hidden="false" outlineLevel="0" max="8715" min="8715" style="54" width="2.67"/>
    <col collapsed="false" customWidth="false" hidden="false" outlineLevel="0" max="8716" min="8716" style="54" width="9.11"/>
    <col collapsed="false" customWidth="true" hidden="false" outlineLevel="0" max="8717" min="8717" style="54" width="12.67"/>
    <col collapsed="false" customWidth="false" hidden="false" outlineLevel="0" max="8960" min="8718" style="54" width="9.11"/>
    <col collapsed="false" customWidth="true" hidden="false" outlineLevel="0" max="8961" min="8961" style="54" width="4.33"/>
    <col collapsed="false" customWidth="true" hidden="false" outlineLevel="0" max="8962" min="8962" style="54" width="13"/>
    <col collapsed="false" customWidth="true" hidden="false" outlineLevel="0" max="8963" min="8963" style="54" width="24.88"/>
    <col collapsed="false" customWidth="true" hidden="true" outlineLevel="0" max="8966" min="8964" style="54" width="11.53"/>
    <col collapsed="false" customWidth="true" hidden="false" outlineLevel="0" max="8967" min="8967" style="54" width="2.67"/>
    <col collapsed="false" customWidth="true" hidden="false" outlineLevel="0" max="8968" min="8968" style="54" width="18.67"/>
    <col collapsed="false" customWidth="true" hidden="false" outlineLevel="0" max="8969" min="8969" style="54" width="2.67"/>
    <col collapsed="false" customWidth="true" hidden="false" outlineLevel="0" max="8970" min="8970" style="54" width="11.67"/>
    <col collapsed="false" customWidth="true" hidden="false" outlineLevel="0" max="8971" min="8971" style="54" width="2.67"/>
    <col collapsed="false" customWidth="false" hidden="false" outlineLevel="0" max="8972" min="8972" style="54" width="9.11"/>
    <col collapsed="false" customWidth="true" hidden="false" outlineLevel="0" max="8973" min="8973" style="54" width="12.67"/>
    <col collapsed="false" customWidth="false" hidden="false" outlineLevel="0" max="9216" min="8974" style="54" width="9.11"/>
    <col collapsed="false" customWidth="true" hidden="false" outlineLevel="0" max="9217" min="9217" style="54" width="4.33"/>
    <col collapsed="false" customWidth="true" hidden="false" outlineLevel="0" max="9218" min="9218" style="54" width="13"/>
    <col collapsed="false" customWidth="true" hidden="false" outlineLevel="0" max="9219" min="9219" style="54" width="24.88"/>
    <col collapsed="false" customWidth="true" hidden="true" outlineLevel="0" max="9222" min="9220" style="54" width="11.53"/>
    <col collapsed="false" customWidth="true" hidden="false" outlineLevel="0" max="9223" min="9223" style="54" width="2.67"/>
    <col collapsed="false" customWidth="true" hidden="false" outlineLevel="0" max="9224" min="9224" style="54" width="18.67"/>
    <col collapsed="false" customWidth="true" hidden="false" outlineLevel="0" max="9225" min="9225" style="54" width="2.67"/>
    <col collapsed="false" customWidth="true" hidden="false" outlineLevel="0" max="9226" min="9226" style="54" width="11.67"/>
    <col collapsed="false" customWidth="true" hidden="false" outlineLevel="0" max="9227" min="9227" style="54" width="2.67"/>
    <col collapsed="false" customWidth="false" hidden="false" outlineLevel="0" max="9228" min="9228" style="54" width="9.11"/>
    <col collapsed="false" customWidth="true" hidden="false" outlineLevel="0" max="9229" min="9229" style="54" width="12.67"/>
    <col collapsed="false" customWidth="false" hidden="false" outlineLevel="0" max="9472" min="9230" style="54" width="9.11"/>
    <col collapsed="false" customWidth="true" hidden="false" outlineLevel="0" max="9473" min="9473" style="54" width="4.33"/>
    <col collapsed="false" customWidth="true" hidden="false" outlineLevel="0" max="9474" min="9474" style="54" width="13"/>
    <col collapsed="false" customWidth="true" hidden="false" outlineLevel="0" max="9475" min="9475" style="54" width="24.88"/>
    <col collapsed="false" customWidth="true" hidden="true" outlineLevel="0" max="9478" min="9476" style="54" width="11.53"/>
    <col collapsed="false" customWidth="true" hidden="false" outlineLevel="0" max="9479" min="9479" style="54" width="2.67"/>
    <col collapsed="false" customWidth="true" hidden="false" outlineLevel="0" max="9480" min="9480" style="54" width="18.67"/>
    <col collapsed="false" customWidth="true" hidden="false" outlineLevel="0" max="9481" min="9481" style="54" width="2.67"/>
    <col collapsed="false" customWidth="true" hidden="false" outlineLevel="0" max="9482" min="9482" style="54" width="11.67"/>
    <col collapsed="false" customWidth="true" hidden="false" outlineLevel="0" max="9483" min="9483" style="54" width="2.67"/>
    <col collapsed="false" customWidth="false" hidden="false" outlineLevel="0" max="9484" min="9484" style="54" width="9.11"/>
    <col collapsed="false" customWidth="true" hidden="false" outlineLevel="0" max="9485" min="9485" style="54" width="12.67"/>
    <col collapsed="false" customWidth="false" hidden="false" outlineLevel="0" max="9728" min="9486" style="54" width="9.11"/>
    <col collapsed="false" customWidth="true" hidden="false" outlineLevel="0" max="9729" min="9729" style="54" width="4.33"/>
    <col collapsed="false" customWidth="true" hidden="false" outlineLevel="0" max="9730" min="9730" style="54" width="13"/>
    <col collapsed="false" customWidth="true" hidden="false" outlineLevel="0" max="9731" min="9731" style="54" width="24.88"/>
    <col collapsed="false" customWidth="true" hidden="true" outlineLevel="0" max="9734" min="9732" style="54" width="11.53"/>
    <col collapsed="false" customWidth="true" hidden="false" outlineLevel="0" max="9735" min="9735" style="54" width="2.67"/>
    <col collapsed="false" customWidth="true" hidden="false" outlineLevel="0" max="9736" min="9736" style="54" width="18.67"/>
    <col collapsed="false" customWidth="true" hidden="false" outlineLevel="0" max="9737" min="9737" style="54" width="2.67"/>
    <col collapsed="false" customWidth="true" hidden="false" outlineLevel="0" max="9738" min="9738" style="54" width="11.67"/>
    <col collapsed="false" customWidth="true" hidden="false" outlineLevel="0" max="9739" min="9739" style="54" width="2.67"/>
    <col collapsed="false" customWidth="false" hidden="false" outlineLevel="0" max="9740" min="9740" style="54" width="9.11"/>
    <col collapsed="false" customWidth="true" hidden="false" outlineLevel="0" max="9741" min="9741" style="54" width="12.67"/>
    <col collapsed="false" customWidth="false" hidden="false" outlineLevel="0" max="9984" min="9742" style="54" width="9.11"/>
    <col collapsed="false" customWidth="true" hidden="false" outlineLevel="0" max="9985" min="9985" style="54" width="4.33"/>
    <col collapsed="false" customWidth="true" hidden="false" outlineLevel="0" max="9986" min="9986" style="54" width="13"/>
    <col collapsed="false" customWidth="true" hidden="false" outlineLevel="0" max="9987" min="9987" style="54" width="24.88"/>
    <col collapsed="false" customWidth="true" hidden="true" outlineLevel="0" max="9990" min="9988" style="54" width="11.53"/>
    <col collapsed="false" customWidth="true" hidden="false" outlineLevel="0" max="9991" min="9991" style="54" width="2.67"/>
    <col collapsed="false" customWidth="true" hidden="false" outlineLevel="0" max="9992" min="9992" style="54" width="18.67"/>
    <col collapsed="false" customWidth="true" hidden="false" outlineLevel="0" max="9993" min="9993" style="54" width="2.67"/>
    <col collapsed="false" customWidth="true" hidden="false" outlineLevel="0" max="9994" min="9994" style="54" width="11.67"/>
    <col collapsed="false" customWidth="true" hidden="false" outlineLevel="0" max="9995" min="9995" style="54" width="2.67"/>
    <col collapsed="false" customWidth="false" hidden="false" outlineLevel="0" max="9996" min="9996" style="54" width="9.11"/>
    <col collapsed="false" customWidth="true" hidden="false" outlineLevel="0" max="9997" min="9997" style="54" width="12.67"/>
    <col collapsed="false" customWidth="false" hidden="false" outlineLevel="0" max="10240" min="9998" style="54" width="9.11"/>
    <col collapsed="false" customWidth="true" hidden="false" outlineLevel="0" max="10241" min="10241" style="54" width="4.33"/>
    <col collapsed="false" customWidth="true" hidden="false" outlineLevel="0" max="10242" min="10242" style="54" width="13"/>
    <col collapsed="false" customWidth="true" hidden="false" outlineLevel="0" max="10243" min="10243" style="54" width="24.88"/>
    <col collapsed="false" customWidth="true" hidden="true" outlineLevel="0" max="10246" min="10244" style="54" width="11.53"/>
    <col collapsed="false" customWidth="true" hidden="false" outlineLevel="0" max="10247" min="10247" style="54" width="2.67"/>
    <col collapsed="false" customWidth="true" hidden="false" outlineLevel="0" max="10248" min="10248" style="54" width="18.67"/>
    <col collapsed="false" customWidth="true" hidden="false" outlineLevel="0" max="10249" min="10249" style="54" width="2.67"/>
    <col collapsed="false" customWidth="true" hidden="false" outlineLevel="0" max="10250" min="10250" style="54" width="11.67"/>
    <col collapsed="false" customWidth="true" hidden="false" outlineLevel="0" max="10251" min="10251" style="54" width="2.67"/>
    <col collapsed="false" customWidth="false" hidden="false" outlineLevel="0" max="10252" min="10252" style="54" width="9.11"/>
    <col collapsed="false" customWidth="true" hidden="false" outlineLevel="0" max="10253" min="10253" style="54" width="12.67"/>
    <col collapsed="false" customWidth="false" hidden="false" outlineLevel="0" max="10496" min="10254" style="54" width="9.11"/>
    <col collapsed="false" customWidth="true" hidden="false" outlineLevel="0" max="10497" min="10497" style="54" width="4.33"/>
    <col collapsed="false" customWidth="true" hidden="false" outlineLevel="0" max="10498" min="10498" style="54" width="13"/>
    <col collapsed="false" customWidth="true" hidden="false" outlineLevel="0" max="10499" min="10499" style="54" width="24.88"/>
    <col collapsed="false" customWidth="true" hidden="true" outlineLevel="0" max="10502" min="10500" style="54" width="11.53"/>
    <col collapsed="false" customWidth="true" hidden="false" outlineLevel="0" max="10503" min="10503" style="54" width="2.67"/>
    <col collapsed="false" customWidth="true" hidden="false" outlineLevel="0" max="10504" min="10504" style="54" width="18.67"/>
    <col collapsed="false" customWidth="true" hidden="false" outlineLevel="0" max="10505" min="10505" style="54" width="2.67"/>
    <col collapsed="false" customWidth="true" hidden="false" outlineLevel="0" max="10506" min="10506" style="54" width="11.67"/>
    <col collapsed="false" customWidth="true" hidden="false" outlineLevel="0" max="10507" min="10507" style="54" width="2.67"/>
    <col collapsed="false" customWidth="false" hidden="false" outlineLevel="0" max="10508" min="10508" style="54" width="9.11"/>
    <col collapsed="false" customWidth="true" hidden="false" outlineLevel="0" max="10509" min="10509" style="54" width="12.67"/>
    <col collapsed="false" customWidth="false" hidden="false" outlineLevel="0" max="10752" min="10510" style="54" width="9.11"/>
    <col collapsed="false" customWidth="true" hidden="false" outlineLevel="0" max="10753" min="10753" style="54" width="4.33"/>
    <col collapsed="false" customWidth="true" hidden="false" outlineLevel="0" max="10754" min="10754" style="54" width="13"/>
    <col collapsed="false" customWidth="true" hidden="false" outlineLevel="0" max="10755" min="10755" style="54" width="24.88"/>
    <col collapsed="false" customWidth="true" hidden="true" outlineLevel="0" max="10758" min="10756" style="54" width="11.53"/>
    <col collapsed="false" customWidth="true" hidden="false" outlineLevel="0" max="10759" min="10759" style="54" width="2.67"/>
    <col collapsed="false" customWidth="true" hidden="false" outlineLevel="0" max="10760" min="10760" style="54" width="18.67"/>
    <col collapsed="false" customWidth="true" hidden="false" outlineLevel="0" max="10761" min="10761" style="54" width="2.67"/>
    <col collapsed="false" customWidth="true" hidden="false" outlineLevel="0" max="10762" min="10762" style="54" width="11.67"/>
    <col collapsed="false" customWidth="true" hidden="false" outlineLevel="0" max="10763" min="10763" style="54" width="2.67"/>
    <col collapsed="false" customWidth="false" hidden="false" outlineLevel="0" max="10764" min="10764" style="54" width="9.11"/>
    <col collapsed="false" customWidth="true" hidden="false" outlineLevel="0" max="10765" min="10765" style="54" width="12.67"/>
    <col collapsed="false" customWidth="false" hidden="false" outlineLevel="0" max="11008" min="10766" style="54" width="9.11"/>
    <col collapsed="false" customWidth="true" hidden="false" outlineLevel="0" max="11009" min="11009" style="54" width="4.33"/>
    <col collapsed="false" customWidth="true" hidden="false" outlineLevel="0" max="11010" min="11010" style="54" width="13"/>
    <col collapsed="false" customWidth="true" hidden="false" outlineLevel="0" max="11011" min="11011" style="54" width="24.88"/>
    <col collapsed="false" customWidth="true" hidden="true" outlineLevel="0" max="11014" min="11012" style="54" width="11.53"/>
    <col collapsed="false" customWidth="true" hidden="false" outlineLevel="0" max="11015" min="11015" style="54" width="2.67"/>
    <col collapsed="false" customWidth="true" hidden="false" outlineLevel="0" max="11016" min="11016" style="54" width="18.67"/>
    <col collapsed="false" customWidth="true" hidden="false" outlineLevel="0" max="11017" min="11017" style="54" width="2.67"/>
    <col collapsed="false" customWidth="true" hidden="false" outlineLevel="0" max="11018" min="11018" style="54" width="11.67"/>
    <col collapsed="false" customWidth="true" hidden="false" outlineLevel="0" max="11019" min="11019" style="54" width="2.67"/>
    <col collapsed="false" customWidth="false" hidden="false" outlineLevel="0" max="11020" min="11020" style="54" width="9.11"/>
    <col collapsed="false" customWidth="true" hidden="false" outlineLevel="0" max="11021" min="11021" style="54" width="12.67"/>
    <col collapsed="false" customWidth="false" hidden="false" outlineLevel="0" max="11264" min="11022" style="54" width="9.11"/>
    <col collapsed="false" customWidth="true" hidden="false" outlineLevel="0" max="11265" min="11265" style="54" width="4.33"/>
    <col collapsed="false" customWidth="true" hidden="false" outlineLevel="0" max="11266" min="11266" style="54" width="13"/>
    <col collapsed="false" customWidth="true" hidden="false" outlineLevel="0" max="11267" min="11267" style="54" width="24.88"/>
    <col collapsed="false" customWidth="true" hidden="true" outlineLevel="0" max="11270" min="11268" style="54" width="11.53"/>
    <col collapsed="false" customWidth="true" hidden="false" outlineLevel="0" max="11271" min="11271" style="54" width="2.67"/>
    <col collapsed="false" customWidth="true" hidden="false" outlineLevel="0" max="11272" min="11272" style="54" width="18.67"/>
    <col collapsed="false" customWidth="true" hidden="false" outlineLevel="0" max="11273" min="11273" style="54" width="2.67"/>
    <col collapsed="false" customWidth="true" hidden="false" outlineLevel="0" max="11274" min="11274" style="54" width="11.67"/>
    <col collapsed="false" customWidth="true" hidden="false" outlineLevel="0" max="11275" min="11275" style="54" width="2.67"/>
    <col collapsed="false" customWidth="false" hidden="false" outlineLevel="0" max="11276" min="11276" style="54" width="9.11"/>
    <col collapsed="false" customWidth="true" hidden="false" outlineLevel="0" max="11277" min="11277" style="54" width="12.67"/>
    <col collapsed="false" customWidth="false" hidden="false" outlineLevel="0" max="11520" min="11278" style="54" width="9.11"/>
    <col collapsed="false" customWidth="true" hidden="false" outlineLevel="0" max="11521" min="11521" style="54" width="4.33"/>
    <col collapsed="false" customWidth="true" hidden="false" outlineLevel="0" max="11522" min="11522" style="54" width="13"/>
    <col collapsed="false" customWidth="true" hidden="false" outlineLevel="0" max="11523" min="11523" style="54" width="24.88"/>
    <col collapsed="false" customWidth="true" hidden="true" outlineLevel="0" max="11526" min="11524" style="54" width="11.53"/>
    <col collapsed="false" customWidth="true" hidden="false" outlineLevel="0" max="11527" min="11527" style="54" width="2.67"/>
    <col collapsed="false" customWidth="true" hidden="false" outlineLevel="0" max="11528" min="11528" style="54" width="18.67"/>
    <col collapsed="false" customWidth="true" hidden="false" outlineLevel="0" max="11529" min="11529" style="54" width="2.67"/>
    <col collapsed="false" customWidth="true" hidden="false" outlineLevel="0" max="11530" min="11530" style="54" width="11.67"/>
    <col collapsed="false" customWidth="true" hidden="false" outlineLevel="0" max="11531" min="11531" style="54" width="2.67"/>
    <col collapsed="false" customWidth="false" hidden="false" outlineLevel="0" max="11532" min="11532" style="54" width="9.11"/>
    <col collapsed="false" customWidth="true" hidden="false" outlineLevel="0" max="11533" min="11533" style="54" width="12.67"/>
    <col collapsed="false" customWidth="false" hidden="false" outlineLevel="0" max="11776" min="11534" style="54" width="9.11"/>
    <col collapsed="false" customWidth="true" hidden="false" outlineLevel="0" max="11777" min="11777" style="54" width="4.33"/>
    <col collapsed="false" customWidth="true" hidden="false" outlineLevel="0" max="11778" min="11778" style="54" width="13"/>
    <col collapsed="false" customWidth="true" hidden="false" outlineLevel="0" max="11779" min="11779" style="54" width="24.88"/>
    <col collapsed="false" customWidth="true" hidden="true" outlineLevel="0" max="11782" min="11780" style="54" width="11.53"/>
    <col collapsed="false" customWidth="true" hidden="false" outlineLevel="0" max="11783" min="11783" style="54" width="2.67"/>
    <col collapsed="false" customWidth="true" hidden="false" outlineLevel="0" max="11784" min="11784" style="54" width="18.67"/>
    <col collapsed="false" customWidth="true" hidden="false" outlineLevel="0" max="11785" min="11785" style="54" width="2.67"/>
    <col collapsed="false" customWidth="true" hidden="false" outlineLevel="0" max="11786" min="11786" style="54" width="11.67"/>
    <col collapsed="false" customWidth="true" hidden="false" outlineLevel="0" max="11787" min="11787" style="54" width="2.67"/>
    <col collapsed="false" customWidth="false" hidden="false" outlineLevel="0" max="11788" min="11788" style="54" width="9.11"/>
    <col collapsed="false" customWidth="true" hidden="false" outlineLevel="0" max="11789" min="11789" style="54" width="12.67"/>
    <col collapsed="false" customWidth="false" hidden="false" outlineLevel="0" max="12032" min="11790" style="54" width="9.11"/>
    <col collapsed="false" customWidth="true" hidden="false" outlineLevel="0" max="12033" min="12033" style="54" width="4.33"/>
    <col collapsed="false" customWidth="true" hidden="false" outlineLevel="0" max="12034" min="12034" style="54" width="13"/>
    <col collapsed="false" customWidth="true" hidden="false" outlineLevel="0" max="12035" min="12035" style="54" width="24.88"/>
    <col collapsed="false" customWidth="true" hidden="true" outlineLevel="0" max="12038" min="12036" style="54" width="11.53"/>
    <col collapsed="false" customWidth="true" hidden="false" outlineLevel="0" max="12039" min="12039" style="54" width="2.67"/>
    <col collapsed="false" customWidth="true" hidden="false" outlineLevel="0" max="12040" min="12040" style="54" width="18.67"/>
    <col collapsed="false" customWidth="true" hidden="false" outlineLevel="0" max="12041" min="12041" style="54" width="2.67"/>
    <col collapsed="false" customWidth="true" hidden="false" outlineLevel="0" max="12042" min="12042" style="54" width="11.67"/>
    <col collapsed="false" customWidth="true" hidden="false" outlineLevel="0" max="12043" min="12043" style="54" width="2.67"/>
    <col collapsed="false" customWidth="false" hidden="false" outlineLevel="0" max="12044" min="12044" style="54" width="9.11"/>
    <col collapsed="false" customWidth="true" hidden="false" outlineLevel="0" max="12045" min="12045" style="54" width="12.67"/>
    <col collapsed="false" customWidth="false" hidden="false" outlineLevel="0" max="12288" min="12046" style="54" width="9.11"/>
    <col collapsed="false" customWidth="true" hidden="false" outlineLevel="0" max="12289" min="12289" style="54" width="4.33"/>
    <col collapsed="false" customWidth="true" hidden="false" outlineLevel="0" max="12290" min="12290" style="54" width="13"/>
    <col collapsed="false" customWidth="true" hidden="false" outlineLevel="0" max="12291" min="12291" style="54" width="24.88"/>
    <col collapsed="false" customWidth="true" hidden="true" outlineLevel="0" max="12294" min="12292" style="54" width="11.53"/>
    <col collapsed="false" customWidth="true" hidden="false" outlineLevel="0" max="12295" min="12295" style="54" width="2.67"/>
    <col collapsed="false" customWidth="true" hidden="false" outlineLevel="0" max="12296" min="12296" style="54" width="18.67"/>
    <col collapsed="false" customWidth="true" hidden="false" outlineLevel="0" max="12297" min="12297" style="54" width="2.67"/>
    <col collapsed="false" customWidth="true" hidden="false" outlineLevel="0" max="12298" min="12298" style="54" width="11.67"/>
    <col collapsed="false" customWidth="true" hidden="false" outlineLevel="0" max="12299" min="12299" style="54" width="2.67"/>
    <col collapsed="false" customWidth="false" hidden="false" outlineLevel="0" max="12300" min="12300" style="54" width="9.11"/>
    <col collapsed="false" customWidth="true" hidden="false" outlineLevel="0" max="12301" min="12301" style="54" width="12.67"/>
    <col collapsed="false" customWidth="false" hidden="false" outlineLevel="0" max="12544" min="12302" style="54" width="9.11"/>
    <col collapsed="false" customWidth="true" hidden="false" outlineLevel="0" max="12545" min="12545" style="54" width="4.33"/>
    <col collapsed="false" customWidth="true" hidden="false" outlineLevel="0" max="12546" min="12546" style="54" width="13"/>
    <col collapsed="false" customWidth="true" hidden="false" outlineLevel="0" max="12547" min="12547" style="54" width="24.88"/>
    <col collapsed="false" customWidth="true" hidden="true" outlineLevel="0" max="12550" min="12548" style="54" width="11.53"/>
    <col collapsed="false" customWidth="true" hidden="false" outlineLevel="0" max="12551" min="12551" style="54" width="2.67"/>
    <col collapsed="false" customWidth="true" hidden="false" outlineLevel="0" max="12552" min="12552" style="54" width="18.67"/>
    <col collapsed="false" customWidth="true" hidden="false" outlineLevel="0" max="12553" min="12553" style="54" width="2.67"/>
    <col collapsed="false" customWidth="true" hidden="false" outlineLevel="0" max="12554" min="12554" style="54" width="11.67"/>
    <col collapsed="false" customWidth="true" hidden="false" outlineLevel="0" max="12555" min="12555" style="54" width="2.67"/>
    <col collapsed="false" customWidth="false" hidden="false" outlineLevel="0" max="12556" min="12556" style="54" width="9.11"/>
    <col collapsed="false" customWidth="true" hidden="false" outlineLevel="0" max="12557" min="12557" style="54" width="12.67"/>
    <col collapsed="false" customWidth="false" hidden="false" outlineLevel="0" max="12800" min="12558" style="54" width="9.11"/>
    <col collapsed="false" customWidth="true" hidden="false" outlineLevel="0" max="12801" min="12801" style="54" width="4.33"/>
    <col collapsed="false" customWidth="true" hidden="false" outlineLevel="0" max="12802" min="12802" style="54" width="13"/>
    <col collapsed="false" customWidth="true" hidden="false" outlineLevel="0" max="12803" min="12803" style="54" width="24.88"/>
    <col collapsed="false" customWidth="true" hidden="true" outlineLevel="0" max="12806" min="12804" style="54" width="11.53"/>
    <col collapsed="false" customWidth="true" hidden="false" outlineLevel="0" max="12807" min="12807" style="54" width="2.67"/>
    <col collapsed="false" customWidth="true" hidden="false" outlineLevel="0" max="12808" min="12808" style="54" width="18.67"/>
    <col collapsed="false" customWidth="true" hidden="false" outlineLevel="0" max="12809" min="12809" style="54" width="2.67"/>
    <col collapsed="false" customWidth="true" hidden="false" outlineLevel="0" max="12810" min="12810" style="54" width="11.67"/>
    <col collapsed="false" customWidth="true" hidden="false" outlineLevel="0" max="12811" min="12811" style="54" width="2.67"/>
    <col collapsed="false" customWidth="false" hidden="false" outlineLevel="0" max="12812" min="12812" style="54" width="9.11"/>
    <col collapsed="false" customWidth="true" hidden="false" outlineLevel="0" max="12813" min="12813" style="54" width="12.67"/>
    <col collapsed="false" customWidth="false" hidden="false" outlineLevel="0" max="13056" min="12814" style="54" width="9.11"/>
    <col collapsed="false" customWidth="true" hidden="false" outlineLevel="0" max="13057" min="13057" style="54" width="4.33"/>
    <col collapsed="false" customWidth="true" hidden="false" outlineLevel="0" max="13058" min="13058" style="54" width="13"/>
    <col collapsed="false" customWidth="true" hidden="false" outlineLevel="0" max="13059" min="13059" style="54" width="24.88"/>
    <col collapsed="false" customWidth="true" hidden="true" outlineLevel="0" max="13062" min="13060" style="54" width="11.53"/>
    <col collapsed="false" customWidth="true" hidden="false" outlineLevel="0" max="13063" min="13063" style="54" width="2.67"/>
    <col collapsed="false" customWidth="true" hidden="false" outlineLevel="0" max="13064" min="13064" style="54" width="18.67"/>
    <col collapsed="false" customWidth="true" hidden="false" outlineLevel="0" max="13065" min="13065" style="54" width="2.67"/>
    <col collapsed="false" customWidth="true" hidden="false" outlineLevel="0" max="13066" min="13066" style="54" width="11.67"/>
    <col collapsed="false" customWidth="true" hidden="false" outlineLevel="0" max="13067" min="13067" style="54" width="2.67"/>
    <col collapsed="false" customWidth="false" hidden="false" outlineLevel="0" max="13068" min="13068" style="54" width="9.11"/>
    <col collapsed="false" customWidth="true" hidden="false" outlineLevel="0" max="13069" min="13069" style="54" width="12.67"/>
    <col collapsed="false" customWidth="false" hidden="false" outlineLevel="0" max="13312" min="13070" style="54" width="9.11"/>
    <col collapsed="false" customWidth="true" hidden="false" outlineLevel="0" max="13313" min="13313" style="54" width="4.33"/>
    <col collapsed="false" customWidth="true" hidden="false" outlineLevel="0" max="13314" min="13314" style="54" width="13"/>
    <col collapsed="false" customWidth="true" hidden="false" outlineLevel="0" max="13315" min="13315" style="54" width="24.88"/>
    <col collapsed="false" customWidth="true" hidden="true" outlineLevel="0" max="13318" min="13316" style="54" width="11.53"/>
    <col collapsed="false" customWidth="true" hidden="false" outlineLevel="0" max="13319" min="13319" style="54" width="2.67"/>
    <col collapsed="false" customWidth="true" hidden="false" outlineLevel="0" max="13320" min="13320" style="54" width="18.67"/>
    <col collapsed="false" customWidth="true" hidden="false" outlineLevel="0" max="13321" min="13321" style="54" width="2.67"/>
    <col collapsed="false" customWidth="true" hidden="false" outlineLevel="0" max="13322" min="13322" style="54" width="11.67"/>
    <col collapsed="false" customWidth="true" hidden="false" outlineLevel="0" max="13323" min="13323" style="54" width="2.67"/>
    <col collapsed="false" customWidth="false" hidden="false" outlineLevel="0" max="13324" min="13324" style="54" width="9.11"/>
    <col collapsed="false" customWidth="true" hidden="false" outlineLevel="0" max="13325" min="13325" style="54" width="12.67"/>
    <col collapsed="false" customWidth="false" hidden="false" outlineLevel="0" max="13568" min="13326" style="54" width="9.11"/>
    <col collapsed="false" customWidth="true" hidden="false" outlineLevel="0" max="13569" min="13569" style="54" width="4.33"/>
    <col collapsed="false" customWidth="true" hidden="false" outlineLevel="0" max="13570" min="13570" style="54" width="13"/>
    <col collapsed="false" customWidth="true" hidden="false" outlineLevel="0" max="13571" min="13571" style="54" width="24.88"/>
    <col collapsed="false" customWidth="true" hidden="true" outlineLevel="0" max="13574" min="13572" style="54" width="11.53"/>
    <col collapsed="false" customWidth="true" hidden="false" outlineLevel="0" max="13575" min="13575" style="54" width="2.67"/>
    <col collapsed="false" customWidth="true" hidden="false" outlineLevel="0" max="13576" min="13576" style="54" width="18.67"/>
    <col collapsed="false" customWidth="true" hidden="false" outlineLevel="0" max="13577" min="13577" style="54" width="2.67"/>
    <col collapsed="false" customWidth="true" hidden="false" outlineLevel="0" max="13578" min="13578" style="54" width="11.67"/>
    <col collapsed="false" customWidth="true" hidden="false" outlineLevel="0" max="13579" min="13579" style="54" width="2.67"/>
    <col collapsed="false" customWidth="false" hidden="false" outlineLevel="0" max="13580" min="13580" style="54" width="9.11"/>
    <col collapsed="false" customWidth="true" hidden="false" outlineLevel="0" max="13581" min="13581" style="54" width="12.67"/>
    <col collapsed="false" customWidth="false" hidden="false" outlineLevel="0" max="13824" min="13582" style="54" width="9.11"/>
    <col collapsed="false" customWidth="true" hidden="false" outlineLevel="0" max="13825" min="13825" style="54" width="4.33"/>
    <col collapsed="false" customWidth="true" hidden="false" outlineLevel="0" max="13826" min="13826" style="54" width="13"/>
    <col collapsed="false" customWidth="true" hidden="false" outlineLevel="0" max="13827" min="13827" style="54" width="24.88"/>
    <col collapsed="false" customWidth="true" hidden="true" outlineLevel="0" max="13830" min="13828" style="54" width="11.53"/>
    <col collapsed="false" customWidth="true" hidden="false" outlineLevel="0" max="13831" min="13831" style="54" width="2.67"/>
    <col collapsed="false" customWidth="true" hidden="false" outlineLevel="0" max="13832" min="13832" style="54" width="18.67"/>
    <col collapsed="false" customWidth="true" hidden="false" outlineLevel="0" max="13833" min="13833" style="54" width="2.67"/>
    <col collapsed="false" customWidth="true" hidden="false" outlineLevel="0" max="13834" min="13834" style="54" width="11.67"/>
    <col collapsed="false" customWidth="true" hidden="false" outlineLevel="0" max="13835" min="13835" style="54" width="2.67"/>
    <col collapsed="false" customWidth="false" hidden="false" outlineLevel="0" max="13836" min="13836" style="54" width="9.11"/>
    <col collapsed="false" customWidth="true" hidden="false" outlineLevel="0" max="13837" min="13837" style="54" width="12.67"/>
    <col collapsed="false" customWidth="false" hidden="false" outlineLevel="0" max="14080" min="13838" style="54" width="9.11"/>
    <col collapsed="false" customWidth="true" hidden="false" outlineLevel="0" max="14081" min="14081" style="54" width="4.33"/>
    <col collapsed="false" customWidth="true" hidden="false" outlineLevel="0" max="14082" min="14082" style="54" width="13"/>
    <col collapsed="false" customWidth="true" hidden="false" outlineLevel="0" max="14083" min="14083" style="54" width="24.88"/>
    <col collapsed="false" customWidth="true" hidden="true" outlineLevel="0" max="14086" min="14084" style="54" width="11.53"/>
    <col collapsed="false" customWidth="true" hidden="false" outlineLevel="0" max="14087" min="14087" style="54" width="2.67"/>
    <col collapsed="false" customWidth="true" hidden="false" outlineLevel="0" max="14088" min="14088" style="54" width="18.67"/>
    <col collapsed="false" customWidth="true" hidden="false" outlineLevel="0" max="14089" min="14089" style="54" width="2.67"/>
    <col collapsed="false" customWidth="true" hidden="false" outlineLevel="0" max="14090" min="14090" style="54" width="11.67"/>
    <col collapsed="false" customWidth="true" hidden="false" outlineLevel="0" max="14091" min="14091" style="54" width="2.67"/>
    <col collapsed="false" customWidth="false" hidden="false" outlineLevel="0" max="14092" min="14092" style="54" width="9.11"/>
    <col collapsed="false" customWidth="true" hidden="false" outlineLevel="0" max="14093" min="14093" style="54" width="12.67"/>
    <col collapsed="false" customWidth="false" hidden="false" outlineLevel="0" max="14336" min="14094" style="54" width="9.11"/>
    <col collapsed="false" customWidth="true" hidden="false" outlineLevel="0" max="14337" min="14337" style="54" width="4.33"/>
    <col collapsed="false" customWidth="true" hidden="false" outlineLevel="0" max="14338" min="14338" style="54" width="13"/>
    <col collapsed="false" customWidth="true" hidden="false" outlineLevel="0" max="14339" min="14339" style="54" width="24.88"/>
    <col collapsed="false" customWidth="true" hidden="true" outlineLevel="0" max="14342" min="14340" style="54" width="11.53"/>
    <col collapsed="false" customWidth="true" hidden="false" outlineLevel="0" max="14343" min="14343" style="54" width="2.67"/>
    <col collapsed="false" customWidth="true" hidden="false" outlineLevel="0" max="14344" min="14344" style="54" width="18.67"/>
    <col collapsed="false" customWidth="true" hidden="false" outlineLevel="0" max="14345" min="14345" style="54" width="2.67"/>
    <col collapsed="false" customWidth="true" hidden="false" outlineLevel="0" max="14346" min="14346" style="54" width="11.67"/>
    <col collapsed="false" customWidth="true" hidden="false" outlineLevel="0" max="14347" min="14347" style="54" width="2.67"/>
    <col collapsed="false" customWidth="false" hidden="false" outlineLevel="0" max="14348" min="14348" style="54" width="9.11"/>
    <col collapsed="false" customWidth="true" hidden="false" outlineLevel="0" max="14349" min="14349" style="54" width="12.67"/>
    <col collapsed="false" customWidth="false" hidden="false" outlineLevel="0" max="14592" min="14350" style="54" width="9.11"/>
    <col collapsed="false" customWidth="true" hidden="false" outlineLevel="0" max="14593" min="14593" style="54" width="4.33"/>
    <col collapsed="false" customWidth="true" hidden="false" outlineLevel="0" max="14594" min="14594" style="54" width="13"/>
    <col collapsed="false" customWidth="true" hidden="false" outlineLevel="0" max="14595" min="14595" style="54" width="24.88"/>
    <col collapsed="false" customWidth="true" hidden="true" outlineLevel="0" max="14598" min="14596" style="54" width="11.53"/>
    <col collapsed="false" customWidth="true" hidden="false" outlineLevel="0" max="14599" min="14599" style="54" width="2.67"/>
    <col collapsed="false" customWidth="true" hidden="false" outlineLevel="0" max="14600" min="14600" style="54" width="18.67"/>
    <col collapsed="false" customWidth="true" hidden="false" outlineLevel="0" max="14601" min="14601" style="54" width="2.67"/>
    <col collapsed="false" customWidth="true" hidden="false" outlineLevel="0" max="14602" min="14602" style="54" width="11.67"/>
    <col collapsed="false" customWidth="true" hidden="false" outlineLevel="0" max="14603" min="14603" style="54" width="2.67"/>
    <col collapsed="false" customWidth="false" hidden="false" outlineLevel="0" max="14604" min="14604" style="54" width="9.11"/>
    <col collapsed="false" customWidth="true" hidden="false" outlineLevel="0" max="14605" min="14605" style="54" width="12.67"/>
    <col collapsed="false" customWidth="false" hidden="false" outlineLevel="0" max="14848" min="14606" style="54" width="9.11"/>
    <col collapsed="false" customWidth="true" hidden="false" outlineLevel="0" max="14849" min="14849" style="54" width="4.33"/>
    <col collapsed="false" customWidth="true" hidden="false" outlineLevel="0" max="14850" min="14850" style="54" width="13"/>
    <col collapsed="false" customWidth="true" hidden="false" outlineLevel="0" max="14851" min="14851" style="54" width="24.88"/>
    <col collapsed="false" customWidth="true" hidden="true" outlineLevel="0" max="14854" min="14852" style="54" width="11.53"/>
    <col collapsed="false" customWidth="true" hidden="false" outlineLevel="0" max="14855" min="14855" style="54" width="2.67"/>
    <col collapsed="false" customWidth="true" hidden="false" outlineLevel="0" max="14856" min="14856" style="54" width="18.67"/>
    <col collapsed="false" customWidth="true" hidden="false" outlineLevel="0" max="14857" min="14857" style="54" width="2.67"/>
    <col collapsed="false" customWidth="true" hidden="false" outlineLevel="0" max="14858" min="14858" style="54" width="11.67"/>
    <col collapsed="false" customWidth="true" hidden="false" outlineLevel="0" max="14859" min="14859" style="54" width="2.67"/>
    <col collapsed="false" customWidth="false" hidden="false" outlineLevel="0" max="14860" min="14860" style="54" width="9.11"/>
    <col collapsed="false" customWidth="true" hidden="false" outlineLevel="0" max="14861" min="14861" style="54" width="12.67"/>
    <col collapsed="false" customWidth="false" hidden="false" outlineLevel="0" max="15104" min="14862" style="54" width="9.11"/>
    <col collapsed="false" customWidth="true" hidden="false" outlineLevel="0" max="15105" min="15105" style="54" width="4.33"/>
    <col collapsed="false" customWidth="true" hidden="false" outlineLevel="0" max="15106" min="15106" style="54" width="13"/>
    <col collapsed="false" customWidth="true" hidden="false" outlineLevel="0" max="15107" min="15107" style="54" width="24.88"/>
    <col collapsed="false" customWidth="true" hidden="true" outlineLevel="0" max="15110" min="15108" style="54" width="11.53"/>
    <col collapsed="false" customWidth="true" hidden="false" outlineLevel="0" max="15111" min="15111" style="54" width="2.67"/>
    <col collapsed="false" customWidth="true" hidden="false" outlineLevel="0" max="15112" min="15112" style="54" width="18.67"/>
    <col collapsed="false" customWidth="true" hidden="false" outlineLevel="0" max="15113" min="15113" style="54" width="2.67"/>
    <col collapsed="false" customWidth="true" hidden="false" outlineLevel="0" max="15114" min="15114" style="54" width="11.67"/>
    <col collapsed="false" customWidth="true" hidden="false" outlineLevel="0" max="15115" min="15115" style="54" width="2.67"/>
    <col collapsed="false" customWidth="false" hidden="false" outlineLevel="0" max="15116" min="15116" style="54" width="9.11"/>
    <col collapsed="false" customWidth="true" hidden="false" outlineLevel="0" max="15117" min="15117" style="54" width="12.67"/>
    <col collapsed="false" customWidth="false" hidden="false" outlineLevel="0" max="15360" min="15118" style="54" width="9.11"/>
    <col collapsed="false" customWidth="true" hidden="false" outlineLevel="0" max="15361" min="15361" style="54" width="4.33"/>
    <col collapsed="false" customWidth="true" hidden="false" outlineLevel="0" max="15362" min="15362" style="54" width="13"/>
    <col collapsed="false" customWidth="true" hidden="false" outlineLevel="0" max="15363" min="15363" style="54" width="24.88"/>
    <col collapsed="false" customWidth="true" hidden="true" outlineLevel="0" max="15366" min="15364" style="54" width="11.53"/>
    <col collapsed="false" customWidth="true" hidden="false" outlineLevel="0" max="15367" min="15367" style="54" width="2.67"/>
    <col collapsed="false" customWidth="true" hidden="false" outlineLevel="0" max="15368" min="15368" style="54" width="18.67"/>
    <col collapsed="false" customWidth="true" hidden="false" outlineLevel="0" max="15369" min="15369" style="54" width="2.67"/>
    <col collapsed="false" customWidth="true" hidden="false" outlineLevel="0" max="15370" min="15370" style="54" width="11.67"/>
    <col collapsed="false" customWidth="true" hidden="false" outlineLevel="0" max="15371" min="15371" style="54" width="2.67"/>
    <col collapsed="false" customWidth="false" hidden="false" outlineLevel="0" max="15372" min="15372" style="54" width="9.11"/>
    <col collapsed="false" customWidth="true" hidden="false" outlineLevel="0" max="15373" min="15373" style="54" width="12.67"/>
    <col collapsed="false" customWidth="false" hidden="false" outlineLevel="0" max="15616" min="15374" style="54" width="9.11"/>
    <col collapsed="false" customWidth="true" hidden="false" outlineLevel="0" max="15617" min="15617" style="54" width="4.33"/>
    <col collapsed="false" customWidth="true" hidden="false" outlineLevel="0" max="15618" min="15618" style="54" width="13"/>
    <col collapsed="false" customWidth="true" hidden="false" outlineLevel="0" max="15619" min="15619" style="54" width="24.88"/>
    <col collapsed="false" customWidth="true" hidden="true" outlineLevel="0" max="15622" min="15620" style="54" width="11.53"/>
    <col collapsed="false" customWidth="true" hidden="false" outlineLevel="0" max="15623" min="15623" style="54" width="2.67"/>
    <col collapsed="false" customWidth="true" hidden="false" outlineLevel="0" max="15624" min="15624" style="54" width="18.67"/>
    <col collapsed="false" customWidth="true" hidden="false" outlineLevel="0" max="15625" min="15625" style="54" width="2.67"/>
    <col collapsed="false" customWidth="true" hidden="false" outlineLevel="0" max="15626" min="15626" style="54" width="11.67"/>
    <col collapsed="false" customWidth="true" hidden="false" outlineLevel="0" max="15627" min="15627" style="54" width="2.67"/>
    <col collapsed="false" customWidth="false" hidden="false" outlineLevel="0" max="15628" min="15628" style="54" width="9.11"/>
    <col collapsed="false" customWidth="true" hidden="false" outlineLevel="0" max="15629" min="15629" style="54" width="12.67"/>
    <col collapsed="false" customWidth="false" hidden="false" outlineLevel="0" max="15872" min="15630" style="54" width="9.11"/>
    <col collapsed="false" customWidth="true" hidden="false" outlineLevel="0" max="15873" min="15873" style="54" width="4.33"/>
    <col collapsed="false" customWidth="true" hidden="false" outlineLevel="0" max="15874" min="15874" style="54" width="13"/>
    <col collapsed="false" customWidth="true" hidden="false" outlineLevel="0" max="15875" min="15875" style="54" width="24.88"/>
    <col collapsed="false" customWidth="true" hidden="true" outlineLevel="0" max="15878" min="15876" style="54" width="11.53"/>
    <col collapsed="false" customWidth="true" hidden="false" outlineLevel="0" max="15879" min="15879" style="54" width="2.67"/>
    <col collapsed="false" customWidth="true" hidden="false" outlineLevel="0" max="15880" min="15880" style="54" width="18.67"/>
    <col collapsed="false" customWidth="true" hidden="false" outlineLevel="0" max="15881" min="15881" style="54" width="2.67"/>
    <col collapsed="false" customWidth="true" hidden="false" outlineLevel="0" max="15882" min="15882" style="54" width="11.67"/>
    <col collapsed="false" customWidth="true" hidden="false" outlineLevel="0" max="15883" min="15883" style="54" width="2.67"/>
    <col collapsed="false" customWidth="false" hidden="false" outlineLevel="0" max="15884" min="15884" style="54" width="9.11"/>
    <col collapsed="false" customWidth="true" hidden="false" outlineLevel="0" max="15885" min="15885" style="54" width="12.67"/>
    <col collapsed="false" customWidth="false" hidden="false" outlineLevel="0" max="16128" min="15886" style="54" width="9.11"/>
    <col collapsed="false" customWidth="true" hidden="false" outlineLevel="0" max="16129" min="16129" style="54" width="4.33"/>
    <col collapsed="false" customWidth="true" hidden="false" outlineLevel="0" max="16130" min="16130" style="54" width="13"/>
    <col collapsed="false" customWidth="true" hidden="false" outlineLevel="0" max="16131" min="16131" style="54" width="24.88"/>
    <col collapsed="false" customWidth="true" hidden="true" outlineLevel="0" max="16134" min="16132" style="54" width="11.53"/>
    <col collapsed="false" customWidth="true" hidden="false" outlineLevel="0" max="16135" min="16135" style="54" width="2.67"/>
    <col collapsed="false" customWidth="true" hidden="false" outlineLevel="0" max="16136" min="16136" style="54" width="18.67"/>
    <col collapsed="false" customWidth="true" hidden="false" outlineLevel="0" max="16137" min="16137" style="54" width="2.67"/>
    <col collapsed="false" customWidth="true" hidden="false" outlineLevel="0" max="16138" min="16138" style="54" width="11.67"/>
    <col collapsed="false" customWidth="true" hidden="false" outlineLevel="0" max="16139" min="16139" style="54" width="2.67"/>
    <col collapsed="false" customWidth="false" hidden="false" outlineLevel="0" max="16140" min="16140" style="54" width="9.11"/>
    <col collapsed="false" customWidth="true" hidden="false" outlineLevel="0" max="16141" min="16141" style="54" width="12.67"/>
    <col collapsed="false" customWidth="false" hidden="false" outlineLevel="0" max="16384" min="16142" style="54" width="9.11"/>
  </cols>
  <sheetData>
    <row r="1" customFormat="false" ht="12.75" hidden="true" customHeight="true" outlineLevel="0" collapsed="false"/>
    <row r="2" customFormat="false" ht="12.75" hidden="true" customHeight="true" outlineLevel="0" collapsed="false"/>
    <row r="3" customFormat="false" ht="12.75" hidden="true" customHeight="true" outlineLevel="0" collapsed="false"/>
    <row r="4" customFormat="false" ht="12.75" hidden="false" customHeight="true" outlineLevel="0" collapsed="false"/>
    <row r="5" customFormat="false" ht="12.75" hidden="false" customHeight="true" outlineLevel="0" collapsed="false"/>
    <row r="6" customFormat="false" ht="12.75" hidden="false" customHeight="true" outlineLevel="0" collapsed="false"/>
    <row r="7" customFormat="false" ht="12.75" hidden="false" customHeight="true" outlineLevel="0" collapsed="false"/>
    <row r="8" customFormat="false" ht="12.75" hidden="false" customHeight="true" outlineLevel="0" collapsed="false"/>
    <row r="9" customFormat="false" ht="21.75" hidden="false" customHeight="true" outlineLevel="0" collapsed="false">
      <c r="A9" s="161"/>
      <c r="B9" s="162" t="s">
        <v>128</v>
      </c>
      <c r="C9" s="162"/>
      <c r="D9" s="162"/>
      <c r="E9" s="162"/>
      <c r="F9" s="162"/>
      <c r="G9" s="162"/>
      <c r="H9" s="162"/>
      <c r="I9" s="162"/>
      <c r="J9" s="162"/>
    </row>
    <row r="10" customFormat="false" ht="14.25" hidden="false" customHeight="true" outlineLevel="0" collapsed="false">
      <c r="A10" s="163"/>
      <c r="B10" s="164" t="s">
        <v>179</v>
      </c>
      <c r="C10" s="164"/>
      <c r="D10" s="164"/>
      <c r="E10" s="164"/>
      <c r="F10" s="164"/>
      <c r="G10" s="164"/>
      <c r="H10" s="164"/>
      <c r="I10" s="164"/>
      <c r="J10" s="164"/>
      <c r="K10" s="165"/>
    </row>
    <row r="11" customFormat="false" ht="12.75" hidden="false" customHeight="true" outlineLevel="0" collapsed="false">
      <c r="A11" s="166"/>
      <c r="B11" s="130" t="s">
        <v>180</v>
      </c>
      <c r="C11" s="130"/>
      <c r="D11" s="130"/>
      <c r="E11" s="130"/>
      <c r="F11" s="130"/>
      <c r="G11" s="130"/>
      <c r="H11" s="130"/>
      <c r="I11" s="130"/>
      <c r="J11" s="130"/>
      <c r="K11" s="166"/>
    </row>
    <row r="12" customFormat="false" ht="12.75" hidden="false" customHeight="true" outlineLevel="0" collapsed="false">
      <c r="A12" s="167"/>
      <c r="B12" s="130" t="s">
        <v>131</v>
      </c>
      <c r="C12" s="130"/>
      <c r="D12" s="130"/>
      <c r="E12" s="130"/>
      <c r="F12" s="130"/>
      <c r="G12" s="130"/>
      <c r="H12" s="130"/>
      <c r="I12" s="130"/>
      <c r="J12" s="130"/>
      <c r="K12" s="166"/>
    </row>
    <row r="13" customFormat="false" ht="12.75" hidden="false" customHeight="true" outlineLevel="0" collapsed="false">
      <c r="A13" s="167"/>
      <c r="B13" s="167"/>
      <c r="C13" s="167"/>
      <c r="D13" s="167"/>
      <c r="E13" s="167"/>
      <c r="F13" s="167"/>
      <c r="G13" s="167"/>
      <c r="H13" s="168"/>
      <c r="I13" s="167"/>
      <c r="J13" s="167"/>
      <c r="K13" s="167"/>
    </row>
    <row r="14" customFormat="false" ht="12.75" hidden="false" customHeight="true" outlineLevel="0" collapsed="false">
      <c r="B14" s="167"/>
      <c r="C14" s="167"/>
      <c r="D14" s="167"/>
      <c r="E14" s="167"/>
      <c r="F14" s="167"/>
      <c r="G14" s="167"/>
      <c r="H14" s="168"/>
      <c r="I14" s="167"/>
      <c r="J14" s="167"/>
      <c r="K14" s="167"/>
    </row>
    <row r="15" customFormat="false" ht="12.75" hidden="false" customHeight="true" outlineLevel="0" collapsed="false">
      <c r="A15" s="169"/>
      <c r="B15" s="63"/>
      <c r="C15" s="59"/>
      <c r="D15" s="59" t="s">
        <v>181</v>
      </c>
      <c r="E15" s="59"/>
      <c r="F15" s="59" t="s">
        <v>182</v>
      </c>
      <c r="G15" s="58"/>
      <c r="H15" s="170" t="s">
        <v>183</v>
      </c>
      <c r="J15" s="59" t="s">
        <v>182</v>
      </c>
    </row>
    <row r="16" customFormat="false" ht="12.75" hidden="false" customHeight="true" outlineLevel="0" collapsed="false"/>
    <row r="17" customFormat="false" ht="13.5" hidden="false" customHeight="true" outlineLevel="0" collapsed="false">
      <c r="B17" s="171" t="s">
        <v>184</v>
      </c>
      <c r="C17" s="171"/>
    </row>
    <row r="18" customFormat="false" ht="13.5" hidden="false" customHeight="true" outlineLevel="0" collapsed="false">
      <c r="A18" s="132"/>
      <c r="B18" s="172" t="s">
        <v>185</v>
      </c>
      <c r="C18" s="172"/>
      <c r="D18" s="173" t="e">
        <f aca="false">#ref!</f>
        <v>#NAME?</v>
      </c>
      <c r="E18" s="160"/>
      <c r="F18" s="174" t="n">
        <v>1.0001</v>
      </c>
      <c r="H18" s="175" t="n">
        <f aca="false">+BAL!G105-H56</f>
        <v>1977920.26</v>
      </c>
      <c r="J18" s="174" t="n">
        <v>1.0001</v>
      </c>
      <c r="M18" s="176"/>
    </row>
    <row r="19" customFormat="false" ht="13.5" hidden="false" customHeight="true" outlineLevel="0" collapsed="false">
      <c r="A19" s="132"/>
      <c r="B19" s="172" t="s">
        <v>186</v>
      </c>
      <c r="C19" s="172"/>
      <c r="D19" s="132"/>
      <c r="E19" s="160"/>
      <c r="F19" s="174"/>
      <c r="H19" s="177" t="n">
        <v>0</v>
      </c>
      <c r="J19" s="178" t="n">
        <v>0</v>
      </c>
    </row>
    <row r="20" customFormat="false" ht="13.5" hidden="false" customHeight="true" outlineLevel="0" collapsed="false">
      <c r="A20" s="132"/>
      <c r="B20" s="171" t="s">
        <v>187</v>
      </c>
      <c r="C20" s="171"/>
      <c r="D20" s="132"/>
      <c r="E20" s="160"/>
      <c r="F20" s="174"/>
      <c r="H20" s="175" t="n">
        <f aca="false">SUM(H18:H19)</f>
        <v>1977920.26</v>
      </c>
      <c r="J20" s="178" t="n">
        <f aca="false">IF($H$18=0,0,H20/$H$18)</f>
        <v>1</v>
      </c>
    </row>
    <row r="21" customFormat="false" ht="13.5" hidden="false" customHeight="true" outlineLevel="0" collapsed="false">
      <c r="B21" s="131"/>
      <c r="D21" s="160"/>
      <c r="E21" s="160"/>
      <c r="F21" s="160"/>
      <c r="G21" s="160"/>
    </row>
    <row r="22" customFormat="false" ht="13.5" hidden="false" customHeight="true" outlineLevel="0" collapsed="false">
      <c r="B22" s="171" t="s">
        <v>188</v>
      </c>
      <c r="C22" s="171"/>
      <c r="D22" s="160"/>
      <c r="E22" s="160"/>
      <c r="F22" s="160"/>
      <c r="G22" s="160"/>
    </row>
    <row r="23" customFormat="false" ht="13.5" hidden="false" customHeight="true" outlineLevel="0" collapsed="false">
      <c r="B23" s="132" t="s">
        <v>189</v>
      </c>
      <c r="D23" s="173" t="n">
        <v>0</v>
      </c>
      <c r="E23" s="160"/>
      <c r="F23" s="178" t="e">
        <f aca="false">#ref!</f>
        <v>#NAME?</v>
      </c>
      <c r="H23" s="179" t="n">
        <f aca="false">+BAL!G110+BAL!G119</f>
        <v>1654681.763989</v>
      </c>
      <c r="J23" s="178" t="n">
        <f aca="false">IF($H$18=0,0,H23/$H$18)</f>
        <v>0.83657657866804</v>
      </c>
    </row>
    <row r="24" customFormat="false" ht="13.5" hidden="false" customHeight="true" outlineLevel="0" collapsed="false">
      <c r="B24" s="131"/>
      <c r="D24" s="160"/>
      <c r="E24" s="160"/>
      <c r="F24" s="160"/>
      <c r="G24" s="160"/>
      <c r="H24" s="180"/>
    </row>
    <row r="25" customFormat="false" ht="13.5" hidden="false" customHeight="true" outlineLevel="0" collapsed="false">
      <c r="B25" s="171" t="s">
        <v>190</v>
      </c>
      <c r="C25" s="171"/>
      <c r="D25" s="160" t="e">
        <f aca="false">#ref!</f>
        <v>#NAME?</v>
      </c>
      <c r="E25" s="160"/>
      <c r="F25" s="181" t="e">
        <f aca="false">#ref!</f>
        <v>#NAME?</v>
      </c>
      <c r="G25" s="160"/>
      <c r="H25" s="175" t="n">
        <f aca="false">+H20-H23</f>
        <v>323238.496011</v>
      </c>
      <c r="J25" s="178" t="n">
        <f aca="false">IF($H$18=0,0,H25/$H$18)</f>
        <v>0.16342342133196</v>
      </c>
      <c r="M25" s="182"/>
    </row>
    <row r="26" customFormat="false" ht="13.5" hidden="false" customHeight="true" outlineLevel="0" collapsed="false">
      <c r="D26" s="160"/>
      <c r="E26" s="160"/>
      <c r="F26" s="160"/>
      <c r="H26" s="180"/>
    </row>
    <row r="27" customFormat="false" ht="12.75" hidden="false" customHeight="true" outlineLevel="0" collapsed="false">
      <c r="B27" s="171" t="s">
        <v>191</v>
      </c>
      <c r="C27" s="171"/>
      <c r="D27" s="160"/>
      <c r="E27" s="160"/>
      <c r="F27" s="160"/>
      <c r="H27" s="180"/>
    </row>
    <row r="28" customFormat="false" ht="13.5" hidden="false" customHeight="true" outlineLevel="0" collapsed="false">
      <c r="A28" s="132"/>
      <c r="B28" s="132" t="s">
        <v>192</v>
      </c>
      <c r="C28" s="138"/>
      <c r="D28" s="160" t="e">
        <f aca="false">#ref!</f>
        <v>#NAME?</v>
      </c>
      <c r="E28" s="160"/>
      <c r="F28" s="178" t="e">
        <f aca="false">#ref!</f>
        <v>#NAME?</v>
      </c>
      <c r="G28" s="160"/>
      <c r="H28" s="180" t="n">
        <f aca="false">+BAL!G120</f>
        <v>1783936.94</v>
      </c>
      <c r="J28" s="178" t="n">
        <f aca="false">IF($H$18=0,0,H28/$H$18)</f>
        <v>0.901925611500638</v>
      </c>
      <c r="M28" s="183"/>
      <c r="N28" s="143"/>
    </row>
    <row r="29" customFormat="false" ht="13.5" hidden="false" customHeight="true" outlineLevel="0" collapsed="false">
      <c r="A29" s="132"/>
      <c r="B29" s="132" t="s">
        <v>193</v>
      </c>
      <c r="C29" s="138"/>
      <c r="D29" s="160"/>
      <c r="E29" s="160"/>
      <c r="F29" s="178"/>
      <c r="G29" s="160"/>
      <c r="H29" s="180" t="n">
        <f aca="false">+BAL!G135</f>
        <v>318566.65</v>
      </c>
      <c r="J29" s="178" t="n">
        <f aca="false">IF($H$18=0,0,H29/$H$18)</f>
        <v>0.161061422162691</v>
      </c>
      <c r="M29" s="183"/>
    </row>
    <row r="30" customFormat="false" ht="15.75" hidden="false" customHeight="true" outlineLevel="0" collapsed="false">
      <c r="A30" s="132"/>
      <c r="B30" s="132" t="s">
        <v>194</v>
      </c>
      <c r="C30" s="139"/>
      <c r="D30" s="160" t="e">
        <f aca="false">#ref!</f>
        <v>#NAME?</v>
      </c>
      <c r="E30" s="160"/>
      <c r="F30" s="178" t="e">
        <f aca="false">#ref!</f>
        <v>#NAME?</v>
      </c>
      <c r="G30" s="143"/>
      <c r="H30" s="180" t="n">
        <f aca="false">+BAL!G141</f>
        <v>39400</v>
      </c>
      <c r="J30" s="178" t="n">
        <f aca="false">IF($H$18=0,0,H30/$H$18)</f>
        <v>0.0199199132527213</v>
      </c>
      <c r="M30" s="183"/>
    </row>
    <row r="31" customFormat="false" ht="15.75" hidden="false" customHeight="true" outlineLevel="0" collapsed="false">
      <c r="A31" s="132"/>
      <c r="B31" s="132" t="s">
        <v>195</v>
      </c>
      <c r="C31" s="139"/>
      <c r="D31" s="160" t="e">
        <f aca="false">#ref!</f>
        <v>#NAME?</v>
      </c>
      <c r="E31" s="160"/>
      <c r="F31" s="178" t="e">
        <f aca="false">#ref!</f>
        <v>#NAME?</v>
      </c>
      <c r="G31" s="143"/>
      <c r="H31" s="180" t="n">
        <f aca="false">+BAL!G144</f>
        <v>125426.32</v>
      </c>
      <c r="J31" s="178" t="n">
        <f aca="false">IF($H$18=0,0,H31/$H$18)</f>
        <v>0.0634132338580727</v>
      </c>
      <c r="M31" s="183"/>
    </row>
    <row r="32" customFormat="false" ht="13.5" hidden="false" customHeight="true" outlineLevel="0" collapsed="false">
      <c r="A32" s="132"/>
      <c r="B32" s="132" t="s">
        <v>196</v>
      </c>
      <c r="C32" s="140"/>
      <c r="D32" s="160" t="e">
        <f aca="false">#ref!</f>
        <v>#NAME?</v>
      </c>
      <c r="E32" s="160"/>
      <c r="F32" s="178" t="e">
        <f aca="false">#ref!</f>
        <v>#NAME?</v>
      </c>
      <c r="H32" s="180" t="n">
        <f aca="false">+BAL!G147</f>
        <v>12288.78</v>
      </c>
      <c r="J32" s="178" t="n">
        <f aca="false">IF($H$18=0,0,H32/$H$18)</f>
        <v>0.00621298049699941</v>
      </c>
      <c r="M32" s="143"/>
    </row>
    <row r="33" customFormat="false" ht="13.5" hidden="false" customHeight="true" outlineLevel="0" collapsed="false">
      <c r="A33" s="132"/>
      <c r="B33" s="132" t="s">
        <v>197</v>
      </c>
      <c r="C33" s="140"/>
      <c r="D33" s="160" t="e">
        <f aca="false">#ref!</f>
        <v>#NAME?</v>
      </c>
      <c r="E33" s="160"/>
      <c r="F33" s="178" t="e">
        <f aca="false">#ref!</f>
        <v>#NAME?</v>
      </c>
      <c r="H33" s="180" t="n">
        <f aca="false">+BAL!G148</f>
        <v>29358.7</v>
      </c>
      <c r="J33" s="178" t="n">
        <f aca="false">IF($H$18=0,0,H33/$H$18)</f>
        <v>0.0148432171881388</v>
      </c>
    </row>
    <row r="34" customFormat="false" ht="13.5" hidden="false" customHeight="true" outlineLevel="0" collapsed="false">
      <c r="A34" s="132"/>
      <c r="B34" s="132" t="s">
        <v>198</v>
      </c>
      <c r="C34" s="140"/>
      <c r="D34" s="160" t="e">
        <f aca="false">#ref!</f>
        <v>#NAME?</v>
      </c>
      <c r="E34" s="160"/>
      <c r="F34" s="178" t="e">
        <f aca="false">#ref!</f>
        <v>#NAME?</v>
      </c>
      <c r="H34" s="180" t="n">
        <f aca="false">+BAL!G152</f>
        <v>19480</v>
      </c>
      <c r="J34" s="178" t="n">
        <f aca="false">IF($H$18=0,0,H34/$H$18)</f>
        <v>0.00984872868434039</v>
      </c>
      <c r="M34" s="135"/>
      <c r="N34" s="135"/>
    </row>
    <row r="35" customFormat="false" ht="13.5" hidden="false" customHeight="true" outlineLevel="0" collapsed="false">
      <c r="A35" s="132"/>
      <c r="B35" s="132" t="s">
        <v>199</v>
      </c>
      <c r="C35" s="140"/>
      <c r="D35" s="160" t="e">
        <f aca="false">#ref!</f>
        <v>#NAME?</v>
      </c>
      <c r="E35" s="160"/>
      <c r="F35" s="178" t="e">
        <f aca="false">#ref!</f>
        <v>#NAME?</v>
      </c>
      <c r="H35" s="180" t="n">
        <f aca="false">+BAL!G153+BAL!G154</f>
        <v>141745.19</v>
      </c>
      <c r="J35" s="178" t="n">
        <f aca="false">IF($H$18=0,0,H35/$H$18)</f>
        <v>0.0716637535226016</v>
      </c>
    </row>
    <row r="36" customFormat="false" ht="13.5" hidden="false" customHeight="true" outlineLevel="0" collapsed="false">
      <c r="A36" s="132"/>
      <c r="B36" s="132" t="s">
        <v>200</v>
      </c>
      <c r="C36" s="140"/>
      <c r="D36" s="160"/>
      <c r="E36" s="160"/>
      <c r="F36" s="178"/>
      <c r="H36" s="180" t="n">
        <f aca="false">+BAL!G155</f>
        <v>0</v>
      </c>
      <c r="J36" s="178" t="n">
        <f aca="false">IF($H$18=0,0,H36/$H$18)</f>
        <v>0</v>
      </c>
    </row>
    <row r="37" customFormat="false" ht="13.5" hidden="false" customHeight="true" outlineLevel="0" collapsed="false">
      <c r="A37" s="132"/>
      <c r="B37" s="132" t="s">
        <v>201</v>
      </c>
      <c r="C37" s="140"/>
      <c r="D37" s="160" t="e">
        <f aca="false">#ref!</f>
        <v>#NAME?</v>
      </c>
      <c r="E37" s="160"/>
      <c r="F37" s="178" t="e">
        <f aca="false">#ref!</f>
        <v>#NAME?</v>
      </c>
      <c r="H37" s="180" t="n">
        <f aca="false">+BAL!G157</f>
        <v>72756.347393</v>
      </c>
      <c r="J37" s="178" t="n">
        <f aca="false">IF($H$18=0,0,H37/$H$18)</f>
        <v>0.036784267224706</v>
      </c>
    </row>
    <row r="38" customFormat="false" ht="13.5" hidden="false" customHeight="true" outlineLevel="0" collapsed="false">
      <c r="A38" s="132"/>
      <c r="B38" s="132" t="s">
        <v>115</v>
      </c>
      <c r="C38" s="140"/>
      <c r="D38" s="160" t="e">
        <f aca="false">#ref!</f>
        <v>#NAME?</v>
      </c>
      <c r="E38" s="160"/>
      <c r="F38" s="178" t="e">
        <f aca="false">#ref!</f>
        <v>#NAME?</v>
      </c>
      <c r="H38" s="180" t="n">
        <f aca="false">+BAL!G161</f>
        <v>55597.44</v>
      </c>
      <c r="J38" s="178" t="n">
        <f aca="false">IF($H$18=0,0,H38/$H$18)</f>
        <v>0.0281090401490705</v>
      </c>
    </row>
    <row r="39" customFormat="false" ht="13.5" hidden="false" customHeight="true" outlineLevel="0" collapsed="false">
      <c r="A39" s="132"/>
      <c r="B39" s="132" t="s">
        <v>202</v>
      </c>
      <c r="C39" s="140"/>
      <c r="D39" s="160" t="e">
        <f aca="false">#ref!</f>
        <v>#NAME?</v>
      </c>
      <c r="E39" s="160"/>
      <c r="F39" s="178" t="e">
        <f aca="false">#ref!</f>
        <v>#NAME?</v>
      </c>
      <c r="H39" s="180" t="n">
        <f aca="false">+BAL!G160</f>
        <v>2165.75</v>
      </c>
      <c r="J39" s="178" t="n">
        <f aca="false">IF($H$18=0,0,H39/$H$18)</f>
        <v>0.00109496325195638</v>
      </c>
    </row>
    <row r="40" customFormat="false" ht="13.5" hidden="false" customHeight="true" outlineLevel="0" collapsed="false">
      <c r="A40" s="132"/>
      <c r="B40" s="132" t="s">
        <v>203</v>
      </c>
      <c r="D40" s="160" t="e">
        <f aca="false">#ref!</f>
        <v>#NAME?</v>
      </c>
      <c r="E40" s="160"/>
      <c r="F40" s="178" t="e">
        <f aca="false">#ref!</f>
        <v>#NAME?</v>
      </c>
      <c r="H40" s="180" t="n">
        <f aca="false">+BAL!G163</f>
        <v>0</v>
      </c>
      <c r="J40" s="178" t="n">
        <f aca="false">IF($H$18=0,0,H40/$H$18)</f>
        <v>0</v>
      </c>
    </row>
    <row r="41" customFormat="false" ht="13.5" hidden="false" customHeight="true" outlineLevel="0" collapsed="false">
      <c r="A41" s="132"/>
      <c r="B41" s="132" t="s">
        <v>204</v>
      </c>
      <c r="D41" s="160" t="e">
        <f aca="false">#ref!</f>
        <v>#NAME?</v>
      </c>
      <c r="E41" s="160"/>
      <c r="F41" s="178" t="e">
        <f aca="false">#ref!</f>
        <v>#NAME?</v>
      </c>
      <c r="G41" s="160"/>
      <c r="H41" s="180" t="n">
        <f aca="false">+BAL!G164</f>
        <v>84055.230338</v>
      </c>
      <c r="J41" s="178" t="n">
        <f aca="false">IF($H$18=0,0,H41/$H$18)</f>
        <v>0.0424967740297073</v>
      </c>
      <c r="Q41" s="182"/>
    </row>
    <row r="42" customFormat="false" ht="13.5" hidden="false" customHeight="true" outlineLevel="0" collapsed="false">
      <c r="A42" s="132"/>
      <c r="B42" s="132" t="s">
        <v>205</v>
      </c>
      <c r="D42" s="160"/>
      <c r="E42" s="160"/>
      <c r="F42" s="178"/>
      <c r="G42" s="160"/>
      <c r="H42" s="180" t="n">
        <f aca="false">+BAL!G166</f>
        <v>114777.612443</v>
      </c>
      <c r="J42" s="178" t="n">
        <f aca="false">IF($H$18=0,0,H42/$H$18)</f>
        <v>0.0580294437365235</v>
      </c>
      <c r="Q42" s="182"/>
    </row>
    <row r="43" customFormat="false" ht="13.5" hidden="false" customHeight="true" outlineLevel="0" collapsed="false">
      <c r="A43" s="132"/>
      <c r="B43" s="132" t="s">
        <v>206</v>
      </c>
      <c r="D43" s="160" t="e">
        <f aca="false">#ref!</f>
        <v>#NAME?</v>
      </c>
      <c r="E43" s="160"/>
      <c r="F43" s="181" t="e">
        <f aca="false">#ref!</f>
        <v>#NAME?</v>
      </c>
      <c r="G43" s="160"/>
      <c r="H43" s="180" t="n">
        <f aca="false">+BAL!G162</f>
        <v>6328.270346</v>
      </c>
      <c r="J43" s="178" t="n">
        <f aca="false">IF($H$18=0,0,H43/$H$18)</f>
        <v>0.00319945675969768</v>
      </c>
    </row>
    <row r="44" customFormat="false" ht="13.5" hidden="false" customHeight="true" outlineLevel="0" collapsed="false">
      <c r="A44" s="132"/>
      <c r="B44" s="132" t="s">
        <v>207</v>
      </c>
      <c r="D44" s="160" t="e">
        <f aca="false">#ref!</f>
        <v>#NAME?</v>
      </c>
      <c r="E44" s="160"/>
      <c r="F44" s="181" t="e">
        <f aca="false">#ref!</f>
        <v>#NAME?</v>
      </c>
      <c r="G44" s="160"/>
      <c r="H44" s="180" t="n">
        <f aca="false">+BAL!G167</f>
        <v>0</v>
      </c>
      <c r="J44" s="178" t="n">
        <f aca="false">IF($H$18=0,0,H44/$H$18)</f>
        <v>0</v>
      </c>
    </row>
    <row r="45" customFormat="false" ht="13.5" hidden="false" customHeight="true" outlineLevel="0" collapsed="false">
      <c r="A45" s="132"/>
      <c r="B45" s="132" t="s">
        <v>208</v>
      </c>
      <c r="D45" s="160" t="e">
        <f aca="false">#ref!</f>
        <v>#NAME?</v>
      </c>
      <c r="E45" s="160"/>
      <c r="F45" s="181" t="e">
        <f aca="false">#ref!</f>
        <v>#NAME?</v>
      </c>
      <c r="G45" s="160"/>
      <c r="H45" s="180" t="n">
        <f aca="false">+BAL!G168</f>
        <v>1408</v>
      </c>
      <c r="J45" s="178" t="n">
        <f aca="false">IF($H$18=0,0,H45/$H$18)</f>
        <v>0.000711858828929737</v>
      </c>
    </row>
    <row r="46" customFormat="false" ht="13.5" hidden="false" customHeight="true" outlineLevel="0" collapsed="false">
      <c r="A46" s="132"/>
      <c r="B46" s="132" t="s">
        <v>209</v>
      </c>
      <c r="D46" s="160" t="e">
        <f aca="false">#ref!</f>
        <v>#NAME?</v>
      </c>
      <c r="E46" s="160"/>
      <c r="F46" s="181" t="e">
        <f aca="false">#ref!</f>
        <v>#NAME?</v>
      </c>
      <c r="G46" s="160"/>
      <c r="H46" s="180" t="n">
        <f aca="false">+BAL!G169+BAL!G156+BAL!G165</f>
        <v>39614.91</v>
      </c>
      <c r="J46" s="178" t="n">
        <f aca="false">IF($H$18=0,0,H46/$H$18)</f>
        <v>0.0200285677846285</v>
      </c>
    </row>
    <row r="47" customFormat="false" ht="13.5" hidden="false" customHeight="true" outlineLevel="0" collapsed="false">
      <c r="A47" s="132"/>
      <c r="B47" s="132" t="s">
        <v>210</v>
      </c>
      <c r="D47" s="160" t="e">
        <f aca="false">#ref!</f>
        <v>#NAME?</v>
      </c>
      <c r="E47" s="160"/>
      <c r="F47" s="181" t="e">
        <f aca="false">#ref!</f>
        <v>#NAME?</v>
      </c>
      <c r="G47" s="160"/>
      <c r="H47" s="180" t="n">
        <f aca="false">+BAL!G170</f>
        <v>0</v>
      </c>
      <c r="J47" s="178" t="n">
        <f aca="false">IF($H$18=0,0,H47/$H$18)</f>
        <v>0</v>
      </c>
    </row>
    <row r="48" customFormat="false" ht="13.5" hidden="true" customHeight="true" outlineLevel="0" collapsed="false">
      <c r="A48" s="132"/>
      <c r="B48" s="132"/>
      <c r="D48" s="160" t="e">
        <f aca="false">#ref!</f>
        <v>#NAME?</v>
      </c>
      <c r="E48" s="160"/>
      <c r="F48" s="181" t="e">
        <f aca="false">#ref!</f>
        <v>#NAME?</v>
      </c>
      <c r="G48" s="160"/>
      <c r="H48" s="180"/>
      <c r="J48" s="178" t="n">
        <f aca="false">IF($H$18=0,0,H48/$H$18)</f>
        <v>0</v>
      </c>
    </row>
    <row r="49" customFormat="false" ht="13.5" hidden="true" customHeight="true" outlineLevel="0" collapsed="false">
      <c r="A49" s="132"/>
      <c r="B49" s="132"/>
      <c r="D49" s="160" t="e">
        <f aca="false">#ref!</f>
        <v>#NAME?</v>
      </c>
      <c r="E49" s="160"/>
      <c r="F49" s="181" t="e">
        <f aca="false">#ref!</f>
        <v>#NAME?</v>
      </c>
      <c r="H49" s="180"/>
      <c r="J49" s="178" t="n">
        <f aca="false">IF($H$18=0,0,H49/$H$18)</f>
        <v>0</v>
      </c>
    </row>
    <row r="50" customFormat="false" ht="13.5" hidden="false" customHeight="true" outlineLevel="0" collapsed="false">
      <c r="A50" s="132"/>
      <c r="B50" s="132" t="s">
        <v>211</v>
      </c>
      <c r="D50" s="173" t="e">
        <f aca="false">#ref!</f>
        <v>#NAME?</v>
      </c>
      <c r="E50" s="173"/>
      <c r="F50" s="181" t="e">
        <f aca="false">#ref!</f>
        <v>#NAME?</v>
      </c>
      <c r="H50" s="179" t="n">
        <f aca="false">+BAL!G171</f>
        <v>43318.29</v>
      </c>
      <c r="J50" s="178" t="n">
        <f aca="false">IF($H$18=0,0,H50/$H$18)</f>
        <v>0.0219009284024423</v>
      </c>
    </row>
    <row r="51" customFormat="false" ht="13.5" hidden="false" customHeight="true" outlineLevel="0" collapsed="false">
      <c r="B51" s="171" t="s">
        <v>212</v>
      </c>
      <c r="C51" s="171"/>
      <c r="D51" s="160" t="e">
        <f aca="false">#ref!</f>
        <v>#NAME?</v>
      </c>
      <c r="E51" s="160"/>
      <c r="F51" s="181" t="e">
        <f aca="false">#ref!</f>
        <v>#NAME?</v>
      </c>
      <c r="H51" s="180" t="n">
        <f aca="false">SUM(H28:H50)</f>
        <v>2890224.43052</v>
      </c>
      <c r="J51" s="178" t="n">
        <f aca="false">IF($H$18=0,0,H51/$H$18)</f>
        <v>1.46124416083386</v>
      </c>
      <c r="M51" s="182"/>
      <c r="R51" s="182"/>
      <c r="U51" s="182"/>
    </row>
    <row r="52" customFormat="false" ht="13.5" hidden="false" customHeight="true" outlineLevel="0" collapsed="false">
      <c r="B52" s="131"/>
      <c r="D52" s="160"/>
      <c r="E52" s="160"/>
      <c r="F52" s="184"/>
      <c r="H52" s="180"/>
      <c r="J52" s="184"/>
    </row>
    <row r="53" customFormat="false" ht="13.5" hidden="false" customHeight="true" outlineLevel="0" collapsed="false">
      <c r="B53" s="171" t="s">
        <v>213</v>
      </c>
      <c r="C53" s="171"/>
      <c r="D53" s="160" t="e">
        <f aca="false">#ref!</f>
        <v>#NAME?</v>
      </c>
      <c r="E53" s="160"/>
      <c r="F53" s="181" t="e">
        <f aca="false">#ref!</f>
        <v>#NAME?</v>
      </c>
      <c r="G53" s="160"/>
      <c r="H53" s="185" t="n">
        <f aca="false">+H25-H51</f>
        <v>-2566985.934509</v>
      </c>
      <c r="J53" s="178" t="n">
        <f aca="false">IF($H$18=0,0,H53/$H$18)</f>
        <v>-1.2978207395019</v>
      </c>
    </row>
    <row r="54" customFormat="false" ht="13.5" hidden="false" customHeight="true" outlineLevel="0" collapsed="false">
      <c r="F54" s="184"/>
      <c r="H54" s="180"/>
      <c r="J54" s="184"/>
    </row>
    <row r="55" customFormat="false" ht="13.5" hidden="false" customHeight="true" outlineLevel="0" collapsed="false">
      <c r="B55" s="171" t="s">
        <v>214</v>
      </c>
      <c r="C55" s="171"/>
      <c r="F55" s="184"/>
      <c r="H55" s="180"/>
      <c r="J55" s="184"/>
    </row>
    <row r="56" customFormat="false" ht="13.5" hidden="false" customHeight="true" outlineLevel="0" collapsed="false">
      <c r="A56" s="132"/>
      <c r="B56" s="132" t="s">
        <v>215</v>
      </c>
      <c r="D56" s="160" t="e">
        <f aca="false">#ref!</f>
        <v>#NAME?</v>
      </c>
      <c r="E56" s="160"/>
      <c r="F56" s="181" t="e">
        <f aca="false">#ref!</f>
        <v>#NAME?</v>
      </c>
      <c r="H56" s="180" t="n">
        <f aca="false">+BAL!G109</f>
        <v>98.9199</v>
      </c>
      <c r="J56" s="178" t="n">
        <f aca="false">IF($H$18=0,0,H56/$H$18)</f>
        <v>5.00120768265956E-005</v>
      </c>
    </row>
    <row r="57" customFormat="false" ht="13.5" hidden="false" customHeight="true" outlineLevel="0" collapsed="false">
      <c r="A57" s="132"/>
      <c r="B57" s="132" t="s">
        <v>216</v>
      </c>
      <c r="D57" s="186" t="n">
        <v>0</v>
      </c>
      <c r="E57" s="186"/>
      <c r="F57" s="181" t="e">
        <f aca="false">#ref!</f>
        <v>#NAME?</v>
      </c>
      <c r="H57" s="179" t="n">
        <v>0</v>
      </c>
      <c r="J57" s="178" t="n">
        <f aca="false">IF($H$18=0,0,H57/$H$18)</f>
        <v>0</v>
      </c>
    </row>
    <row r="58" customFormat="false" ht="13.5" hidden="false" customHeight="true" outlineLevel="0" collapsed="false">
      <c r="B58" s="171" t="s">
        <v>217</v>
      </c>
      <c r="C58" s="171"/>
      <c r="D58" s="160" t="e">
        <f aca="false">#ref!</f>
        <v>#NAME?</v>
      </c>
      <c r="E58" s="160"/>
      <c r="F58" s="181" t="e">
        <f aca="false">#ref!</f>
        <v>#NAME?</v>
      </c>
      <c r="H58" s="180" t="n">
        <f aca="false">SUM(H56:H57)</f>
        <v>98.9199</v>
      </c>
      <c r="J58" s="178" t="n">
        <f aca="false">IF($H$18=0,0,H58/$H$18)</f>
        <v>5.00120768265956E-005</v>
      </c>
    </row>
    <row r="59" customFormat="false" ht="13.5" hidden="false" customHeight="true" outlineLevel="0" collapsed="false">
      <c r="F59" s="184"/>
      <c r="H59" s="180"/>
      <c r="J59" s="184"/>
    </row>
    <row r="60" customFormat="false" ht="13.5" hidden="false" customHeight="true" outlineLevel="0" collapsed="false">
      <c r="A60" s="131"/>
      <c r="B60" s="171" t="s">
        <v>218</v>
      </c>
      <c r="C60" s="171"/>
      <c r="F60" s="184"/>
      <c r="H60" s="180"/>
      <c r="J60" s="184"/>
    </row>
    <row r="61" customFormat="false" ht="13.5" hidden="false" customHeight="true" outlineLevel="0" collapsed="false">
      <c r="A61" s="132"/>
      <c r="B61" s="132" t="s">
        <v>219</v>
      </c>
      <c r="D61" s="160" t="n">
        <v>0</v>
      </c>
      <c r="E61" s="160"/>
      <c r="F61" s="181" t="e">
        <f aca="false">#ref!</f>
        <v>#NAME?</v>
      </c>
      <c r="H61" s="180" t="n">
        <f aca="false">+BAL!G181</f>
        <v>4574.35</v>
      </c>
      <c r="J61" s="178" t="n">
        <f aca="false">IF($H$18=0,0,H61/$H$18)</f>
        <v>0.00231270698445649</v>
      </c>
    </row>
    <row r="62" customFormat="false" ht="13.5" hidden="false" customHeight="true" outlineLevel="0" collapsed="false">
      <c r="A62" s="132"/>
      <c r="B62" s="132" t="s">
        <v>220</v>
      </c>
      <c r="D62" s="186" t="e">
        <f aca="false">#ref!</f>
        <v>#NAME?</v>
      </c>
      <c r="E62" s="186"/>
      <c r="F62" s="181" t="e">
        <f aca="false">#ref!</f>
        <v>#NAME?</v>
      </c>
      <c r="H62" s="179" t="n">
        <f aca="false">-BAL!G174</f>
        <v>-229978.65</v>
      </c>
      <c r="J62" s="178" t="n">
        <f aca="false">IF($H$18=0,0,H62/$H$18)</f>
        <v>-0.116272963400456</v>
      </c>
    </row>
    <row r="63" customFormat="false" ht="13.5" hidden="false" customHeight="true" outlineLevel="0" collapsed="false">
      <c r="A63" s="132"/>
      <c r="B63" s="171" t="s">
        <v>221</v>
      </c>
      <c r="C63" s="171"/>
      <c r="D63" s="160" t="e">
        <f aca="false">#ref!</f>
        <v>#NAME?</v>
      </c>
      <c r="E63" s="160"/>
      <c r="F63" s="181" t="e">
        <f aca="false">#ref!</f>
        <v>#NAME?</v>
      </c>
      <c r="H63" s="180" t="n">
        <f aca="false">SUM(H61:H62)</f>
        <v>-225404.3</v>
      </c>
      <c r="J63" s="178" t="n">
        <f aca="false">IF($H$18=0,0,H63/$H$18)</f>
        <v>-0.113960256415999</v>
      </c>
    </row>
    <row r="64" customFormat="false" ht="13.5" hidden="false" customHeight="true" outlineLevel="0" collapsed="false">
      <c r="B64" s="132"/>
      <c r="F64" s="184"/>
      <c r="J64" s="184"/>
    </row>
    <row r="65" customFormat="false" ht="13.5" hidden="false" customHeight="true" outlineLevel="0" collapsed="false">
      <c r="B65" s="171" t="s">
        <v>222</v>
      </c>
      <c r="C65" s="171"/>
      <c r="D65" s="160" t="e">
        <f aca="false">#ref!</f>
        <v>#NAME?</v>
      </c>
      <c r="E65" s="160"/>
      <c r="F65" s="181" t="e">
        <f aca="false">#ref!</f>
        <v>#NAME?</v>
      </c>
      <c r="H65" s="187" t="n">
        <f aca="false">+H53+H58+H63</f>
        <v>-2792291.314609</v>
      </c>
      <c r="J65" s="178" t="n">
        <f aca="false">IF($H$18=0,0,H65/$H$18)</f>
        <v>-1.41173098384108</v>
      </c>
    </row>
    <row r="66" customFormat="false" ht="13.5" hidden="false" customHeight="true" outlineLevel="0" collapsed="false">
      <c r="B66" s="132"/>
      <c r="F66" s="184"/>
      <c r="J66" s="184"/>
    </row>
    <row r="67" customFormat="false" ht="12.75" hidden="false" customHeight="true" outlineLevel="0" collapsed="false">
      <c r="B67" s="171" t="s">
        <v>223</v>
      </c>
      <c r="C67" s="171"/>
      <c r="D67" s="160" t="n">
        <v>0</v>
      </c>
      <c r="E67" s="160"/>
      <c r="F67" s="181" t="e">
        <f aca="false">#ref!</f>
        <v>#NAME?</v>
      </c>
      <c r="H67" s="188" t="n">
        <v>0</v>
      </c>
      <c r="J67" s="178" t="n">
        <f aca="false">IF($H$18=0,0,H67/$H$18)</f>
        <v>0</v>
      </c>
    </row>
    <row r="68" customFormat="false" ht="12.75" hidden="false" customHeight="false" outlineLevel="0" collapsed="false">
      <c r="B68" s="171" t="s">
        <v>224</v>
      </c>
      <c r="C68" s="171"/>
      <c r="D68" s="160" t="n">
        <v>0</v>
      </c>
      <c r="E68" s="160"/>
      <c r="F68" s="181" t="e">
        <f aca="false">#ref!</f>
        <v>#NAME?</v>
      </c>
      <c r="H68" s="188" t="n">
        <f aca="false">+BAL!G180</f>
        <v>0</v>
      </c>
      <c r="J68" s="178" t="n">
        <f aca="false">IF($H$18=0,0,H68/$H$18)</f>
        <v>0</v>
      </c>
    </row>
    <row r="69" customFormat="false" ht="13.5" hidden="false" customHeight="true" outlineLevel="0" collapsed="false">
      <c r="B69" s="132"/>
      <c r="F69" s="184"/>
      <c r="J69" s="184"/>
      <c r="U69" s="189"/>
    </row>
    <row r="70" customFormat="false" ht="13.5" hidden="false" customHeight="true" outlineLevel="0" collapsed="false">
      <c r="B70" s="171" t="s">
        <v>225</v>
      </c>
      <c r="C70" s="171"/>
      <c r="D70" s="190" t="e">
        <f aca="false">#ref!</f>
        <v>#NAME?</v>
      </c>
      <c r="E70" s="160"/>
      <c r="F70" s="181" t="e">
        <f aca="false">#ref!</f>
        <v>#NAME?</v>
      </c>
      <c r="H70" s="191" t="n">
        <f aca="false">+H65-H67-H68</f>
        <v>-2792291.314609</v>
      </c>
      <c r="J70" s="178" t="n">
        <f aca="false">IF($H$18=0,0,H70/$H$18)</f>
        <v>-1.41173098384108</v>
      </c>
    </row>
    <row r="71" customFormat="false" ht="13.5" hidden="false" customHeight="true" outlineLevel="0" collapsed="false">
      <c r="B71" s="132"/>
    </row>
    <row r="72" customFormat="false" ht="12.75" hidden="false" customHeight="true" outlineLevel="0" collapsed="false">
      <c r="B72" s="132"/>
    </row>
    <row r="73" customFormat="false" ht="12.75" hidden="true" customHeight="true" outlineLevel="0" collapsed="false">
      <c r="A73" s="192"/>
      <c r="B73" s="192"/>
      <c r="C73" s="192"/>
      <c r="D73" s="192"/>
      <c r="E73" s="192"/>
      <c r="F73" s="192"/>
      <c r="G73" s="192"/>
      <c r="H73" s="192"/>
      <c r="I73" s="192"/>
      <c r="J73" s="192"/>
      <c r="K73" s="192"/>
    </row>
    <row r="74" customFormat="false" ht="12.75" hidden="true" customHeight="true" outlineLevel="0" collapsed="false">
      <c r="A74" s="192"/>
      <c r="B74" s="192"/>
      <c r="C74" s="192"/>
      <c r="D74" s="192"/>
      <c r="E74" s="192"/>
      <c r="F74" s="192"/>
      <c r="G74" s="192"/>
      <c r="H74" s="192"/>
      <c r="I74" s="192"/>
      <c r="J74" s="192"/>
      <c r="K74" s="192"/>
    </row>
    <row r="75" customFormat="false" ht="12.75" hidden="true" customHeight="true" outlineLevel="0" collapsed="false">
      <c r="A75" s="192"/>
      <c r="B75" s="192"/>
      <c r="C75" s="192"/>
      <c r="D75" s="192"/>
      <c r="E75" s="192"/>
      <c r="F75" s="192"/>
      <c r="G75" s="192"/>
      <c r="H75" s="192"/>
      <c r="I75" s="192"/>
      <c r="J75" s="192"/>
      <c r="K75" s="192"/>
    </row>
    <row r="76" customFormat="false" ht="12.75" hidden="true" customHeight="true" outlineLevel="0" collapsed="false">
      <c r="A76" s="192"/>
      <c r="B76" s="192"/>
      <c r="C76" s="192"/>
      <c r="D76" s="192"/>
      <c r="E76" s="192"/>
      <c r="F76" s="192"/>
      <c r="G76" s="192"/>
      <c r="H76" s="192"/>
      <c r="I76" s="192"/>
      <c r="J76" s="192"/>
      <c r="K76" s="192"/>
    </row>
    <row r="77" customFormat="false" ht="12.75" hidden="true" customHeight="true" outlineLevel="0" collapsed="false">
      <c r="A77" s="192"/>
      <c r="B77" s="192"/>
      <c r="C77" s="192"/>
      <c r="D77" s="192"/>
      <c r="E77" s="192"/>
      <c r="F77" s="192"/>
      <c r="G77" s="192"/>
      <c r="H77" s="192"/>
      <c r="I77" s="192"/>
      <c r="J77" s="192"/>
      <c r="K77" s="192"/>
    </row>
    <row r="78" customFormat="false" ht="12.75" hidden="true" customHeight="true" outlineLevel="0" collapsed="false">
      <c r="A78" s="192"/>
      <c r="B78" s="192"/>
      <c r="C78" s="192"/>
      <c r="D78" s="192"/>
      <c r="E78" s="192"/>
      <c r="F78" s="192"/>
      <c r="G78" s="192"/>
      <c r="H78" s="192"/>
      <c r="I78" s="192"/>
      <c r="J78" s="192"/>
      <c r="K78" s="192"/>
    </row>
    <row r="79" customFormat="false" ht="18" hidden="true" customHeight="true" outlineLevel="0" collapsed="false">
      <c r="A79" s="192"/>
      <c r="B79" s="192"/>
      <c r="C79" s="192"/>
      <c r="D79" s="192"/>
      <c r="E79" s="192"/>
      <c r="F79" s="192"/>
      <c r="G79" s="192"/>
      <c r="H79" s="192"/>
      <c r="I79" s="192"/>
      <c r="J79" s="192"/>
      <c r="K79" s="192"/>
    </row>
    <row r="80" customFormat="false" ht="12.75" hidden="true" customHeight="true" outlineLevel="0" collapsed="false">
      <c r="A80" s="151"/>
      <c r="B80" s="151"/>
      <c r="C80" s="151"/>
      <c r="D80" s="151"/>
      <c r="E80" s="151"/>
      <c r="F80" s="151"/>
      <c r="G80" s="153"/>
      <c r="H80" s="153"/>
      <c r="I80" s="153"/>
      <c r="J80" s="153"/>
      <c r="K80" s="153"/>
    </row>
    <row r="81" customFormat="false" ht="12.75" hidden="true" customHeight="true" outlineLevel="0" collapsed="false">
      <c r="A81" s="152"/>
      <c r="B81" s="152"/>
      <c r="C81" s="152"/>
      <c r="D81" s="152"/>
      <c r="E81" s="152"/>
      <c r="F81" s="152"/>
      <c r="G81" s="153"/>
      <c r="H81" s="153"/>
      <c r="I81" s="153"/>
      <c r="J81" s="153"/>
      <c r="K81" s="153"/>
    </row>
    <row r="82" customFormat="false" ht="12.75" hidden="true" customHeight="true" outlineLevel="0" collapsed="false">
      <c r="A82" s="154"/>
      <c r="B82" s="154"/>
      <c r="C82" s="154"/>
      <c r="D82" s="154"/>
      <c r="E82" s="153"/>
      <c r="F82" s="152"/>
      <c r="G82" s="153"/>
      <c r="H82" s="153"/>
      <c r="I82" s="156"/>
      <c r="J82" s="157"/>
      <c r="K82" s="153"/>
    </row>
    <row r="83" customFormat="false" ht="12.75" hidden="true" customHeight="true" outlineLevel="0" collapsed="false">
      <c r="A83" s="158"/>
      <c r="B83" s="158"/>
      <c r="C83" s="158"/>
      <c r="D83" s="158"/>
      <c r="E83" s="159"/>
      <c r="F83" s="155"/>
      <c r="G83" s="153"/>
      <c r="H83" s="157"/>
      <c r="I83" s="156"/>
      <c r="J83" s="157"/>
      <c r="K83" s="153"/>
    </row>
    <row r="84" customFormat="false" ht="12.75" hidden="true" customHeight="true" outlineLevel="0" collapsed="false">
      <c r="A84" s="158"/>
      <c r="B84" s="158"/>
      <c r="C84" s="158"/>
      <c r="D84" s="158"/>
      <c r="E84" s="152"/>
      <c r="F84" s="152"/>
      <c r="G84" s="153"/>
      <c r="H84" s="153"/>
      <c r="I84" s="153"/>
      <c r="J84" s="153"/>
      <c r="K84" s="153"/>
    </row>
    <row r="85" customFormat="false" ht="12.75" hidden="true" customHeight="true" outlineLevel="0" collapsed="false"/>
    <row r="86" customFormat="false" ht="12.75" hidden="true" customHeight="true" outlineLevel="0" collapsed="false"/>
    <row r="87" customFormat="false" ht="12.75" hidden="true" customHeight="true" outlineLevel="0" collapsed="false"/>
  </sheetData>
  <mergeCells count="25">
    <mergeCell ref="B9:J9"/>
    <mergeCell ref="B10:J10"/>
    <mergeCell ref="B11:J11"/>
    <mergeCell ref="B12:J12"/>
    <mergeCell ref="B17:C17"/>
    <mergeCell ref="B18:C18"/>
    <mergeCell ref="B19:C19"/>
    <mergeCell ref="B20:C20"/>
    <mergeCell ref="B22:C22"/>
    <mergeCell ref="B25:C25"/>
    <mergeCell ref="B27:C27"/>
    <mergeCell ref="B51:C51"/>
    <mergeCell ref="B53:C53"/>
    <mergeCell ref="B55:C55"/>
    <mergeCell ref="B58:C58"/>
    <mergeCell ref="B60:C60"/>
    <mergeCell ref="B63:C63"/>
    <mergeCell ref="B65:C65"/>
    <mergeCell ref="B67:C67"/>
    <mergeCell ref="B68:C68"/>
    <mergeCell ref="B70:C70"/>
    <mergeCell ref="A73:K79"/>
    <mergeCell ref="A82:D82"/>
    <mergeCell ref="A83:D83"/>
    <mergeCell ref="A84:D8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219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pane xSplit="0" ySplit="5" topLeftCell="A6" activePane="bottomLeft" state="frozen"/>
      <selection pane="topLeft" activeCell="A1" activeCellId="0" sqref="A1"/>
      <selection pane="bottomLeft" activeCell="K176" activeCellId="0" sqref="K176"/>
    </sheetView>
  </sheetViews>
  <sheetFormatPr defaultColWidth="11.4453125" defaultRowHeight="12.75" customHeight="false" zeroHeight="false" outlineLevelRow="0" outlineLevelCol="0"/>
  <cols>
    <col collapsed="false" customWidth="true" hidden="false" outlineLevel="0" max="1" min="1" style="0" width="5.66"/>
    <col collapsed="false" customWidth="true" hidden="false" outlineLevel="0" max="2" min="2" style="0" width="3.56"/>
    <col collapsed="false" customWidth="true" hidden="false" outlineLevel="0" max="3" min="3" style="0" width="31.33"/>
    <col collapsed="false" customWidth="true" hidden="false" outlineLevel="0" max="7" min="4" style="0" width="17.33"/>
    <col collapsed="false" customWidth="true" hidden="false" outlineLevel="0" max="8" min="8" style="0" width="5.44"/>
    <col collapsed="false" customWidth="true" hidden="false" outlineLevel="0" max="10" min="10" style="1" width="14.56"/>
    <col collapsed="false" customWidth="true" hidden="false" outlineLevel="0" max="11" min="11" style="1" width="16.77"/>
    <col collapsed="false" customWidth="true" hidden="false" outlineLevel="0" max="12" min="12" style="1" width="14.44"/>
    <col collapsed="false" customWidth="true" hidden="false" outlineLevel="0" max="13" min="13" style="1" width="15.56"/>
  </cols>
  <sheetData>
    <row r="1" customFormat="false" ht="13.8" hidden="false" customHeight="false" outlineLevel="0" collapsed="false">
      <c r="C1" s="193" t="s">
        <v>226</v>
      </c>
      <c r="D1" s="193"/>
      <c r="E1" s="193"/>
      <c r="F1" s="193"/>
      <c r="G1" s="193"/>
    </row>
    <row r="2" customFormat="false" ht="15" hidden="false" customHeight="false" outlineLevel="0" collapsed="false">
      <c r="C2" s="194" t="s">
        <v>227</v>
      </c>
      <c r="D2" s="194"/>
      <c r="E2" s="194"/>
      <c r="F2" s="194"/>
      <c r="G2" s="194"/>
    </row>
    <row r="3" customFormat="false" ht="17.25" hidden="false" customHeight="false" outlineLevel="0" collapsed="false">
      <c r="A3" s="195"/>
      <c r="B3" s="195"/>
      <c r="C3" s="196" t="s">
        <v>228</v>
      </c>
      <c r="D3" s="196"/>
      <c r="E3" s="196"/>
      <c r="F3" s="196"/>
      <c r="G3" s="196"/>
    </row>
    <row r="4" customFormat="false" ht="15" hidden="false" customHeight="false" outlineLevel="0" collapsed="false">
      <c r="A4" s="197"/>
      <c r="B4" s="197"/>
      <c r="C4" s="198" t="s">
        <v>229</v>
      </c>
      <c r="D4" s="198"/>
      <c r="E4" s="198"/>
      <c r="F4" s="198"/>
      <c r="G4" s="198"/>
      <c r="M4" s="1" t="n">
        <f aca="false">+L5-K5</f>
        <v>232.94</v>
      </c>
    </row>
    <row r="5" customFormat="false" ht="17.25" hidden="false" customHeight="false" outlineLevel="0" collapsed="false">
      <c r="C5" s="199"/>
      <c r="D5" s="199"/>
      <c r="E5" s="199"/>
      <c r="F5" s="199"/>
      <c r="G5" s="199"/>
      <c r="K5" s="1" t="n">
        <f aca="false">SUBTOTAL(9,K7:K215)</f>
        <v>1088.64</v>
      </c>
      <c r="L5" s="1" t="n">
        <f aca="false">SUBTOTAL(9,L7:L247)</f>
        <v>1321.58</v>
      </c>
    </row>
    <row r="6" customFormat="false" ht="12.75" hidden="false" customHeight="false" outlineLevel="0" collapsed="false">
      <c r="C6" s="200" t="s">
        <v>230</v>
      </c>
      <c r="D6" s="200" t="s">
        <v>231</v>
      </c>
      <c r="E6" s="200" t="s">
        <v>232</v>
      </c>
      <c r="F6" s="200" t="s">
        <v>233</v>
      </c>
      <c r="G6" s="200" t="s">
        <v>234</v>
      </c>
    </row>
    <row r="7" customFormat="false" ht="12.75" hidden="false" customHeight="false" outlineLevel="0" collapsed="false">
      <c r="A7" s="0" t="s">
        <v>235</v>
      </c>
      <c r="B7" s="0" t="n">
        <v>1</v>
      </c>
      <c r="C7" s="201" t="s">
        <v>236</v>
      </c>
      <c r="D7" s="202" t="n">
        <v>1324.44</v>
      </c>
      <c r="E7" s="202" t="n">
        <v>0</v>
      </c>
      <c r="F7" s="202" t="n">
        <v>0</v>
      </c>
      <c r="G7" s="202" t="n">
        <v>1324.44</v>
      </c>
      <c r="H7" s="203" t="str">
        <f aca="false">IF(I7=C7,"ok","REVISAR")</f>
        <v>ok</v>
      </c>
      <c r="I7" s="203" t="s">
        <v>236</v>
      </c>
      <c r="J7" s="204" t="n">
        <v>1324.44</v>
      </c>
      <c r="K7" s="204" t="n">
        <v>0</v>
      </c>
      <c r="L7" s="204" t="n">
        <v>0</v>
      </c>
      <c r="M7" s="204" t="n">
        <v>1324.44</v>
      </c>
    </row>
    <row r="8" customFormat="false" ht="12.75" hidden="false" customHeight="false" outlineLevel="0" collapsed="false">
      <c r="B8" s="0" t="n">
        <v>2</v>
      </c>
      <c r="C8" s="205" t="s">
        <v>237</v>
      </c>
      <c r="D8" s="206" t="n">
        <v>1324.44</v>
      </c>
      <c r="E8" s="206"/>
      <c r="F8" s="206"/>
      <c r="G8" s="206" t="n">
        <v>1324.44</v>
      </c>
      <c r="H8" s="203" t="str">
        <f aca="false">IF(I8=C8,"ok","REVISAR")</f>
        <v>ok</v>
      </c>
      <c r="I8" s="203" t="s">
        <v>237</v>
      </c>
      <c r="J8" s="204" t="n">
        <v>1324.44</v>
      </c>
      <c r="K8" s="204"/>
      <c r="L8" s="204"/>
      <c r="M8" s="204" t="n">
        <v>1324.44</v>
      </c>
    </row>
    <row r="9" customFormat="false" ht="12.75" hidden="false" customHeight="false" outlineLevel="0" collapsed="false">
      <c r="A9" s="0" t="s">
        <v>235</v>
      </c>
      <c r="B9" s="0" t="n">
        <v>1</v>
      </c>
      <c r="C9" s="201" t="s">
        <v>238</v>
      </c>
      <c r="D9" s="202" t="n">
        <v>-1008205.812061</v>
      </c>
      <c r="E9" s="202" t="n">
        <v>0</v>
      </c>
      <c r="F9" s="202" t="n">
        <v>584.64</v>
      </c>
      <c r="G9" s="202" t="n">
        <v>-1008790.452061</v>
      </c>
      <c r="H9" s="203" t="str">
        <f aca="false">IF(I9=C9,"ok","REVISAR")</f>
        <v>ok</v>
      </c>
      <c r="I9" s="203" t="s">
        <v>238</v>
      </c>
      <c r="J9" s="204" t="n">
        <v>-1008205.812061</v>
      </c>
      <c r="K9" s="204" t="n">
        <v>0</v>
      </c>
      <c r="L9" s="204" t="n">
        <v>584.64</v>
      </c>
      <c r="M9" s="204" t="n">
        <v>-1008790.452061</v>
      </c>
    </row>
    <row r="10" customFormat="false" ht="12.75" hidden="false" customHeight="false" outlineLevel="0" collapsed="false">
      <c r="B10" s="0" t="n">
        <v>2</v>
      </c>
      <c r="C10" s="205" t="s">
        <v>239</v>
      </c>
      <c r="D10" s="206" t="n">
        <v>-1331003.099961</v>
      </c>
      <c r="E10" s="206"/>
      <c r="F10" s="206" t="n">
        <v>584.64</v>
      </c>
      <c r="G10" s="206" t="n">
        <v>-1331587.739961</v>
      </c>
      <c r="H10" s="203" t="str">
        <f aca="false">IF(I10=C10,"ok","REVISAR")</f>
        <v>ok</v>
      </c>
      <c r="I10" s="203" t="s">
        <v>239</v>
      </c>
      <c r="J10" s="204" t="n">
        <v>-1331003.099961</v>
      </c>
      <c r="K10" s="204"/>
      <c r="L10" s="204" t="n">
        <v>584.64</v>
      </c>
      <c r="M10" s="204" t="n">
        <v>-1331587.739961</v>
      </c>
    </row>
    <row r="11" customFormat="false" ht="12.75" hidden="false" customHeight="false" outlineLevel="0" collapsed="false">
      <c r="B11" s="0" t="n">
        <v>1</v>
      </c>
      <c r="C11" s="205" t="s">
        <v>240</v>
      </c>
      <c r="D11" s="206" t="n">
        <v>301648.176000003</v>
      </c>
      <c r="E11" s="206"/>
      <c r="F11" s="206"/>
      <c r="G11" s="206" t="n">
        <v>301648.176</v>
      </c>
      <c r="H11" s="203" t="str">
        <f aca="false">IF(I11=C11,"ok","REVISAR")</f>
        <v>ok</v>
      </c>
      <c r="I11" s="203" t="s">
        <v>240</v>
      </c>
      <c r="J11" s="204" t="n">
        <v>301648.176000003</v>
      </c>
      <c r="K11" s="204"/>
      <c r="L11" s="204"/>
      <c r="M11" s="204" t="n">
        <v>301648.176</v>
      </c>
    </row>
    <row r="12" customFormat="false" ht="12.75" hidden="false" customHeight="false" outlineLevel="0" collapsed="false">
      <c r="B12" s="0" t="n">
        <v>2</v>
      </c>
      <c r="C12" s="205" t="s">
        <v>241</v>
      </c>
      <c r="D12" s="206" t="n">
        <v>244.4019</v>
      </c>
      <c r="E12" s="206" t="n">
        <v>0</v>
      </c>
      <c r="F12" s="206" t="n">
        <v>0</v>
      </c>
      <c r="G12" s="206" t="n">
        <v>244.4019</v>
      </c>
      <c r="H12" s="203" t="str">
        <f aca="false">IF(I12=C12,"ok","REVISAR")</f>
        <v>ok</v>
      </c>
      <c r="I12" s="203" t="s">
        <v>241</v>
      </c>
      <c r="J12" s="204" t="n">
        <v>244.4019</v>
      </c>
      <c r="K12" s="204" t="n">
        <v>0</v>
      </c>
      <c r="L12" s="204" t="n">
        <v>0</v>
      </c>
      <c r="M12" s="204" t="n">
        <v>244.4019</v>
      </c>
    </row>
    <row r="13" customFormat="false" ht="12.75" hidden="false" customHeight="false" outlineLevel="0" collapsed="false">
      <c r="B13" s="0" t="n">
        <v>1</v>
      </c>
      <c r="C13" s="205" t="s">
        <v>242</v>
      </c>
      <c r="D13" s="206" t="n">
        <v>14.11</v>
      </c>
      <c r="E13" s="206"/>
      <c r="F13" s="206"/>
      <c r="G13" s="206" t="n">
        <v>14.11</v>
      </c>
      <c r="H13" s="203" t="str">
        <f aca="false">IF(I13=C13,"ok","REVISAR")</f>
        <v>ok</v>
      </c>
      <c r="I13" s="203" t="s">
        <v>242</v>
      </c>
      <c r="J13" s="204" t="n">
        <v>14.11</v>
      </c>
      <c r="K13" s="204"/>
      <c r="L13" s="204"/>
      <c r="M13" s="204" t="n">
        <v>14.11</v>
      </c>
    </row>
    <row r="14" customFormat="false" ht="12.75" hidden="false" customHeight="false" outlineLevel="0" collapsed="false">
      <c r="B14" s="0" t="n">
        <v>2</v>
      </c>
      <c r="C14" s="205" t="s">
        <v>243</v>
      </c>
      <c r="D14" s="206" t="n">
        <v>230.2919</v>
      </c>
      <c r="E14" s="206"/>
      <c r="F14" s="206"/>
      <c r="G14" s="206" t="n">
        <v>230.2919</v>
      </c>
      <c r="H14" s="203" t="str">
        <f aca="false">IF(I14=C14,"ok","REVISAR")</f>
        <v>ok</v>
      </c>
      <c r="I14" s="203" t="s">
        <v>243</v>
      </c>
      <c r="J14" s="204" t="n">
        <v>230.2919</v>
      </c>
      <c r="K14" s="204"/>
      <c r="L14" s="204"/>
      <c r="M14" s="204" t="n">
        <v>230.2919</v>
      </c>
    </row>
    <row r="15" customFormat="false" ht="12.75" hidden="false" customHeight="false" outlineLevel="0" collapsed="false">
      <c r="B15" s="0" t="n">
        <v>1</v>
      </c>
      <c r="C15" s="205" t="s">
        <v>244</v>
      </c>
      <c r="D15" s="206" t="n">
        <v>0.010000002</v>
      </c>
      <c r="E15" s="206"/>
      <c r="F15" s="206"/>
      <c r="G15" s="206" t="n">
        <v>0.01</v>
      </c>
      <c r="H15" s="203" t="str">
        <f aca="false">IF(I15=C15,"ok","REVISAR")</f>
        <v>ok</v>
      </c>
      <c r="I15" s="203" t="s">
        <v>244</v>
      </c>
      <c r="J15" s="204" t="n">
        <v>0.010000002</v>
      </c>
      <c r="K15" s="204"/>
      <c r="L15" s="204"/>
      <c r="M15" s="204" t="n">
        <v>0.01</v>
      </c>
    </row>
    <row r="16" customFormat="false" ht="12.75" hidden="false" customHeight="false" outlineLevel="0" collapsed="false">
      <c r="B16" s="0" t="n">
        <v>2</v>
      </c>
      <c r="C16" s="205" t="s">
        <v>245</v>
      </c>
      <c r="D16" s="206" t="n">
        <v>20904.7</v>
      </c>
      <c r="E16" s="206"/>
      <c r="F16" s="206"/>
      <c r="G16" s="206" t="n">
        <v>20904.7</v>
      </c>
      <c r="H16" s="203" t="str">
        <f aca="false">IF(I16=C16,"ok","REVISAR")</f>
        <v>ok</v>
      </c>
      <c r="I16" s="203" t="s">
        <v>245</v>
      </c>
      <c r="J16" s="204" t="n">
        <v>20904.7</v>
      </c>
      <c r="K16" s="204"/>
      <c r="L16" s="204"/>
      <c r="M16" s="204" t="n">
        <v>20904.7</v>
      </c>
    </row>
    <row r="17" customFormat="false" ht="12.75" hidden="false" customHeight="false" outlineLevel="0" collapsed="false">
      <c r="A17" s="122" t="s">
        <v>235</v>
      </c>
      <c r="B17" s="0" t="n">
        <v>1</v>
      </c>
      <c r="C17" s="201" t="s">
        <v>246</v>
      </c>
      <c r="D17" s="202" t="n">
        <v>479239.98</v>
      </c>
      <c r="E17" s="202" t="n">
        <v>0</v>
      </c>
      <c r="F17" s="202" t="n">
        <v>0</v>
      </c>
      <c r="G17" s="202" t="n">
        <v>479239.98</v>
      </c>
      <c r="H17" s="203" t="str">
        <f aca="false">IF(I17=C17,"ok","REVISAR")</f>
        <v>ok</v>
      </c>
      <c r="I17" s="203" t="s">
        <v>246</v>
      </c>
      <c r="J17" s="204" t="n">
        <v>479239.98</v>
      </c>
      <c r="K17" s="204" t="n">
        <v>0</v>
      </c>
      <c r="L17" s="204" t="n">
        <v>0</v>
      </c>
      <c r="M17" s="204" t="n">
        <v>479239.98</v>
      </c>
    </row>
    <row r="18" customFormat="false" ht="12.75" hidden="false" customHeight="false" outlineLevel="0" collapsed="false">
      <c r="A18" s="122"/>
      <c r="C18" s="201" t="s">
        <v>247</v>
      </c>
      <c r="D18" s="202" t="n">
        <v>479230.97</v>
      </c>
      <c r="E18" s="202"/>
      <c r="F18" s="202"/>
      <c r="G18" s="202" t="n">
        <v>479230.97</v>
      </c>
      <c r="H18" s="203" t="str">
        <f aca="false">IF(I18=C18,"ok","REVISAR")</f>
        <v>ok</v>
      </c>
      <c r="I18" s="203" t="s">
        <v>247</v>
      </c>
      <c r="J18" s="204" t="n">
        <v>479230.97</v>
      </c>
      <c r="K18" s="204"/>
      <c r="L18" s="204"/>
      <c r="M18" s="204" t="n">
        <v>479230.97</v>
      </c>
    </row>
    <row r="19" customFormat="false" ht="12.75" hidden="false" customHeight="false" outlineLevel="0" collapsed="false">
      <c r="B19" s="0" t="n">
        <v>2</v>
      </c>
      <c r="C19" s="205" t="s">
        <v>248</v>
      </c>
      <c r="D19" s="206" t="n">
        <v>9.01</v>
      </c>
      <c r="E19" s="206" t="n">
        <v>0</v>
      </c>
      <c r="F19" s="206" t="n">
        <v>0</v>
      </c>
      <c r="G19" s="206" t="n">
        <v>9.01</v>
      </c>
      <c r="H19" s="203" t="str">
        <f aca="false">IF(I19=C19,"ok","REVISAR")</f>
        <v>ok</v>
      </c>
      <c r="I19" s="203" t="s">
        <v>248</v>
      </c>
      <c r="J19" s="204" t="n">
        <v>9.01</v>
      </c>
      <c r="K19" s="204" t="n">
        <v>0</v>
      </c>
      <c r="L19" s="204" t="n">
        <v>0</v>
      </c>
      <c r="M19" s="204" t="n">
        <v>9.01</v>
      </c>
    </row>
    <row r="20" customFormat="false" ht="12.75" hidden="false" customHeight="false" outlineLevel="0" collapsed="false">
      <c r="B20" s="0" t="n">
        <v>1</v>
      </c>
      <c r="C20" s="205" t="s">
        <v>249</v>
      </c>
      <c r="D20" s="206" t="n">
        <v>0.52</v>
      </c>
      <c r="E20" s="206"/>
      <c r="F20" s="206"/>
      <c r="G20" s="206" t="n">
        <v>0.52</v>
      </c>
      <c r="H20" s="203" t="str">
        <f aca="false">IF(I20=C20,"ok","REVISAR")</f>
        <v>ok</v>
      </c>
      <c r="I20" s="203" t="s">
        <v>249</v>
      </c>
      <c r="J20" s="204" t="n">
        <v>0.52</v>
      </c>
      <c r="K20" s="204"/>
      <c r="L20" s="204"/>
      <c r="M20" s="204" t="n">
        <v>0.52</v>
      </c>
    </row>
    <row r="21" customFormat="false" ht="12.75" hidden="false" customHeight="false" outlineLevel="0" collapsed="false">
      <c r="B21" s="0" t="n">
        <v>2</v>
      </c>
      <c r="C21" s="205" t="s">
        <v>250</v>
      </c>
      <c r="D21" s="206" t="n">
        <v>8.5</v>
      </c>
      <c r="E21" s="206"/>
      <c r="F21" s="206"/>
      <c r="G21" s="206" t="n">
        <v>8.5</v>
      </c>
      <c r="H21" s="203" t="str">
        <f aca="false">IF(I21=C21,"ok","REVISAR")</f>
        <v>ok</v>
      </c>
      <c r="I21" s="203" t="s">
        <v>250</v>
      </c>
      <c r="J21" s="204" t="n">
        <v>8.5</v>
      </c>
      <c r="K21" s="204"/>
      <c r="L21" s="204"/>
      <c r="M21" s="204" t="n">
        <v>8.5</v>
      </c>
    </row>
    <row r="22" customFormat="false" ht="12.75" hidden="false" customHeight="false" outlineLevel="0" collapsed="false">
      <c r="B22" s="0" t="n">
        <v>1</v>
      </c>
      <c r="C22" s="205" t="s">
        <v>251</v>
      </c>
      <c r="D22" s="206" t="n">
        <v>-0.01</v>
      </c>
      <c r="E22" s="206"/>
      <c r="F22" s="206"/>
      <c r="G22" s="206" t="n">
        <v>-0.01</v>
      </c>
      <c r="H22" s="203" t="str">
        <f aca="false">IF(I22=C22,"ok","REVISAR")</f>
        <v>ok</v>
      </c>
      <c r="I22" s="203" t="s">
        <v>251</v>
      </c>
      <c r="J22" s="204" t="n">
        <v>-0.01</v>
      </c>
      <c r="K22" s="204"/>
      <c r="L22" s="204"/>
      <c r="M22" s="204" t="n">
        <v>-0.01</v>
      </c>
    </row>
    <row r="23" customFormat="false" ht="12.75" hidden="false" customHeight="false" outlineLevel="0" collapsed="false">
      <c r="A23" s="122" t="s">
        <v>235</v>
      </c>
      <c r="B23" s="0" t="n">
        <v>2</v>
      </c>
      <c r="C23" s="201" t="s">
        <v>252</v>
      </c>
      <c r="D23" s="206"/>
      <c r="E23" s="206"/>
      <c r="F23" s="206"/>
      <c r="G23" s="202"/>
      <c r="H23" s="203" t="str">
        <f aca="false">IF(I23=C23,"ok","REVISAR")</f>
        <v>ok</v>
      </c>
      <c r="I23" s="203" t="s">
        <v>252</v>
      </c>
      <c r="J23" s="204"/>
      <c r="K23" s="204"/>
      <c r="L23" s="204"/>
      <c r="M23" s="204"/>
    </row>
    <row r="24" customFormat="false" ht="12.75" hidden="false" customHeight="false" outlineLevel="0" collapsed="false">
      <c r="A24" s="122"/>
      <c r="B24" s="0" t="n">
        <v>1</v>
      </c>
      <c r="C24" s="205" t="s">
        <v>253</v>
      </c>
      <c r="D24" s="206"/>
      <c r="E24" s="206"/>
      <c r="F24" s="206"/>
      <c r="G24" s="206"/>
      <c r="H24" s="203" t="str">
        <f aca="false">IF(I24=C24,"ok","REVISAR")</f>
        <v>ok</v>
      </c>
      <c r="I24" s="203" t="s">
        <v>253</v>
      </c>
      <c r="J24" s="204"/>
      <c r="K24" s="204"/>
      <c r="L24" s="204"/>
      <c r="M24" s="204"/>
    </row>
    <row r="25" customFormat="false" ht="12.75" hidden="false" customHeight="false" outlineLevel="0" collapsed="false">
      <c r="A25" s="122"/>
      <c r="B25" s="0" t="n">
        <v>2</v>
      </c>
      <c r="C25" s="205" t="s">
        <v>254</v>
      </c>
      <c r="D25" s="206"/>
      <c r="E25" s="206"/>
      <c r="F25" s="206"/>
      <c r="G25" s="206"/>
      <c r="H25" s="203" t="str">
        <f aca="false">IF(I25=C25,"ok","REVISAR")</f>
        <v>ok</v>
      </c>
      <c r="I25" s="203" t="s">
        <v>254</v>
      </c>
      <c r="J25" s="204"/>
      <c r="K25" s="204"/>
      <c r="L25" s="204"/>
      <c r="M25" s="204"/>
    </row>
    <row r="26" customFormat="false" ht="12.75" hidden="false" customHeight="false" outlineLevel="0" collapsed="false">
      <c r="A26" s="122"/>
      <c r="B26" s="0" t="n">
        <v>1</v>
      </c>
      <c r="C26" s="205" t="s">
        <v>255</v>
      </c>
      <c r="D26" s="206"/>
      <c r="E26" s="206"/>
      <c r="F26" s="206"/>
      <c r="G26" s="206"/>
      <c r="H26" s="203" t="str">
        <f aca="false">IF(I26=C26,"ok","REVISAR")</f>
        <v>ok</v>
      </c>
      <c r="I26" s="203" t="s">
        <v>255</v>
      </c>
      <c r="J26" s="204"/>
      <c r="K26" s="204"/>
      <c r="L26" s="204"/>
      <c r="M26" s="204"/>
    </row>
    <row r="27" customFormat="false" ht="12.75" hidden="false" customHeight="false" outlineLevel="0" collapsed="false">
      <c r="A27" s="122"/>
      <c r="B27" s="0" t="n">
        <v>2</v>
      </c>
      <c r="C27" s="205" t="s">
        <v>256</v>
      </c>
      <c r="D27" s="206"/>
      <c r="E27" s="206"/>
      <c r="F27" s="206"/>
      <c r="G27" s="206"/>
      <c r="H27" s="203" t="str">
        <f aca="false">IF(I27=C27,"ok","REVISAR")</f>
        <v>ok</v>
      </c>
      <c r="I27" s="203" t="s">
        <v>256</v>
      </c>
      <c r="J27" s="204"/>
      <c r="K27" s="204"/>
      <c r="L27" s="204"/>
      <c r="M27" s="204"/>
    </row>
    <row r="28" customFormat="false" ht="12.75" hidden="false" customHeight="false" outlineLevel="0" collapsed="false">
      <c r="A28" s="0" t="s">
        <v>235</v>
      </c>
      <c r="B28" s="0" t="n">
        <v>1</v>
      </c>
      <c r="C28" s="201" t="s">
        <v>257</v>
      </c>
      <c r="D28" s="202" t="n">
        <v>22890</v>
      </c>
      <c r="E28" s="202" t="n">
        <v>0</v>
      </c>
      <c r="F28" s="202" t="n">
        <v>0</v>
      </c>
      <c r="G28" s="202" t="n">
        <v>22890</v>
      </c>
      <c r="H28" s="203" t="str">
        <f aca="false">IF(I28=C28,"ok","REVISAR")</f>
        <v>ok</v>
      </c>
      <c r="I28" s="203" t="s">
        <v>257</v>
      </c>
      <c r="J28" s="204" t="n">
        <v>22890</v>
      </c>
      <c r="K28" s="204" t="n">
        <v>0</v>
      </c>
      <c r="L28" s="204" t="n">
        <v>0</v>
      </c>
      <c r="M28" s="204" t="n">
        <v>22890</v>
      </c>
    </row>
    <row r="29" customFormat="false" ht="12.75" hidden="false" customHeight="false" outlineLevel="0" collapsed="false">
      <c r="B29" s="0" t="n">
        <v>2</v>
      </c>
      <c r="C29" s="201" t="s">
        <v>258</v>
      </c>
      <c r="D29" s="202" t="n">
        <v>-2110</v>
      </c>
      <c r="E29" s="202"/>
      <c r="F29" s="202"/>
      <c r="G29" s="202" t="n">
        <v>-2110</v>
      </c>
      <c r="H29" s="203" t="str">
        <f aca="false">IF(I29=C29,"ok","REVISAR")</f>
        <v>ok</v>
      </c>
      <c r="I29" s="203" t="s">
        <v>258</v>
      </c>
      <c r="J29" s="204" t="n">
        <v>-2110</v>
      </c>
      <c r="K29" s="204"/>
      <c r="L29" s="204"/>
      <c r="M29" s="204" t="n">
        <v>-2110</v>
      </c>
    </row>
    <row r="30" customFormat="false" ht="12.75" hidden="false" customHeight="false" outlineLevel="0" collapsed="false">
      <c r="B30" s="0" t="n">
        <v>1</v>
      </c>
      <c r="C30" s="205" t="s">
        <v>259</v>
      </c>
      <c r="D30" s="206" t="n">
        <v>25000</v>
      </c>
      <c r="E30" s="206"/>
      <c r="F30" s="206"/>
      <c r="G30" s="206" t="n">
        <v>25000</v>
      </c>
      <c r="H30" s="203" t="str">
        <f aca="false">IF(I30=C30,"ok","REVISAR")</f>
        <v>ok</v>
      </c>
      <c r="I30" s="203" t="s">
        <v>259</v>
      </c>
      <c r="J30" s="204" t="n">
        <v>25000</v>
      </c>
      <c r="K30" s="204"/>
      <c r="L30" s="204"/>
      <c r="M30" s="204" t="n">
        <v>25000</v>
      </c>
    </row>
    <row r="31" customFormat="false" ht="12.75" hidden="false" customHeight="false" outlineLevel="0" collapsed="false">
      <c r="A31" s="0" t="s">
        <v>235</v>
      </c>
      <c r="B31" s="0" t="n">
        <v>2</v>
      </c>
      <c r="C31" s="201" t="s">
        <v>260</v>
      </c>
      <c r="D31" s="202" t="n">
        <v>24042.215655999</v>
      </c>
      <c r="E31" s="202" t="n">
        <v>80.64</v>
      </c>
      <c r="F31" s="202"/>
      <c r="G31" s="202" t="n">
        <v>24122.855656</v>
      </c>
      <c r="H31" s="203" t="str">
        <f aca="false">IF(I31=C31,"ok","REVISAR")</f>
        <v>ok</v>
      </c>
      <c r="I31" s="203" t="s">
        <v>260</v>
      </c>
      <c r="J31" s="204" t="n">
        <v>24042.215655999</v>
      </c>
      <c r="K31" s="204" t="n">
        <v>80.64</v>
      </c>
      <c r="L31" s="204"/>
      <c r="M31" s="204" t="n">
        <v>24122.855656</v>
      </c>
    </row>
    <row r="32" customFormat="false" ht="12.75" hidden="false" customHeight="false" outlineLevel="0" collapsed="false">
      <c r="A32" s="122" t="s">
        <v>235</v>
      </c>
      <c r="B32" s="0" t="n">
        <v>1</v>
      </c>
      <c r="C32" s="201" t="s">
        <v>261</v>
      </c>
      <c r="D32" s="202" t="n">
        <v>110107.775533</v>
      </c>
      <c r="E32" s="202"/>
      <c r="F32" s="202"/>
      <c r="G32" s="202" t="n">
        <v>110107.775533</v>
      </c>
      <c r="H32" s="203" t="str">
        <f aca="false">IF(I32=C32,"ok","REVISAR")</f>
        <v>ok</v>
      </c>
      <c r="I32" s="203" t="s">
        <v>261</v>
      </c>
      <c r="J32" s="204" t="n">
        <v>110107.775533</v>
      </c>
      <c r="K32" s="204"/>
      <c r="L32" s="204"/>
      <c r="M32" s="204" t="n">
        <v>110107.775533</v>
      </c>
    </row>
    <row r="33" customFormat="false" ht="12.75" hidden="false" customHeight="false" outlineLevel="0" collapsed="false">
      <c r="A33" s="0" t="s">
        <v>235</v>
      </c>
      <c r="B33" s="0" t="n">
        <v>2</v>
      </c>
      <c r="C33" s="201" t="s">
        <v>262</v>
      </c>
      <c r="D33" s="202"/>
      <c r="E33" s="202"/>
      <c r="F33" s="202"/>
      <c r="G33" s="202"/>
      <c r="H33" s="203" t="str">
        <f aca="false">IF(I33=C33,"ok","REVISAR")</f>
        <v>ok</v>
      </c>
      <c r="I33" s="203" t="s">
        <v>262</v>
      </c>
      <c r="J33" s="204"/>
      <c r="K33" s="204"/>
      <c r="L33" s="204"/>
      <c r="M33" s="204"/>
    </row>
    <row r="34" customFormat="false" ht="12.75" hidden="false" customHeight="false" outlineLevel="0" collapsed="false">
      <c r="B34" s="0" t="n">
        <v>1</v>
      </c>
      <c r="C34" s="205" t="s">
        <v>263</v>
      </c>
      <c r="D34" s="206"/>
      <c r="E34" s="206"/>
      <c r="F34" s="206"/>
      <c r="G34" s="206"/>
      <c r="H34" s="203" t="str">
        <f aca="false">IF(I34=C34,"ok","REVISAR")</f>
        <v>ok</v>
      </c>
      <c r="I34" s="203" t="s">
        <v>263</v>
      </c>
      <c r="J34" s="204"/>
      <c r="K34" s="204"/>
      <c r="L34" s="204"/>
      <c r="M34" s="204"/>
    </row>
    <row r="35" customFormat="false" ht="12.75" hidden="false" customHeight="false" outlineLevel="0" collapsed="false">
      <c r="A35" s="122" t="s">
        <v>235</v>
      </c>
      <c r="B35" s="0" t="n">
        <v>2</v>
      </c>
      <c r="C35" s="201" t="s">
        <v>264</v>
      </c>
      <c r="D35" s="202" t="n">
        <v>89386.94</v>
      </c>
      <c r="E35" s="202" t="n">
        <v>0</v>
      </c>
      <c r="F35" s="202" t="n">
        <v>0</v>
      </c>
      <c r="G35" s="202" t="n">
        <v>89386.94</v>
      </c>
      <c r="H35" s="203" t="str">
        <f aca="false">IF(I35=C35,"ok","REVISAR")</f>
        <v>ok</v>
      </c>
      <c r="I35" s="203" t="s">
        <v>264</v>
      </c>
      <c r="J35" s="204" t="n">
        <v>89386.94</v>
      </c>
      <c r="K35" s="204" t="n">
        <v>0</v>
      </c>
      <c r="L35" s="204" t="n">
        <v>0</v>
      </c>
      <c r="M35" s="204" t="n">
        <v>89386.94</v>
      </c>
    </row>
    <row r="36" customFormat="false" ht="12.75" hidden="false" customHeight="false" outlineLevel="0" collapsed="false">
      <c r="B36" s="0" t="n">
        <v>1</v>
      </c>
      <c r="C36" s="205" t="s">
        <v>265</v>
      </c>
      <c r="D36" s="206" t="n">
        <v>88966</v>
      </c>
      <c r="E36" s="206"/>
      <c r="F36" s="206"/>
      <c r="G36" s="206" t="n">
        <v>88966</v>
      </c>
      <c r="H36" s="203" t="str">
        <f aca="false">IF(I36=C36,"ok","REVISAR")</f>
        <v>ok</v>
      </c>
      <c r="I36" s="203" t="s">
        <v>265</v>
      </c>
      <c r="J36" s="204" t="n">
        <v>88966</v>
      </c>
      <c r="K36" s="204"/>
      <c r="L36" s="204"/>
      <c r="M36" s="204" t="n">
        <v>88966</v>
      </c>
    </row>
    <row r="37" customFormat="false" ht="12.75" hidden="false" customHeight="false" outlineLevel="0" collapsed="false">
      <c r="B37" s="0" t="n">
        <v>2</v>
      </c>
      <c r="C37" s="205" t="s">
        <v>266</v>
      </c>
      <c r="D37" s="206" t="n">
        <v>420.94</v>
      </c>
      <c r="E37" s="206"/>
      <c r="F37" s="206"/>
      <c r="G37" s="206" t="n">
        <v>420.94</v>
      </c>
      <c r="H37" s="203" t="str">
        <f aca="false">IF(I37=C37,"ok","REVISAR")</f>
        <v>ok</v>
      </c>
      <c r="I37" s="203" t="s">
        <v>266</v>
      </c>
      <c r="J37" s="204" t="n">
        <v>420.94</v>
      </c>
      <c r="K37" s="204"/>
      <c r="L37" s="204"/>
      <c r="M37" s="204" t="n">
        <v>420.94</v>
      </c>
    </row>
    <row r="38" customFormat="false" ht="12.75" hidden="false" customHeight="false" outlineLevel="0" collapsed="false">
      <c r="A38" s="122" t="s">
        <v>235</v>
      </c>
      <c r="B38" s="0" t="n">
        <v>1</v>
      </c>
      <c r="C38" s="201" t="s">
        <v>267</v>
      </c>
      <c r="D38" s="202" t="n">
        <v>2701821.41</v>
      </c>
      <c r="E38" s="202" t="n">
        <v>0</v>
      </c>
      <c r="F38" s="202" t="n">
        <v>0</v>
      </c>
      <c r="G38" s="202" t="n">
        <v>2701821.41</v>
      </c>
      <c r="H38" s="203" t="str">
        <f aca="false">IF(I38=C38,"ok","REVISAR")</f>
        <v>ok</v>
      </c>
      <c r="I38" s="203" t="s">
        <v>267</v>
      </c>
      <c r="J38" s="204" t="n">
        <v>2701821.41</v>
      </c>
      <c r="K38" s="204" t="n">
        <v>0</v>
      </c>
      <c r="L38" s="204" t="n">
        <v>0</v>
      </c>
      <c r="M38" s="204" t="n">
        <v>2701821.41</v>
      </c>
    </row>
    <row r="39" customFormat="false" ht="12.75" hidden="false" customHeight="false" outlineLevel="0" collapsed="false">
      <c r="B39" s="0" t="n">
        <v>2</v>
      </c>
      <c r="C39" s="205" t="s">
        <v>268</v>
      </c>
      <c r="D39" s="206" t="n">
        <v>2693178.27</v>
      </c>
      <c r="E39" s="206"/>
      <c r="F39" s="206"/>
      <c r="G39" s="206" t="n">
        <v>2693178.27</v>
      </c>
      <c r="H39" s="203" t="str">
        <f aca="false">IF(I39=C39,"ok","REVISAR")</f>
        <v>ok</v>
      </c>
      <c r="I39" s="203" t="s">
        <v>268</v>
      </c>
      <c r="J39" s="204" t="n">
        <v>2693178.27</v>
      </c>
      <c r="K39" s="204"/>
      <c r="L39" s="204"/>
      <c r="M39" s="204" t="n">
        <v>2693178.27</v>
      </c>
    </row>
    <row r="40" customFormat="false" ht="12.75" hidden="false" customHeight="false" outlineLevel="0" collapsed="false">
      <c r="B40" s="0" t="n">
        <v>1</v>
      </c>
      <c r="C40" s="205" t="s">
        <v>269</v>
      </c>
      <c r="D40" s="206" t="n">
        <v>4653</v>
      </c>
      <c r="E40" s="206"/>
      <c r="F40" s="206"/>
      <c r="G40" s="206" t="n">
        <v>4653</v>
      </c>
      <c r="H40" s="203" t="str">
        <f aca="false">IF(I40=C40,"ok","REVISAR")</f>
        <v>ok</v>
      </c>
      <c r="I40" s="203" t="s">
        <v>269</v>
      </c>
      <c r="J40" s="204" t="n">
        <v>4653</v>
      </c>
      <c r="K40" s="204"/>
      <c r="L40" s="204"/>
      <c r="M40" s="204" t="n">
        <v>4653</v>
      </c>
    </row>
    <row r="41" customFormat="false" ht="12.75" hidden="false" customHeight="false" outlineLevel="0" collapsed="false">
      <c r="B41" s="0" t="n">
        <v>2</v>
      </c>
      <c r="C41" s="205" t="s">
        <v>270</v>
      </c>
      <c r="D41" s="206" t="n">
        <v>0.14</v>
      </c>
      <c r="E41" s="206"/>
      <c r="F41" s="206"/>
      <c r="G41" s="206" t="n">
        <v>0.14</v>
      </c>
      <c r="H41" s="203" t="str">
        <f aca="false">IF(I41=C41,"ok","REVISAR")</f>
        <v>ok</v>
      </c>
      <c r="I41" s="203" t="s">
        <v>270</v>
      </c>
      <c r="J41" s="204" t="n">
        <v>0.14</v>
      </c>
      <c r="K41" s="204"/>
      <c r="L41" s="204"/>
      <c r="M41" s="204" t="n">
        <v>0.14</v>
      </c>
    </row>
    <row r="42" customFormat="false" ht="12.75" hidden="false" customHeight="false" outlineLevel="0" collapsed="false">
      <c r="B42" s="0" t="n">
        <v>1</v>
      </c>
      <c r="C42" s="205" t="s">
        <v>271</v>
      </c>
      <c r="D42" s="206" t="n">
        <v>3990</v>
      </c>
      <c r="E42" s="206"/>
      <c r="F42" s="206"/>
      <c r="G42" s="206" t="n">
        <v>3990</v>
      </c>
      <c r="H42" s="203" t="str">
        <f aca="false">IF(I42=C42,"ok","REVISAR")</f>
        <v>ok</v>
      </c>
      <c r="I42" s="203" t="s">
        <v>271</v>
      </c>
      <c r="J42" s="204" t="n">
        <v>3990</v>
      </c>
      <c r="K42" s="204"/>
      <c r="L42" s="204"/>
      <c r="M42" s="204" t="n">
        <v>3990</v>
      </c>
    </row>
    <row r="43" customFormat="false" ht="12.75" hidden="false" customHeight="false" outlineLevel="0" collapsed="false">
      <c r="A43" s="0" t="s">
        <v>235</v>
      </c>
      <c r="B43" s="0" t="n">
        <v>2</v>
      </c>
      <c r="C43" s="201" t="s">
        <v>272</v>
      </c>
      <c r="D43" s="206"/>
      <c r="E43" s="206"/>
      <c r="F43" s="206"/>
      <c r="G43" s="202"/>
      <c r="H43" s="203" t="str">
        <f aca="false">IF(I43=C43,"ok","REVISAR")</f>
        <v>ok</v>
      </c>
      <c r="I43" s="203" t="s">
        <v>272</v>
      </c>
      <c r="J43" s="204"/>
      <c r="K43" s="204"/>
      <c r="L43" s="204"/>
      <c r="M43" s="204"/>
    </row>
    <row r="44" customFormat="false" ht="12.75" hidden="false" customHeight="false" outlineLevel="0" collapsed="false">
      <c r="B44" s="0" t="n">
        <v>1</v>
      </c>
      <c r="C44" s="205" t="s">
        <v>273</v>
      </c>
      <c r="D44" s="206"/>
      <c r="E44" s="206"/>
      <c r="F44" s="206"/>
      <c r="G44" s="206"/>
      <c r="H44" s="203" t="str">
        <f aca="false">IF(I44=C44,"ok","REVISAR")</f>
        <v>ok</v>
      </c>
      <c r="I44" s="203" t="s">
        <v>273</v>
      </c>
      <c r="J44" s="204"/>
      <c r="K44" s="204"/>
      <c r="L44" s="204"/>
      <c r="M44" s="204"/>
    </row>
    <row r="45" customFormat="false" ht="12.75" hidden="false" customHeight="false" outlineLevel="0" collapsed="false">
      <c r="A45" s="0" t="s">
        <v>235</v>
      </c>
      <c r="B45" s="0" t="n">
        <v>2</v>
      </c>
      <c r="C45" s="201" t="s">
        <v>274</v>
      </c>
      <c r="D45" s="202" t="n">
        <v>122794.3507</v>
      </c>
      <c r="E45" s="202" t="n">
        <v>0</v>
      </c>
      <c r="F45" s="202" t="n">
        <v>0</v>
      </c>
      <c r="G45" s="202" t="n">
        <v>122794.3507</v>
      </c>
      <c r="H45" s="203" t="str">
        <f aca="false">IF(I45=C45,"ok","REVISAR")</f>
        <v>ok</v>
      </c>
      <c r="I45" s="203" t="s">
        <v>274</v>
      </c>
      <c r="J45" s="204" t="n">
        <v>122794.3507</v>
      </c>
      <c r="K45" s="204" t="n">
        <v>0</v>
      </c>
      <c r="L45" s="204" t="n">
        <v>0</v>
      </c>
      <c r="M45" s="204" t="n">
        <v>122794.3507</v>
      </c>
    </row>
    <row r="46" customFormat="false" ht="12.75" hidden="false" customHeight="false" outlineLevel="0" collapsed="false">
      <c r="B46" s="0" t="n">
        <v>1</v>
      </c>
      <c r="C46" s="205" t="s">
        <v>275</v>
      </c>
      <c r="D46" s="206" t="n">
        <v>122641.8907</v>
      </c>
      <c r="E46" s="206"/>
      <c r="F46" s="206"/>
      <c r="G46" s="206" t="n">
        <v>122641.8907</v>
      </c>
      <c r="H46" s="203" t="str">
        <f aca="false">IF(I46=C46,"ok","REVISAR")</f>
        <v>ok</v>
      </c>
      <c r="I46" s="203" t="s">
        <v>275</v>
      </c>
      <c r="J46" s="204" t="n">
        <v>122641.8907</v>
      </c>
      <c r="K46" s="204"/>
      <c r="L46" s="204"/>
      <c r="M46" s="204" t="n">
        <v>122641.8907</v>
      </c>
    </row>
    <row r="47" customFormat="false" ht="12.75" hidden="false" customHeight="false" outlineLevel="0" collapsed="false">
      <c r="B47" s="0" t="n">
        <v>2</v>
      </c>
      <c r="C47" s="205" t="s">
        <v>276</v>
      </c>
      <c r="D47" s="206" t="n">
        <v>152.46</v>
      </c>
      <c r="E47" s="206"/>
      <c r="F47" s="206"/>
      <c r="G47" s="206" t="n">
        <v>152.46</v>
      </c>
      <c r="H47" s="203" t="str">
        <f aca="false">IF(I47=C47,"ok","REVISAR")</f>
        <v>ok</v>
      </c>
      <c r="I47" s="203" t="s">
        <v>276</v>
      </c>
      <c r="J47" s="204" t="n">
        <v>152.46</v>
      </c>
      <c r="K47" s="204"/>
      <c r="L47" s="204"/>
      <c r="M47" s="204" t="n">
        <v>152.46</v>
      </c>
    </row>
    <row r="48" customFormat="false" ht="12.75" hidden="false" customHeight="false" outlineLevel="0" collapsed="false">
      <c r="A48" s="0" t="s">
        <v>235</v>
      </c>
      <c r="B48" s="0" t="n">
        <v>1</v>
      </c>
      <c r="C48" s="201" t="s">
        <v>277</v>
      </c>
      <c r="D48" s="202" t="n">
        <v>44082.65</v>
      </c>
      <c r="E48" s="202" t="n">
        <v>0</v>
      </c>
      <c r="F48" s="202" t="n">
        <v>0</v>
      </c>
      <c r="G48" s="202" t="n">
        <v>44082.65</v>
      </c>
      <c r="H48" s="203" t="str">
        <f aca="false">IF(I48=C48,"ok","REVISAR")</f>
        <v>ok</v>
      </c>
      <c r="I48" s="203" t="s">
        <v>277</v>
      </c>
      <c r="J48" s="204" t="n">
        <v>44082.65</v>
      </c>
      <c r="K48" s="204" t="n">
        <v>0</v>
      </c>
      <c r="L48" s="204" t="n">
        <v>0</v>
      </c>
      <c r="M48" s="204" t="n">
        <v>44082.65</v>
      </c>
    </row>
    <row r="49" customFormat="false" ht="12.75" hidden="false" customHeight="false" outlineLevel="0" collapsed="false">
      <c r="B49" s="0" t="n">
        <v>2</v>
      </c>
      <c r="C49" s="205" t="s">
        <v>278</v>
      </c>
      <c r="D49" s="206" t="n">
        <v>44082.65</v>
      </c>
      <c r="E49" s="206"/>
      <c r="F49" s="206"/>
      <c r="G49" s="206" t="n">
        <v>44082.65</v>
      </c>
      <c r="H49" s="203" t="str">
        <f aca="false">IF(I49=C49,"ok","REVISAR")</f>
        <v>ok</v>
      </c>
      <c r="I49" s="203" t="s">
        <v>278</v>
      </c>
      <c r="J49" s="204" t="n">
        <v>44082.65</v>
      </c>
      <c r="K49" s="204"/>
      <c r="L49" s="204"/>
      <c r="M49" s="204" t="n">
        <v>44082.65</v>
      </c>
    </row>
    <row r="50" customFormat="false" ht="12.75" hidden="false" customHeight="false" outlineLevel="0" collapsed="false">
      <c r="A50" s="0" t="s">
        <v>235</v>
      </c>
      <c r="B50" s="0" t="n">
        <v>1</v>
      </c>
      <c r="C50" s="201" t="s">
        <v>279</v>
      </c>
      <c r="D50" s="202" t="n">
        <v>26198.48</v>
      </c>
      <c r="E50" s="206"/>
      <c r="F50" s="202"/>
      <c r="G50" s="202" t="n">
        <v>26198.48</v>
      </c>
      <c r="H50" s="203" t="str">
        <f aca="false">IF(I50=C50,"ok","REVISAR")</f>
        <v>ok</v>
      </c>
      <c r="I50" s="203" t="s">
        <v>279</v>
      </c>
      <c r="J50" s="204" t="n">
        <v>26198.48</v>
      </c>
      <c r="K50" s="204"/>
      <c r="L50" s="204"/>
      <c r="M50" s="204" t="n">
        <v>26198.48</v>
      </c>
    </row>
    <row r="51" customFormat="false" ht="12.75" hidden="false" customHeight="false" outlineLevel="0" collapsed="false">
      <c r="A51" s="0" t="s">
        <v>235</v>
      </c>
      <c r="B51" s="0" t="n">
        <v>2</v>
      </c>
      <c r="C51" s="201" t="s">
        <v>280</v>
      </c>
      <c r="D51" s="202" t="n">
        <v>14106.03</v>
      </c>
      <c r="E51" s="202" t="n">
        <v>0</v>
      </c>
      <c r="F51" s="202" t="n">
        <v>0</v>
      </c>
      <c r="G51" s="202" t="n">
        <v>14106.03</v>
      </c>
      <c r="H51" s="203" t="str">
        <f aca="false">IF(I51=C51,"ok","REVISAR")</f>
        <v>ok</v>
      </c>
      <c r="I51" s="203" t="s">
        <v>280</v>
      </c>
      <c r="J51" s="204" t="n">
        <v>14106.03</v>
      </c>
      <c r="K51" s="204" t="n">
        <v>0</v>
      </c>
      <c r="L51" s="204" t="n">
        <v>0</v>
      </c>
      <c r="M51" s="204" t="n">
        <v>14106.03</v>
      </c>
    </row>
    <row r="52" customFormat="false" ht="12.75" hidden="false" customHeight="false" outlineLevel="0" collapsed="false">
      <c r="B52" s="0" t="n">
        <v>1</v>
      </c>
      <c r="C52" s="205" t="s">
        <v>281</v>
      </c>
      <c r="D52" s="206" t="n">
        <v>14106.03</v>
      </c>
      <c r="E52" s="206"/>
      <c r="F52" s="206"/>
      <c r="G52" s="206" t="n">
        <v>14106.03</v>
      </c>
      <c r="H52" s="203" t="str">
        <f aca="false">IF(I52=C52,"ok","REVISAR")</f>
        <v>ok</v>
      </c>
      <c r="I52" s="203" t="s">
        <v>281</v>
      </c>
      <c r="J52" s="204" t="n">
        <v>14106.03</v>
      </c>
      <c r="K52" s="204"/>
      <c r="L52" s="204"/>
      <c r="M52" s="204" t="n">
        <v>14106.03</v>
      </c>
    </row>
    <row r="53" customFormat="false" ht="12.75" hidden="false" customHeight="false" outlineLevel="0" collapsed="false">
      <c r="A53" s="0" t="s">
        <v>235</v>
      </c>
      <c r="B53" s="0" t="n">
        <v>2</v>
      </c>
      <c r="C53" s="201" t="s">
        <v>282</v>
      </c>
      <c r="D53" s="202" t="n">
        <v>14106.03</v>
      </c>
      <c r="E53" s="206"/>
      <c r="F53" s="202"/>
      <c r="G53" s="202" t="n">
        <v>14106.03</v>
      </c>
      <c r="H53" s="203" t="str">
        <f aca="false">IF(I53=C53,"ok","REVISAR")</f>
        <v>ok</v>
      </c>
      <c r="I53" s="203" t="s">
        <v>282</v>
      </c>
      <c r="J53" s="204" t="n">
        <v>14106.03</v>
      </c>
      <c r="K53" s="204"/>
      <c r="L53" s="204"/>
      <c r="M53" s="204" t="n">
        <v>14106.03</v>
      </c>
    </row>
    <row r="54" customFormat="false" ht="12.75" hidden="false" customHeight="false" outlineLevel="0" collapsed="false">
      <c r="A54" s="0" t="s">
        <v>235</v>
      </c>
      <c r="B54" s="0" t="n">
        <v>1</v>
      </c>
      <c r="C54" s="201" t="s">
        <v>283</v>
      </c>
      <c r="D54" s="202" t="n">
        <v>575862.07</v>
      </c>
      <c r="E54" s="202" t="n">
        <v>0</v>
      </c>
      <c r="F54" s="202" t="n">
        <v>0</v>
      </c>
      <c r="G54" s="202" t="n">
        <v>575862.07</v>
      </c>
      <c r="H54" s="203" t="str">
        <f aca="false">IF(I54=C54,"ok","REVISAR")</f>
        <v>ok</v>
      </c>
      <c r="I54" s="203" t="s">
        <v>283</v>
      </c>
      <c r="J54" s="204" t="n">
        <v>575862.07</v>
      </c>
      <c r="K54" s="204" t="n">
        <v>0</v>
      </c>
      <c r="L54" s="204" t="n">
        <v>0</v>
      </c>
      <c r="M54" s="204" t="n">
        <v>575862.07</v>
      </c>
    </row>
    <row r="55" customFormat="false" ht="12.75" hidden="false" customHeight="false" outlineLevel="0" collapsed="false">
      <c r="B55" s="0" t="n">
        <v>2</v>
      </c>
      <c r="C55" s="205" t="s">
        <v>284</v>
      </c>
      <c r="D55" s="206" t="n">
        <v>442241.38</v>
      </c>
      <c r="E55" s="206"/>
      <c r="F55" s="206"/>
      <c r="G55" s="206" t="n">
        <v>442241.38</v>
      </c>
      <c r="H55" s="203" t="str">
        <f aca="false">IF(I55=C55,"ok","REVISAR")</f>
        <v>ok</v>
      </c>
      <c r="I55" s="203" t="s">
        <v>284</v>
      </c>
      <c r="J55" s="204" t="n">
        <v>442241.38</v>
      </c>
      <c r="K55" s="204"/>
      <c r="L55" s="204"/>
      <c r="M55" s="204" t="n">
        <v>442241.38</v>
      </c>
    </row>
    <row r="56" customFormat="false" ht="12.75" hidden="false" customHeight="false" outlineLevel="0" collapsed="false">
      <c r="B56" s="0" t="n">
        <v>1</v>
      </c>
      <c r="C56" s="205" t="s">
        <v>285</v>
      </c>
      <c r="D56" s="206" t="n">
        <v>133620.69</v>
      </c>
      <c r="E56" s="206"/>
      <c r="F56" s="206"/>
      <c r="G56" s="206" t="n">
        <v>133620.69</v>
      </c>
      <c r="H56" s="203" t="str">
        <f aca="false">IF(I56=C56,"ok","REVISAR")</f>
        <v>ok</v>
      </c>
      <c r="I56" s="203" t="s">
        <v>285</v>
      </c>
      <c r="J56" s="204" t="n">
        <v>133620.69</v>
      </c>
      <c r="K56" s="204"/>
      <c r="L56" s="204"/>
      <c r="M56" s="204" t="n">
        <v>133620.69</v>
      </c>
    </row>
    <row r="57" customFormat="false" ht="12.75" hidden="false" customHeight="false" outlineLevel="0" collapsed="false">
      <c r="A57" s="0" t="s">
        <v>235</v>
      </c>
      <c r="B57" s="0" t="n">
        <v>2</v>
      </c>
      <c r="C57" s="201" t="s">
        <v>286</v>
      </c>
      <c r="D57" s="202" t="n">
        <v>492349.13</v>
      </c>
      <c r="E57" s="206"/>
      <c r="F57" s="202"/>
      <c r="G57" s="202" t="n">
        <v>492349.13</v>
      </c>
      <c r="H57" s="203" t="str">
        <f aca="false">IF(I57=C57,"ok","REVISAR")</f>
        <v>ok</v>
      </c>
      <c r="I57" s="203" t="s">
        <v>286</v>
      </c>
      <c r="J57" s="204" t="n">
        <v>492349.13</v>
      </c>
      <c r="K57" s="204"/>
      <c r="L57" s="204"/>
      <c r="M57" s="204" t="n">
        <v>492349.13</v>
      </c>
    </row>
    <row r="58" customFormat="false" ht="12.75" hidden="false" customHeight="false" outlineLevel="0" collapsed="false">
      <c r="A58" s="0" t="s">
        <v>235</v>
      </c>
      <c r="B58" s="0" t="n">
        <v>1</v>
      </c>
      <c r="C58" s="201" t="s">
        <v>287</v>
      </c>
      <c r="D58" s="202" t="n">
        <v>19497.08</v>
      </c>
      <c r="E58" s="202" t="n">
        <v>0</v>
      </c>
      <c r="F58" s="202" t="n">
        <v>0</v>
      </c>
      <c r="G58" s="202" t="n">
        <v>19497.08</v>
      </c>
      <c r="H58" s="203" t="str">
        <f aca="false">IF(I58=C58,"ok","REVISAR")</f>
        <v>ok</v>
      </c>
      <c r="I58" s="203" t="s">
        <v>287</v>
      </c>
      <c r="J58" s="204" t="n">
        <v>19497.08</v>
      </c>
      <c r="K58" s="204" t="n">
        <v>0</v>
      </c>
      <c r="L58" s="204" t="n">
        <v>0</v>
      </c>
      <c r="M58" s="204" t="n">
        <v>19497.08</v>
      </c>
    </row>
    <row r="59" customFormat="false" ht="12.75" hidden="false" customHeight="false" outlineLevel="0" collapsed="false">
      <c r="B59" s="0" t="n">
        <v>2</v>
      </c>
      <c r="C59" s="205" t="s">
        <v>288</v>
      </c>
      <c r="D59" s="206" t="n">
        <v>19497.08</v>
      </c>
      <c r="E59" s="206"/>
      <c r="F59" s="206"/>
      <c r="G59" s="206" t="n">
        <v>19497.08</v>
      </c>
      <c r="H59" s="203" t="str">
        <f aca="false">IF(I59=C59,"ok","REVISAR")</f>
        <v>ok</v>
      </c>
      <c r="I59" s="203" t="s">
        <v>288</v>
      </c>
      <c r="J59" s="204" t="n">
        <v>19497.08</v>
      </c>
      <c r="K59" s="204"/>
      <c r="L59" s="204"/>
      <c r="M59" s="204" t="n">
        <v>19497.08</v>
      </c>
    </row>
    <row r="60" customFormat="false" ht="12.75" hidden="false" customHeight="false" outlineLevel="0" collapsed="false">
      <c r="A60" s="0" t="s">
        <v>235</v>
      </c>
      <c r="B60" s="0" t="n">
        <v>1</v>
      </c>
      <c r="C60" s="201" t="s">
        <v>289</v>
      </c>
      <c r="D60" s="202" t="n">
        <v>9098.64</v>
      </c>
      <c r="E60" s="206"/>
      <c r="F60" s="202"/>
      <c r="G60" s="202" t="n">
        <v>9098.64</v>
      </c>
      <c r="H60" s="203" t="str">
        <f aca="false">IF(I60=C60,"ok","REVISAR")</f>
        <v>ok</v>
      </c>
      <c r="I60" s="203" t="s">
        <v>289</v>
      </c>
      <c r="J60" s="204" t="n">
        <v>9098.64</v>
      </c>
      <c r="K60" s="204"/>
      <c r="L60" s="204"/>
      <c r="M60" s="204" t="n">
        <v>9098.64</v>
      </c>
    </row>
    <row r="61" customFormat="false" ht="12.75" hidden="false" customHeight="false" outlineLevel="0" collapsed="false">
      <c r="A61" s="0" t="s">
        <v>235</v>
      </c>
      <c r="B61" s="0" t="n">
        <v>2</v>
      </c>
      <c r="C61" s="201" t="s">
        <v>290</v>
      </c>
      <c r="D61" s="202" t="n">
        <v>501280.306</v>
      </c>
      <c r="E61" s="202"/>
      <c r="F61" s="202"/>
      <c r="G61" s="202" t="n">
        <v>501280.306</v>
      </c>
      <c r="H61" s="203" t="str">
        <f aca="false">IF(I61=C61,"ok","REVISAR")</f>
        <v>ok</v>
      </c>
      <c r="I61" s="203" t="s">
        <v>290</v>
      </c>
      <c r="J61" s="204" t="n">
        <v>501280.306</v>
      </c>
      <c r="K61" s="204"/>
      <c r="L61" s="204"/>
      <c r="M61" s="204" t="n">
        <v>501280.306</v>
      </c>
    </row>
    <row r="62" customFormat="false" ht="12.75" hidden="false" customHeight="false" outlineLevel="0" collapsed="false">
      <c r="A62" s="0" t="s">
        <v>235</v>
      </c>
      <c r="B62" s="0" t="n">
        <v>1</v>
      </c>
      <c r="C62" s="201" t="s">
        <v>291</v>
      </c>
      <c r="D62" s="202" t="n">
        <v>3331611.76</v>
      </c>
      <c r="E62" s="202" t="n">
        <v>0</v>
      </c>
      <c r="F62" s="202" t="n">
        <v>0</v>
      </c>
      <c r="G62" s="202" t="n">
        <v>3331611.76</v>
      </c>
      <c r="H62" s="203" t="str">
        <f aca="false">IF(I62=C62,"ok","REVISAR")</f>
        <v>ok</v>
      </c>
      <c r="I62" s="203" t="s">
        <v>291</v>
      </c>
      <c r="J62" s="204" t="n">
        <v>3331611.76</v>
      </c>
      <c r="K62" s="204" t="n">
        <v>0</v>
      </c>
      <c r="L62" s="204" t="n">
        <v>0</v>
      </c>
      <c r="M62" s="204" t="n">
        <v>3331611.76</v>
      </c>
    </row>
    <row r="63" customFormat="false" ht="12.75" hidden="false" customHeight="false" outlineLevel="0" collapsed="false">
      <c r="C63" s="205" t="s">
        <v>292</v>
      </c>
      <c r="D63" s="202" t="n">
        <v>802898.49</v>
      </c>
      <c r="E63" s="202"/>
      <c r="F63" s="202"/>
      <c r="G63" s="202" t="n">
        <v>802898.49</v>
      </c>
      <c r="H63" s="203" t="str">
        <f aca="false">IF(I63=C63,"ok","REVISAR")</f>
        <v>ok</v>
      </c>
      <c r="I63" s="203" t="s">
        <v>292</v>
      </c>
      <c r="J63" s="204" t="n">
        <v>802898.49</v>
      </c>
      <c r="K63" s="204"/>
      <c r="L63" s="204"/>
      <c r="M63" s="204" t="n">
        <v>802898.49</v>
      </c>
    </row>
    <row r="64" customFormat="false" ht="12.75" hidden="false" customHeight="false" outlineLevel="0" collapsed="false">
      <c r="B64" s="0" t="n">
        <v>2</v>
      </c>
      <c r="C64" s="205" t="s">
        <v>293</v>
      </c>
      <c r="D64" s="206" t="n">
        <v>5478.49</v>
      </c>
      <c r="E64" s="206"/>
      <c r="F64" s="206"/>
      <c r="G64" s="206" t="n">
        <v>5478.49</v>
      </c>
      <c r="H64" s="203" t="str">
        <f aca="false">IF(I64=C64,"ok","REVISAR")</f>
        <v>ok</v>
      </c>
      <c r="I64" s="203" t="s">
        <v>293</v>
      </c>
      <c r="J64" s="204" t="n">
        <v>5478.49</v>
      </c>
      <c r="K64" s="204"/>
      <c r="L64" s="204"/>
      <c r="M64" s="204" t="n">
        <v>5478.49</v>
      </c>
    </row>
    <row r="65" customFormat="false" ht="12.75" hidden="false" customHeight="false" outlineLevel="0" collapsed="false">
      <c r="B65" s="0" t="n">
        <v>1</v>
      </c>
      <c r="C65" s="205" t="s">
        <v>294</v>
      </c>
      <c r="D65" s="206" t="n">
        <v>1189805.77</v>
      </c>
      <c r="E65" s="206" t="n">
        <v>0</v>
      </c>
      <c r="F65" s="206" t="n">
        <v>0</v>
      </c>
      <c r="G65" s="206" t="n">
        <v>1189805.77</v>
      </c>
      <c r="H65" s="203" t="str">
        <f aca="false">IF(I65=C65,"ok","REVISAR")</f>
        <v>ok</v>
      </c>
      <c r="I65" s="203" t="s">
        <v>294</v>
      </c>
      <c r="J65" s="204" t="n">
        <v>1189805.77</v>
      </c>
      <c r="K65" s="204" t="n">
        <v>0</v>
      </c>
      <c r="L65" s="204" t="n">
        <v>0</v>
      </c>
      <c r="M65" s="204" t="n">
        <v>1189805.77</v>
      </c>
    </row>
    <row r="66" customFormat="false" ht="12.75" hidden="false" customHeight="false" outlineLevel="0" collapsed="false">
      <c r="B66" s="0" t="n">
        <v>2</v>
      </c>
      <c r="C66" s="205" t="s">
        <v>295</v>
      </c>
      <c r="D66" s="206" t="n">
        <v>576578.11</v>
      </c>
      <c r="E66" s="206"/>
      <c r="F66" s="206"/>
      <c r="G66" s="206" t="n">
        <v>576578.11</v>
      </c>
      <c r="H66" s="203" t="str">
        <f aca="false">IF(I66=C66,"ok","REVISAR")</f>
        <v>ok</v>
      </c>
      <c r="I66" s="203" t="s">
        <v>295</v>
      </c>
      <c r="J66" s="204" t="n">
        <v>576578.11</v>
      </c>
      <c r="K66" s="204"/>
      <c r="L66" s="204"/>
      <c r="M66" s="204" t="n">
        <v>576578.11</v>
      </c>
    </row>
    <row r="67" customFormat="false" ht="12.75" hidden="false" customHeight="false" outlineLevel="0" collapsed="false">
      <c r="B67" s="0" t="n">
        <v>1</v>
      </c>
      <c r="C67" s="205" t="s">
        <v>296</v>
      </c>
      <c r="D67" s="206" t="n">
        <v>-24641.71</v>
      </c>
      <c r="E67" s="206"/>
      <c r="F67" s="206"/>
      <c r="G67" s="206" t="n">
        <v>-24641.71</v>
      </c>
      <c r="H67" s="203" t="str">
        <f aca="false">IF(I67=C67,"ok","REVISAR")</f>
        <v>ok</v>
      </c>
      <c r="I67" s="203" t="s">
        <v>296</v>
      </c>
      <c r="J67" s="204" t="n">
        <v>-24641.71</v>
      </c>
      <c r="K67" s="204"/>
      <c r="L67" s="204"/>
      <c r="M67" s="204" t="n">
        <v>-24641.71</v>
      </c>
    </row>
    <row r="68" customFormat="false" ht="12.75" hidden="false" customHeight="false" outlineLevel="0" collapsed="false">
      <c r="B68" s="0" t="n">
        <v>2</v>
      </c>
      <c r="C68" s="205" t="s">
        <v>297</v>
      </c>
      <c r="D68" s="206" t="n">
        <v>521961.67</v>
      </c>
      <c r="E68" s="206"/>
      <c r="F68" s="206"/>
      <c r="G68" s="206" t="n">
        <v>521961.67</v>
      </c>
      <c r="H68" s="203" t="str">
        <f aca="false">IF(I68=C68,"ok","REVISAR")</f>
        <v>ok</v>
      </c>
      <c r="I68" s="203" t="s">
        <v>297</v>
      </c>
      <c r="J68" s="204" t="n">
        <v>521961.67</v>
      </c>
      <c r="K68" s="204"/>
      <c r="L68" s="204"/>
      <c r="M68" s="204" t="n">
        <v>521961.67</v>
      </c>
    </row>
    <row r="69" customFormat="false" ht="12.75" hidden="false" customHeight="false" outlineLevel="0" collapsed="false">
      <c r="B69" s="0" t="n">
        <v>1</v>
      </c>
      <c r="C69" s="205" t="s">
        <v>298</v>
      </c>
      <c r="D69" s="206" t="n">
        <v>115907.7</v>
      </c>
      <c r="E69" s="206"/>
      <c r="F69" s="206"/>
      <c r="G69" s="206" t="n">
        <v>115907.7</v>
      </c>
      <c r="H69" s="203" t="str">
        <f aca="false">IF(I69=C69,"ok","REVISAR")</f>
        <v>ok</v>
      </c>
      <c r="I69" s="203" t="s">
        <v>298</v>
      </c>
      <c r="J69" s="204" t="n">
        <v>115907.7</v>
      </c>
      <c r="K69" s="204"/>
      <c r="L69" s="204"/>
      <c r="M69" s="204" t="n">
        <v>115907.7</v>
      </c>
    </row>
    <row r="70" customFormat="false" ht="12.75" hidden="false" customHeight="false" outlineLevel="0" collapsed="false">
      <c r="C70" s="205" t="s">
        <v>299</v>
      </c>
      <c r="D70" s="206" t="n">
        <v>225.71</v>
      </c>
      <c r="E70" s="206" t="n">
        <v>0</v>
      </c>
      <c r="F70" s="206" t="n">
        <v>0</v>
      </c>
      <c r="G70" s="206" t="n">
        <v>225.71</v>
      </c>
      <c r="H70" s="203" t="str">
        <f aca="false">IF(I70=C70,"ok","REVISAR")</f>
        <v>ok</v>
      </c>
      <c r="I70" s="203" t="s">
        <v>299</v>
      </c>
      <c r="J70" s="204" t="n">
        <v>225.71</v>
      </c>
      <c r="K70" s="204" t="n">
        <v>0</v>
      </c>
      <c r="L70" s="204" t="n">
        <v>0</v>
      </c>
      <c r="M70" s="204" t="n">
        <v>225.71</v>
      </c>
    </row>
    <row r="71" customFormat="false" ht="12.75" hidden="false" customHeight="false" outlineLevel="0" collapsed="false">
      <c r="C71" s="205" t="s">
        <v>300</v>
      </c>
      <c r="D71" s="206" t="n">
        <v>225.71</v>
      </c>
      <c r="E71" s="206"/>
      <c r="F71" s="206"/>
      <c r="G71" s="206" t="n">
        <v>225.71</v>
      </c>
      <c r="H71" s="203" t="str">
        <f aca="false">IF(I71=C71,"ok","REVISAR")</f>
        <v>ok</v>
      </c>
      <c r="I71" s="203" t="s">
        <v>300</v>
      </c>
      <c r="J71" s="204" t="n">
        <v>225.71</v>
      </c>
      <c r="K71" s="204"/>
      <c r="L71" s="204"/>
      <c r="M71" s="204" t="n">
        <v>225.71</v>
      </c>
    </row>
    <row r="72" customFormat="false" ht="12.75" hidden="false" customHeight="false" outlineLevel="0" collapsed="false">
      <c r="B72" s="0" t="n">
        <v>2</v>
      </c>
      <c r="C72" s="205" t="s">
        <v>301</v>
      </c>
      <c r="D72" s="206" t="n">
        <v>5581.23</v>
      </c>
      <c r="E72" s="206"/>
      <c r="F72" s="206"/>
      <c r="G72" s="206" t="n">
        <v>5581.23</v>
      </c>
      <c r="H72" s="203" t="str">
        <f aca="false">IF(I72=C72,"ok","REVISAR")</f>
        <v>ok</v>
      </c>
      <c r="I72" s="203" t="s">
        <v>301</v>
      </c>
      <c r="J72" s="204" t="n">
        <v>5581.23</v>
      </c>
      <c r="K72" s="204"/>
      <c r="L72" s="204"/>
      <c r="M72" s="204" t="n">
        <v>5581.23</v>
      </c>
    </row>
    <row r="73" customFormat="false" ht="12.75" hidden="false" customHeight="false" outlineLevel="0" collapsed="false">
      <c r="B73" s="0" t="n">
        <v>1</v>
      </c>
      <c r="C73" s="205" t="s">
        <v>302</v>
      </c>
      <c r="D73" s="206" t="n">
        <v>141026.809999999</v>
      </c>
      <c r="E73" s="206"/>
      <c r="F73" s="206"/>
      <c r="G73" s="206" t="n">
        <v>141026.81</v>
      </c>
      <c r="H73" s="203" t="str">
        <f aca="false">IF(I73=C73,"ok","REVISAR")</f>
        <v>ok</v>
      </c>
      <c r="I73" s="203" t="s">
        <v>302</v>
      </c>
      <c r="J73" s="204" t="n">
        <v>141026.809999999</v>
      </c>
      <c r="K73" s="204"/>
      <c r="L73" s="204"/>
      <c r="M73" s="204" t="n">
        <v>141026.81</v>
      </c>
    </row>
    <row r="74" customFormat="false" ht="12.75" hidden="false" customHeight="false" outlineLevel="0" collapsed="false">
      <c r="B74" s="0" t="n">
        <v>2</v>
      </c>
      <c r="C74" s="205" t="s">
        <v>303</v>
      </c>
      <c r="D74" s="206" t="n">
        <v>900000</v>
      </c>
      <c r="E74" s="206"/>
      <c r="F74" s="206"/>
      <c r="G74" s="206" t="n">
        <v>900000</v>
      </c>
      <c r="H74" s="203" t="str">
        <f aca="false">IF(I74=C74,"ok","REVISAR")</f>
        <v>ok</v>
      </c>
      <c r="I74" s="203" t="s">
        <v>303</v>
      </c>
      <c r="J74" s="204" t="n">
        <v>900000</v>
      </c>
      <c r="K74" s="204"/>
      <c r="L74" s="204"/>
      <c r="M74" s="204" t="n">
        <v>900000</v>
      </c>
    </row>
    <row r="75" customFormat="false" ht="12.75" hidden="false" customHeight="false" outlineLevel="0" collapsed="false">
      <c r="B75" s="0" t="n">
        <v>1</v>
      </c>
      <c r="C75" s="205" t="s">
        <v>304</v>
      </c>
      <c r="D75" s="206" t="n">
        <v>-80000</v>
      </c>
      <c r="E75" s="206"/>
      <c r="F75" s="206"/>
      <c r="G75" s="206" t="n">
        <v>-80000</v>
      </c>
      <c r="H75" s="203" t="str">
        <f aca="false">IF(I75=C75,"ok","REVISAR")</f>
        <v>ok</v>
      </c>
      <c r="I75" s="203" t="s">
        <v>304</v>
      </c>
      <c r="J75" s="204" t="n">
        <v>-80000</v>
      </c>
      <c r="K75" s="204"/>
      <c r="L75" s="204"/>
      <c r="M75" s="204" t="n">
        <v>-80000</v>
      </c>
    </row>
    <row r="76" customFormat="false" ht="12.75" hidden="false" customHeight="false" outlineLevel="0" collapsed="false">
      <c r="B76" s="0" t="n">
        <v>2</v>
      </c>
      <c r="C76" s="205" t="s">
        <v>305</v>
      </c>
      <c r="D76" s="206" t="n">
        <v>-216436.49</v>
      </c>
      <c r="E76" s="206"/>
      <c r="F76" s="206"/>
      <c r="G76" s="206" t="n">
        <v>-216436.49</v>
      </c>
      <c r="H76" s="203" t="str">
        <f aca="false">IF(I76=C76,"ok","REVISAR")</f>
        <v>ok</v>
      </c>
      <c r="I76" s="203" t="s">
        <v>305</v>
      </c>
      <c r="J76" s="204" t="n">
        <v>-216436.49</v>
      </c>
      <c r="K76" s="204"/>
      <c r="L76" s="204"/>
      <c r="M76" s="204" t="n">
        <v>-216436.49</v>
      </c>
    </row>
    <row r="77" customFormat="false" ht="12.75" hidden="false" customHeight="false" outlineLevel="0" collapsed="false">
      <c r="B77" s="0" t="n">
        <v>1</v>
      </c>
      <c r="C77" s="205" t="s">
        <v>306</v>
      </c>
      <c r="D77" s="206" t="n">
        <v>301434.21</v>
      </c>
      <c r="E77" s="206"/>
      <c r="F77" s="206"/>
      <c r="G77" s="206" t="n">
        <v>301434.21</v>
      </c>
      <c r="H77" s="203" t="str">
        <f aca="false">IF(I77=C77,"ok","REVISAR")</f>
        <v>ok</v>
      </c>
      <c r="I77" s="203" t="s">
        <v>306</v>
      </c>
      <c r="J77" s="204" t="n">
        <v>301434.21</v>
      </c>
      <c r="K77" s="204"/>
      <c r="L77" s="204"/>
      <c r="M77" s="204" t="n">
        <v>301434.21</v>
      </c>
    </row>
    <row r="78" customFormat="false" ht="12.75" hidden="false" customHeight="false" outlineLevel="0" collapsed="false">
      <c r="C78" s="205" t="s">
        <v>307</v>
      </c>
      <c r="D78" s="206" t="n">
        <v>281597.54</v>
      </c>
      <c r="E78" s="206"/>
      <c r="F78" s="206"/>
      <c r="G78" s="206" t="n">
        <v>281597.54</v>
      </c>
      <c r="H78" s="203" t="str">
        <f aca="false">IF(I78=C78,"ok","REVISAR")</f>
        <v>ok</v>
      </c>
      <c r="I78" s="203" t="s">
        <v>307</v>
      </c>
      <c r="J78" s="204" t="n">
        <v>281597.54</v>
      </c>
      <c r="K78" s="204"/>
      <c r="L78" s="204"/>
      <c r="M78" s="204" t="n">
        <v>281597.54</v>
      </c>
    </row>
    <row r="79" customFormat="false" ht="12.75" hidden="false" customHeight="false" outlineLevel="0" collapsed="false">
      <c r="A79" s="122" t="s">
        <v>235</v>
      </c>
      <c r="B79" s="0" t="n">
        <v>2</v>
      </c>
      <c r="C79" s="201" t="s">
        <v>308</v>
      </c>
      <c r="D79" s="202" t="n">
        <v>7883960.62</v>
      </c>
      <c r="E79" s="202" t="n">
        <v>0</v>
      </c>
      <c r="F79" s="202" t="n">
        <v>0</v>
      </c>
      <c r="G79" s="202" t="n">
        <v>7883960.62</v>
      </c>
      <c r="H79" s="203" t="str">
        <f aca="false">IF(I79=C79,"ok","REVISAR")</f>
        <v>ok</v>
      </c>
      <c r="I79" s="203" t="s">
        <v>308</v>
      </c>
      <c r="J79" s="204" t="n">
        <v>7883960.62</v>
      </c>
      <c r="K79" s="204" t="n">
        <v>0</v>
      </c>
      <c r="L79" s="204" t="n">
        <v>0</v>
      </c>
      <c r="M79" s="204" t="n">
        <v>7883960.62</v>
      </c>
    </row>
    <row r="80" customFormat="false" ht="12.75" hidden="false" customHeight="false" outlineLevel="0" collapsed="false">
      <c r="A80" s="122"/>
      <c r="B80" s="0" t="n">
        <v>1</v>
      </c>
      <c r="C80" s="201" t="s">
        <v>309</v>
      </c>
      <c r="D80" s="202" t="n">
        <v>7883960.62</v>
      </c>
      <c r="E80" s="202"/>
      <c r="F80" s="202"/>
      <c r="G80" s="202" t="n">
        <v>7883960.62</v>
      </c>
      <c r="H80" s="203" t="str">
        <f aca="false">IF(I80=C80,"ok","REVISAR")</f>
        <v>ok</v>
      </c>
      <c r="I80" s="203" t="s">
        <v>309</v>
      </c>
      <c r="J80" s="204" t="n">
        <v>7883960.62</v>
      </c>
      <c r="K80" s="204"/>
      <c r="L80" s="204"/>
      <c r="M80" s="204" t="n">
        <v>7883960.62</v>
      </c>
    </row>
    <row r="81" customFormat="false" ht="12.75" hidden="false" customHeight="false" outlineLevel="0" collapsed="false">
      <c r="A81" s="0" t="s">
        <v>235</v>
      </c>
      <c r="B81" s="0" t="n">
        <v>2</v>
      </c>
      <c r="C81" s="201" t="s">
        <v>310</v>
      </c>
      <c r="D81" s="202" t="n">
        <v>181339.95</v>
      </c>
      <c r="E81" s="202" t="n">
        <v>0</v>
      </c>
      <c r="F81" s="202" t="n">
        <v>0</v>
      </c>
      <c r="G81" s="202" t="n">
        <v>181339.95</v>
      </c>
      <c r="H81" s="203" t="str">
        <f aca="false">IF(I81=C81,"ok","REVISAR")</f>
        <v>ok</v>
      </c>
      <c r="I81" s="203" t="s">
        <v>310</v>
      </c>
      <c r="J81" s="204" t="n">
        <v>181339.95</v>
      </c>
      <c r="K81" s="204" t="n">
        <v>0</v>
      </c>
      <c r="L81" s="204" t="n">
        <v>0</v>
      </c>
      <c r="M81" s="204" t="n">
        <v>181339.95</v>
      </c>
    </row>
    <row r="82" customFormat="false" ht="12.75" hidden="false" customHeight="false" outlineLevel="0" collapsed="false">
      <c r="B82" s="0" t="n">
        <v>1</v>
      </c>
      <c r="C82" s="205" t="s">
        <v>311</v>
      </c>
      <c r="D82" s="206" t="n">
        <v>107958.73</v>
      </c>
      <c r="E82" s="206"/>
      <c r="F82" s="206"/>
      <c r="G82" s="206" t="n">
        <v>107958.73</v>
      </c>
      <c r="H82" s="203" t="str">
        <f aca="false">IF(I82=C82,"ok","REVISAR")</f>
        <v>ok</v>
      </c>
      <c r="I82" s="203" t="s">
        <v>311</v>
      </c>
      <c r="J82" s="204" t="n">
        <v>107958.73</v>
      </c>
      <c r="K82" s="204"/>
      <c r="L82" s="204"/>
      <c r="M82" s="204" t="n">
        <v>107958.73</v>
      </c>
    </row>
    <row r="83" customFormat="false" ht="12.75" hidden="false" customHeight="false" outlineLevel="0" collapsed="false">
      <c r="B83" s="0" t="n">
        <v>2</v>
      </c>
      <c r="C83" s="205" t="s">
        <v>312</v>
      </c>
      <c r="D83" s="206" t="n">
        <v>1709.08</v>
      </c>
      <c r="E83" s="206"/>
      <c r="F83" s="206"/>
      <c r="G83" s="206" t="n">
        <v>1709.08</v>
      </c>
      <c r="H83" s="203" t="str">
        <f aca="false">IF(I83=C83,"ok","REVISAR")</f>
        <v>ok</v>
      </c>
      <c r="I83" s="203" t="s">
        <v>312</v>
      </c>
      <c r="J83" s="204" t="n">
        <v>1709.08</v>
      </c>
      <c r="K83" s="204"/>
      <c r="L83" s="204"/>
      <c r="M83" s="204" t="n">
        <v>1709.08</v>
      </c>
    </row>
    <row r="84" customFormat="false" ht="12.75" hidden="false" customHeight="false" outlineLevel="0" collapsed="false">
      <c r="B84" s="0" t="n">
        <v>1</v>
      </c>
      <c r="C84" s="205" t="s">
        <v>313</v>
      </c>
      <c r="D84" s="206" t="n">
        <v>1400</v>
      </c>
      <c r="E84" s="206"/>
      <c r="F84" s="206"/>
      <c r="G84" s="206" t="n">
        <v>1400</v>
      </c>
      <c r="H84" s="203" t="str">
        <f aca="false">IF(I84=C84,"ok","REVISAR")</f>
        <v>ok</v>
      </c>
      <c r="I84" s="203" t="s">
        <v>313</v>
      </c>
      <c r="J84" s="204" t="n">
        <v>1400</v>
      </c>
      <c r="K84" s="204"/>
      <c r="L84" s="204"/>
      <c r="M84" s="204" t="n">
        <v>1400</v>
      </c>
    </row>
    <row r="85" customFormat="false" ht="12.75" hidden="false" customHeight="false" outlineLevel="0" collapsed="false">
      <c r="B85" s="0" t="n">
        <v>2</v>
      </c>
      <c r="C85" s="205" t="s">
        <v>314</v>
      </c>
      <c r="D85" s="206" t="n">
        <v>14588.47</v>
      </c>
      <c r="E85" s="206"/>
      <c r="F85" s="206"/>
      <c r="G85" s="206" t="n">
        <v>14588.47</v>
      </c>
      <c r="H85" s="203" t="str">
        <f aca="false">IF(I85=C85,"ok","REVISAR")</f>
        <v>ok</v>
      </c>
      <c r="I85" s="203" t="s">
        <v>314</v>
      </c>
      <c r="J85" s="204" t="n">
        <v>14588.47</v>
      </c>
      <c r="K85" s="204"/>
      <c r="L85" s="204"/>
      <c r="M85" s="204" t="n">
        <v>14588.47</v>
      </c>
    </row>
    <row r="86" customFormat="false" ht="12.75" hidden="false" customHeight="false" outlineLevel="0" collapsed="false">
      <c r="B86" s="0" t="n">
        <v>1</v>
      </c>
      <c r="C86" s="205" t="s">
        <v>315</v>
      </c>
      <c r="D86" s="206" t="n">
        <v>417.12</v>
      </c>
      <c r="E86" s="206"/>
      <c r="F86" s="206"/>
      <c r="G86" s="206" t="n">
        <v>417.12</v>
      </c>
      <c r="H86" s="203" t="str">
        <f aca="false">IF(I86=C86,"ok","REVISAR")</f>
        <v>ok</v>
      </c>
      <c r="I86" s="203" t="s">
        <v>315</v>
      </c>
      <c r="J86" s="204" t="n">
        <v>417.12</v>
      </c>
      <c r="K86" s="204"/>
      <c r="L86" s="204"/>
      <c r="M86" s="204" t="n">
        <v>417.12</v>
      </c>
    </row>
    <row r="87" customFormat="false" ht="12.75" hidden="false" customHeight="false" outlineLevel="0" collapsed="false">
      <c r="B87" s="0" t="n">
        <v>2</v>
      </c>
      <c r="C87" s="205" t="s">
        <v>316</v>
      </c>
      <c r="D87" s="206" t="n">
        <v>12192.55</v>
      </c>
      <c r="E87" s="206"/>
      <c r="F87" s="206"/>
      <c r="G87" s="206" t="n">
        <v>12192.55</v>
      </c>
      <c r="H87" s="203" t="str">
        <f aca="false">IF(I87=C87,"ok","REVISAR")</f>
        <v>ok</v>
      </c>
      <c r="I87" s="203" t="s">
        <v>316</v>
      </c>
      <c r="J87" s="204" t="n">
        <v>12192.55</v>
      </c>
      <c r="K87" s="204"/>
      <c r="L87" s="204"/>
      <c r="M87" s="204" t="n">
        <v>12192.55</v>
      </c>
    </row>
    <row r="88" customFormat="false" ht="12.75" hidden="false" customHeight="false" outlineLevel="0" collapsed="false">
      <c r="B88" s="0" t="n">
        <v>1</v>
      </c>
      <c r="C88" s="205" t="s">
        <v>317</v>
      </c>
      <c r="D88" s="206" t="n">
        <v>43074</v>
      </c>
      <c r="E88" s="206"/>
      <c r="F88" s="206"/>
      <c r="G88" s="206" t="n">
        <v>43074</v>
      </c>
      <c r="H88" s="203" t="str">
        <f aca="false">IF(I88=C88,"ok","REVISAR")</f>
        <v>ok</v>
      </c>
      <c r="I88" s="203" t="s">
        <v>317</v>
      </c>
      <c r="J88" s="204" t="n">
        <v>43074</v>
      </c>
      <c r="K88" s="204"/>
      <c r="L88" s="204"/>
      <c r="M88" s="204" t="n">
        <v>43074</v>
      </c>
    </row>
    <row r="89" customFormat="false" ht="12.75" hidden="false" customHeight="false" outlineLevel="0" collapsed="false">
      <c r="A89" s="0" t="s">
        <v>235</v>
      </c>
      <c r="B89" s="0" t="n">
        <v>2</v>
      </c>
      <c r="C89" s="201" t="s">
        <v>318</v>
      </c>
      <c r="D89" s="202"/>
      <c r="E89" s="202"/>
      <c r="F89" s="202"/>
      <c r="G89" s="202"/>
      <c r="H89" s="203" t="str">
        <f aca="false">IF(I89=C89,"ok","REVISAR")</f>
        <v>ok</v>
      </c>
      <c r="I89" s="203" t="s">
        <v>318</v>
      </c>
      <c r="J89" s="204"/>
      <c r="K89" s="204"/>
      <c r="L89" s="204"/>
      <c r="M89" s="204"/>
    </row>
    <row r="90" customFormat="false" ht="12.75" hidden="false" customHeight="false" outlineLevel="0" collapsed="false">
      <c r="A90" s="122" t="s">
        <v>235</v>
      </c>
      <c r="B90" s="0" t="n">
        <v>1</v>
      </c>
      <c r="C90" s="201" t="s">
        <v>319</v>
      </c>
      <c r="D90" s="202" t="n">
        <v>2275.19</v>
      </c>
      <c r="E90" s="202"/>
      <c r="F90" s="202"/>
      <c r="G90" s="202" t="n">
        <v>2275.19</v>
      </c>
      <c r="H90" s="203" t="str">
        <f aca="false">IF(I90=C90,"ok","REVISAR")</f>
        <v>ok</v>
      </c>
      <c r="I90" s="203" t="s">
        <v>319</v>
      </c>
      <c r="J90" s="204" t="n">
        <v>2275.19</v>
      </c>
      <c r="K90" s="204"/>
      <c r="L90" s="204"/>
      <c r="M90" s="204" t="n">
        <v>2275.19</v>
      </c>
    </row>
    <row r="91" customFormat="false" ht="12.75" hidden="false" customHeight="false" outlineLevel="0" collapsed="false">
      <c r="A91" s="0" t="s">
        <v>235</v>
      </c>
      <c r="B91" s="0" t="n">
        <v>2</v>
      </c>
      <c r="C91" s="201" t="s">
        <v>320</v>
      </c>
      <c r="D91" s="202" t="n">
        <v>425800</v>
      </c>
      <c r="E91" s="202" t="n">
        <v>0</v>
      </c>
      <c r="F91" s="202" t="n">
        <v>0</v>
      </c>
      <c r="G91" s="202" t="n">
        <v>425800</v>
      </c>
      <c r="H91" s="203" t="str">
        <f aca="false">IF(I91=C91,"ok","REVISAR")</f>
        <v>ok</v>
      </c>
      <c r="I91" s="203" t="s">
        <v>320</v>
      </c>
      <c r="J91" s="204" t="n">
        <v>425800</v>
      </c>
      <c r="K91" s="204" t="n">
        <v>0</v>
      </c>
      <c r="L91" s="204" t="n">
        <v>0</v>
      </c>
      <c r="M91" s="204" t="n">
        <v>425800</v>
      </c>
    </row>
    <row r="92" customFormat="false" ht="12.75" hidden="false" customHeight="false" outlineLevel="0" collapsed="false">
      <c r="B92" s="0" t="n">
        <v>1</v>
      </c>
      <c r="C92" s="205" t="s">
        <v>321</v>
      </c>
      <c r="D92" s="206" t="n">
        <v>200000</v>
      </c>
      <c r="E92" s="206"/>
      <c r="F92" s="206"/>
      <c r="G92" s="206" t="n">
        <v>200000</v>
      </c>
      <c r="H92" s="203" t="str">
        <f aca="false">IF(I92=C92,"ok","REVISAR")</f>
        <v>ok</v>
      </c>
      <c r="I92" s="203" t="s">
        <v>321</v>
      </c>
      <c r="J92" s="204" t="n">
        <v>200000</v>
      </c>
      <c r="K92" s="204"/>
      <c r="L92" s="204"/>
      <c r="M92" s="204" t="n">
        <v>200000</v>
      </c>
    </row>
    <row r="93" customFormat="false" ht="12.75" hidden="false" customHeight="false" outlineLevel="0" collapsed="false">
      <c r="C93" s="205" t="s">
        <v>322</v>
      </c>
      <c r="D93" s="206" t="n">
        <v>225800</v>
      </c>
      <c r="E93" s="206"/>
      <c r="F93" s="206"/>
      <c r="G93" s="206" t="n">
        <v>225800</v>
      </c>
      <c r="H93" s="203" t="str">
        <f aca="false">IF(I93=C93,"ok","REVISAR")</f>
        <v>ok</v>
      </c>
      <c r="I93" s="203" t="s">
        <v>322</v>
      </c>
      <c r="J93" s="204" t="n">
        <v>225800</v>
      </c>
      <c r="K93" s="204"/>
      <c r="L93" s="204"/>
      <c r="M93" s="204" t="n">
        <v>225800</v>
      </c>
    </row>
    <row r="94" customFormat="false" ht="12.75" hidden="false" customHeight="false" outlineLevel="0" collapsed="false">
      <c r="A94" s="0" t="s">
        <v>235</v>
      </c>
      <c r="B94" s="0" t="n">
        <v>2</v>
      </c>
      <c r="C94" s="201" t="s">
        <v>323</v>
      </c>
      <c r="D94" s="202" t="n">
        <v>1090000</v>
      </c>
      <c r="E94" s="206"/>
      <c r="F94" s="206"/>
      <c r="G94" s="202" t="n">
        <v>1090000</v>
      </c>
      <c r="H94" s="203" t="str">
        <f aca="false">IF(I94=C94,"ok","REVISAR")</f>
        <v>ok</v>
      </c>
      <c r="I94" s="203" t="s">
        <v>323</v>
      </c>
      <c r="J94" s="204" t="n">
        <v>1090000</v>
      </c>
      <c r="K94" s="204"/>
      <c r="L94" s="204"/>
      <c r="M94" s="204" t="n">
        <v>1090000</v>
      </c>
    </row>
    <row r="95" customFormat="false" ht="12.75" hidden="false" customHeight="false" outlineLevel="0" collapsed="false">
      <c r="A95" s="0" t="s">
        <v>235</v>
      </c>
      <c r="B95" s="0" t="n">
        <v>1</v>
      </c>
      <c r="C95" s="201" t="s">
        <v>324</v>
      </c>
      <c r="D95" s="202" t="n">
        <v>-7969283.6019</v>
      </c>
      <c r="E95" s="202" t="n">
        <v>0</v>
      </c>
      <c r="F95" s="202" t="n">
        <v>0</v>
      </c>
      <c r="G95" s="202" t="n">
        <v>-7969283.6019</v>
      </c>
      <c r="H95" s="203" t="str">
        <f aca="false">IF(I95=C95,"ok","REVISAR")</f>
        <v>ok</v>
      </c>
      <c r="I95" s="203" t="s">
        <v>324</v>
      </c>
      <c r="J95" s="204" t="n">
        <v>-7969283.6019</v>
      </c>
      <c r="K95" s="204" t="n">
        <v>0</v>
      </c>
      <c r="L95" s="204" t="n">
        <v>0</v>
      </c>
      <c r="M95" s="204" t="n">
        <v>-7969283.6019</v>
      </c>
    </row>
    <row r="96" customFormat="false" ht="12.75" hidden="false" customHeight="false" outlineLevel="0" collapsed="false">
      <c r="B96" s="0" t="n">
        <v>2</v>
      </c>
      <c r="C96" s="205" t="s">
        <v>325</v>
      </c>
      <c r="D96" s="206" t="n">
        <v>79094.13</v>
      </c>
      <c r="E96" s="206"/>
      <c r="F96" s="206"/>
      <c r="G96" s="206" t="n">
        <v>79094.13</v>
      </c>
      <c r="H96" s="203" t="str">
        <f aca="false">IF(I96=C96,"ok","REVISAR")</f>
        <v>ok</v>
      </c>
      <c r="I96" s="203" t="s">
        <v>325</v>
      </c>
      <c r="J96" s="204" t="n">
        <v>79094.13</v>
      </c>
      <c r="K96" s="204"/>
      <c r="L96" s="204"/>
      <c r="M96" s="204" t="n">
        <v>79094.13</v>
      </c>
    </row>
    <row r="97" customFormat="false" ht="12.75" hidden="false" customHeight="false" outlineLevel="0" collapsed="false">
      <c r="B97" s="0" t="n">
        <v>1</v>
      </c>
      <c r="C97" s="205" t="s">
        <v>326</v>
      </c>
      <c r="D97" s="206" t="n">
        <v>21649.16</v>
      </c>
      <c r="E97" s="206"/>
      <c r="F97" s="206"/>
      <c r="G97" s="206" t="n">
        <v>21649.16</v>
      </c>
      <c r="H97" s="203" t="str">
        <f aca="false">IF(I97=C97,"ok","REVISAR")</f>
        <v>ok</v>
      </c>
      <c r="I97" s="203" t="s">
        <v>326</v>
      </c>
      <c r="J97" s="204" t="n">
        <v>21649.16</v>
      </c>
      <c r="K97" s="204"/>
      <c r="L97" s="204"/>
      <c r="M97" s="204" t="n">
        <v>21649.16</v>
      </c>
    </row>
    <row r="98" customFormat="false" ht="12.75" hidden="false" customHeight="false" outlineLevel="0" collapsed="false">
      <c r="B98" s="0" t="n">
        <v>2</v>
      </c>
      <c r="C98" s="205" t="s">
        <v>327</v>
      </c>
      <c r="D98" s="206" t="n">
        <v>19435.67</v>
      </c>
      <c r="E98" s="206"/>
      <c r="F98" s="206"/>
      <c r="G98" s="206" t="n">
        <v>19435.67</v>
      </c>
      <c r="H98" s="203" t="str">
        <f aca="false">IF(I98=C98,"ok","REVISAR")</f>
        <v>ok</v>
      </c>
      <c r="I98" s="203" t="s">
        <v>327</v>
      </c>
      <c r="J98" s="204" t="n">
        <v>19435.67</v>
      </c>
      <c r="K98" s="204"/>
      <c r="L98" s="204"/>
      <c r="M98" s="204" t="n">
        <v>19435.67</v>
      </c>
    </row>
    <row r="99" customFormat="false" ht="12.75" hidden="false" customHeight="false" outlineLevel="0" collapsed="false">
      <c r="B99" s="0" t="n">
        <v>1</v>
      </c>
      <c r="C99" s="205" t="s">
        <v>328</v>
      </c>
      <c r="D99" s="206" t="n">
        <v>19075.43</v>
      </c>
      <c r="E99" s="206"/>
      <c r="F99" s="206"/>
      <c r="G99" s="206" t="n">
        <v>19075.43</v>
      </c>
      <c r="H99" s="203" t="str">
        <f aca="false">IF(I99=C99,"ok","REVISAR")</f>
        <v>ok</v>
      </c>
      <c r="I99" s="203" t="s">
        <v>328</v>
      </c>
      <c r="J99" s="204" t="n">
        <v>19075.43</v>
      </c>
      <c r="K99" s="204"/>
      <c r="L99" s="204"/>
      <c r="M99" s="204" t="n">
        <v>19075.43</v>
      </c>
    </row>
    <row r="100" customFormat="false" ht="12.75" hidden="false" customHeight="false" outlineLevel="0" collapsed="false">
      <c r="B100" s="0" t="n">
        <v>2</v>
      </c>
      <c r="C100" s="205" t="s">
        <v>329</v>
      </c>
      <c r="D100" s="206" t="n">
        <v>330278.216917</v>
      </c>
      <c r="E100" s="206"/>
      <c r="F100" s="206"/>
      <c r="G100" s="206" t="n">
        <v>330278.216917</v>
      </c>
      <c r="H100" s="203" t="str">
        <f aca="false">IF(I100=C100,"ok","REVISAR")</f>
        <v>ok</v>
      </c>
      <c r="I100" s="203" t="s">
        <v>329</v>
      </c>
      <c r="J100" s="204" t="n">
        <v>330278.216917</v>
      </c>
      <c r="K100" s="204"/>
      <c r="L100" s="204"/>
      <c r="M100" s="204" t="n">
        <v>330278.216917</v>
      </c>
    </row>
    <row r="101" customFormat="false" ht="12.75" hidden="false" customHeight="false" outlineLevel="0" collapsed="false">
      <c r="B101" s="0" t="n">
        <v>1</v>
      </c>
      <c r="C101" s="205" t="s">
        <v>330</v>
      </c>
      <c r="D101" s="206" t="n">
        <v>2511778.835201</v>
      </c>
      <c r="E101" s="206"/>
      <c r="F101" s="206"/>
      <c r="G101" s="206" t="n">
        <v>2511778.835201</v>
      </c>
      <c r="H101" s="203" t="str">
        <f aca="false">IF(I101=C101,"ok","REVISAR")</f>
        <v>ok</v>
      </c>
      <c r="I101" s="203" t="s">
        <v>330</v>
      </c>
      <c r="J101" s="204" t="n">
        <v>2511778.835201</v>
      </c>
      <c r="K101" s="204"/>
      <c r="L101" s="204"/>
      <c r="M101" s="204" t="n">
        <v>2511778.835201</v>
      </c>
    </row>
    <row r="102" customFormat="false" ht="12.75" hidden="false" customHeight="false" outlineLevel="0" collapsed="false">
      <c r="B102" s="0" t="n">
        <v>2</v>
      </c>
      <c r="C102" s="205" t="s">
        <v>331</v>
      </c>
      <c r="D102" s="206" t="n">
        <v>-153899.274917</v>
      </c>
      <c r="E102" s="206"/>
      <c r="F102" s="206"/>
      <c r="G102" s="206" t="n">
        <v>-153899.274917</v>
      </c>
      <c r="H102" s="203" t="str">
        <f aca="false">IF(I102=C102,"ok","REVISAR")</f>
        <v>ok</v>
      </c>
      <c r="I102" s="203" t="s">
        <v>331</v>
      </c>
      <c r="J102" s="204" t="n">
        <v>-153899.274917</v>
      </c>
      <c r="K102" s="204"/>
      <c r="L102" s="204"/>
      <c r="M102" s="204" t="n">
        <v>-153899.274917</v>
      </c>
    </row>
    <row r="103" customFormat="false" ht="12.75" hidden="false" customHeight="false" outlineLevel="0" collapsed="false">
      <c r="B103" s="0" t="n">
        <v>1</v>
      </c>
      <c r="C103" s="205" t="s">
        <v>332</v>
      </c>
      <c r="D103" s="206" t="n">
        <v>313909.204865</v>
      </c>
      <c r="E103" s="206"/>
      <c r="F103" s="206"/>
      <c r="G103" s="206" t="n">
        <v>313909.204865</v>
      </c>
      <c r="H103" s="203" t="str">
        <f aca="false">IF(I103=C103,"ok","REVISAR")</f>
        <v>ok</v>
      </c>
      <c r="I103" s="203" t="s">
        <v>332</v>
      </c>
      <c r="J103" s="204" t="n">
        <v>313909.204865</v>
      </c>
      <c r="K103" s="204"/>
      <c r="L103" s="204"/>
      <c r="M103" s="204" t="n">
        <v>313909.204865</v>
      </c>
    </row>
    <row r="104" customFormat="false" ht="12.75" hidden="false" customHeight="false" outlineLevel="0" collapsed="false">
      <c r="B104" s="0" t="n">
        <v>2</v>
      </c>
      <c r="C104" s="205" t="s">
        <v>333</v>
      </c>
      <c r="D104" s="206" t="n">
        <v>-4760521.6</v>
      </c>
      <c r="E104" s="206"/>
      <c r="F104" s="206"/>
      <c r="G104" s="206" t="n">
        <v>-4760521.6</v>
      </c>
      <c r="H104" s="203" t="str">
        <f aca="false">IF(I104=C104,"ok","REVISAR")</f>
        <v>ok</v>
      </c>
      <c r="I104" s="203" t="s">
        <v>333</v>
      </c>
      <c r="J104" s="204" t="n">
        <v>-4760521.6</v>
      </c>
      <c r="K104" s="204"/>
      <c r="L104" s="204"/>
      <c r="M104" s="204" t="n">
        <v>-4760521.6</v>
      </c>
    </row>
    <row r="105" customFormat="false" ht="12.75" hidden="false" customHeight="false" outlineLevel="0" collapsed="false">
      <c r="A105" s="0" t="s">
        <v>235</v>
      </c>
      <c r="B105" s="0" t="n">
        <v>1</v>
      </c>
      <c r="C105" s="201" t="s">
        <v>334</v>
      </c>
      <c r="D105" s="202" t="n">
        <v>1978019.1799</v>
      </c>
      <c r="E105" s="202" t="n">
        <v>0</v>
      </c>
      <c r="F105" s="202" t="n">
        <v>0</v>
      </c>
      <c r="G105" s="202" t="n">
        <v>1978019.1799</v>
      </c>
      <c r="H105" s="203" t="str">
        <f aca="false">IF(I105=C105,"ok","REVISAR")</f>
        <v>ok</v>
      </c>
      <c r="I105" s="203" t="s">
        <v>334</v>
      </c>
      <c r="J105" s="204" t="n">
        <v>1978019.1799</v>
      </c>
      <c r="K105" s="204" t="n">
        <v>0</v>
      </c>
      <c r="L105" s="204" t="n">
        <v>0</v>
      </c>
      <c r="M105" s="204" t="n">
        <v>1978019.1799</v>
      </c>
    </row>
    <row r="106" customFormat="false" ht="12.75" hidden="false" customHeight="false" outlineLevel="0" collapsed="false">
      <c r="B106" s="0" t="n">
        <v>2</v>
      </c>
      <c r="C106" s="205" t="s">
        <v>335</v>
      </c>
      <c r="D106" s="206" t="n">
        <v>1943205.54</v>
      </c>
      <c r="E106" s="206"/>
      <c r="F106" s="206"/>
      <c r="G106" s="206" t="n">
        <v>1943205.54</v>
      </c>
      <c r="H106" s="203" t="str">
        <f aca="false">IF(I106=C106,"ok","REVISAR")</f>
        <v>ok</v>
      </c>
      <c r="I106" s="203" t="s">
        <v>335</v>
      </c>
      <c r="J106" s="204" t="n">
        <v>1943205.54</v>
      </c>
      <c r="K106" s="204"/>
      <c r="L106" s="204"/>
      <c r="M106" s="204" t="n">
        <v>1943205.54</v>
      </c>
    </row>
    <row r="107" customFormat="false" ht="12.75" hidden="false" customHeight="false" outlineLevel="0" collapsed="false">
      <c r="C107" s="205" t="s">
        <v>336</v>
      </c>
      <c r="D107" s="206" t="n">
        <v>34051.72</v>
      </c>
      <c r="E107" s="206"/>
      <c r="F107" s="206"/>
      <c r="G107" s="206" t="n">
        <v>34051.72</v>
      </c>
      <c r="H107" s="203" t="str">
        <f aca="false">IF(I107=C107,"ok","REVISAR")</f>
        <v>ok</v>
      </c>
      <c r="I107" s="203" t="s">
        <v>336</v>
      </c>
      <c r="J107" s="204" t="n">
        <v>34051.72</v>
      </c>
      <c r="K107" s="204"/>
      <c r="L107" s="204"/>
      <c r="M107" s="204" t="n">
        <v>34051.72</v>
      </c>
    </row>
    <row r="108" customFormat="false" ht="12.75" hidden="false" customHeight="false" outlineLevel="0" collapsed="false">
      <c r="C108" s="205" t="s">
        <v>337</v>
      </c>
      <c r="D108" s="206" t="n">
        <v>663</v>
      </c>
      <c r="E108" s="206"/>
      <c r="F108" s="206"/>
      <c r="G108" s="206" t="n">
        <v>663</v>
      </c>
      <c r="H108" s="203" t="str">
        <f aca="false">IF(I108=C108,"ok","REVISAR")</f>
        <v>ok</v>
      </c>
      <c r="I108" s="203" t="s">
        <v>337</v>
      </c>
      <c r="J108" s="204" t="n">
        <v>663</v>
      </c>
      <c r="K108" s="204"/>
      <c r="L108" s="204"/>
      <c r="M108" s="204" t="n">
        <v>663</v>
      </c>
    </row>
    <row r="109" customFormat="false" ht="12.75" hidden="false" customHeight="false" outlineLevel="0" collapsed="false">
      <c r="B109" s="0" t="n">
        <v>1</v>
      </c>
      <c r="C109" s="205" t="s">
        <v>338</v>
      </c>
      <c r="D109" s="206" t="n">
        <v>98.9199</v>
      </c>
      <c r="E109" s="206"/>
      <c r="F109" s="206"/>
      <c r="G109" s="206" t="n">
        <v>98.9199</v>
      </c>
      <c r="H109" s="203" t="str">
        <f aca="false">IF(I109=C109,"ok","REVISAR")</f>
        <v>ok</v>
      </c>
      <c r="I109" s="203" t="s">
        <v>338</v>
      </c>
      <c r="J109" s="204" t="n">
        <v>98.9199</v>
      </c>
      <c r="K109" s="204"/>
      <c r="L109" s="204"/>
      <c r="M109" s="204" t="n">
        <v>98.9199</v>
      </c>
    </row>
    <row r="110" customFormat="false" ht="12.75" hidden="false" customHeight="false" outlineLevel="0" collapsed="false">
      <c r="A110" s="0" t="s">
        <v>235</v>
      </c>
      <c r="B110" s="0" t="n">
        <v>2</v>
      </c>
      <c r="C110" s="201" t="s">
        <v>339</v>
      </c>
      <c r="D110" s="202" t="n">
        <v>1654681.763989</v>
      </c>
      <c r="E110" s="202" t="n">
        <v>0</v>
      </c>
      <c r="F110" s="202" t="n">
        <v>0</v>
      </c>
      <c r="G110" s="202" t="n">
        <v>1654681.763989</v>
      </c>
      <c r="H110" s="203" t="str">
        <f aca="false">IF(I110=C110,"ok","REVISAR")</f>
        <v>ok</v>
      </c>
      <c r="I110" s="203" t="s">
        <v>339</v>
      </c>
      <c r="J110" s="204" t="n">
        <f aca="false">795.6+1653886.163989</f>
        <v>1654681.763989</v>
      </c>
      <c r="K110" s="204" t="n">
        <v>0</v>
      </c>
      <c r="L110" s="204" t="n">
        <v>0</v>
      </c>
      <c r="M110" s="204" t="n">
        <f aca="false">+J110</f>
        <v>1654681.763989</v>
      </c>
    </row>
    <row r="111" customFormat="false" ht="12.75" hidden="false" customHeight="false" outlineLevel="0" collapsed="false">
      <c r="B111" s="0" t="n">
        <v>1</v>
      </c>
      <c r="C111" s="205" t="s">
        <v>340</v>
      </c>
      <c r="D111" s="206" t="n">
        <v>252649.5052</v>
      </c>
      <c r="E111" s="206"/>
      <c r="F111" s="206"/>
      <c r="G111" s="206" t="n">
        <v>252649.5052</v>
      </c>
      <c r="H111" s="203" t="str">
        <f aca="false">IF(I111=C111,"ok","REVISAR")</f>
        <v>ok</v>
      </c>
      <c r="I111" s="203" t="s">
        <v>340</v>
      </c>
      <c r="J111" s="204" t="n">
        <v>252649.5052</v>
      </c>
      <c r="K111" s="204"/>
      <c r="L111" s="204"/>
      <c r="M111" s="204" t="n">
        <v>252649.5052</v>
      </c>
    </row>
    <row r="112" customFormat="false" ht="12.75" hidden="false" customHeight="false" outlineLevel="0" collapsed="false">
      <c r="B112" s="0" t="n">
        <v>2</v>
      </c>
      <c r="C112" s="205" t="s">
        <v>341</v>
      </c>
      <c r="D112" s="206" t="n">
        <v>214656.144713</v>
      </c>
      <c r="E112" s="206"/>
      <c r="F112" s="206"/>
      <c r="G112" s="206" t="n">
        <v>214656.144713</v>
      </c>
      <c r="H112" s="203" t="str">
        <f aca="false">IF(I112=C112,"ok","REVISAR")</f>
        <v>ok</v>
      </c>
      <c r="I112" s="203" t="s">
        <v>341</v>
      </c>
      <c r="J112" s="204" t="n">
        <v>214656.144713</v>
      </c>
      <c r="K112" s="204"/>
      <c r="L112" s="204"/>
      <c r="M112" s="204" t="n">
        <v>214656.144713</v>
      </c>
    </row>
    <row r="113" customFormat="false" ht="12.75" hidden="false" customHeight="false" outlineLevel="0" collapsed="false">
      <c r="B113" s="0" t="n">
        <v>1</v>
      </c>
      <c r="C113" s="205" t="s">
        <v>342</v>
      </c>
      <c r="D113" s="206" t="n">
        <v>15219.98</v>
      </c>
      <c r="E113" s="206"/>
      <c r="F113" s="206"/>
      <c r="G113" s="206" t="n">
        <v>15219.98</v>
      </c>
      <c r="H113" s="203" t="str">
        <f aca="false">IF(I113=C113,"ok","REVISAR")</f>
        <v>ok</v>
      </c>
      <c r="I113" s="203" t="s">
        <v>342</v>
      </c>
      <c r="J113" s="204" t="n">
        <v>15219.98</v>
      </c>
      <c r="K113" s="204"/>
      <c r="L113" s="204"/>
      <c r="M113" s="204" t="n">
        <v>15219.98</v>
      </c>
    </row>
    <row r="114" customFormat="false" ht="12.75" hidden="false" customHeight="false" outlineLevel="0" collapsed="false">
      <c r="B114" s="0" t="n">
        <v>2</v>
      </c>
      <c r="C114" s="205" t="s">
        <v>343</v>
      </c>
      <c r="D114" s="206" t="n">
        <v>314563.980676</v>
      </c>
      <c r="E114" s="206"/>
      <c r="F114" s="206"/>
      <c r="G114" s="206" t="n">
        <v>314563.980676</v>
      </c>
      <c r="H114" s="203" t="str">
        <f aca="false">IF(I114=C114,"ok","REVISAR")</f>
        <v>ok</v>
      </c>
      <c r="I114" s="203" t="s">
        <v>343</v>
      </c>
      <c r="J114" s="204" t="n">
        <f aca="false">795.6+313768.380676</f>
        <v>314563.980676</v>
      </c>
      <c r="K114" s="204"/>
      <c r="L114" s="204"/>
      <c r="M114" s="204" t="n">
        <f aca="false">+J114</f>
        <v>314563.980676</v>
      </c>
    </row>
    <row r="115" customFormat="false" ht="12.75" hidden="false" customHeight="false" outlineLevel="0" collapsed="false">
      <c r="B115" s="0" t="n">
        <v>1</v>
      </c>
      <c r="C115" s="205" t="s">
        <v>344</v>
      </c>
      <c r="D115" s="206" t="n">
        <v>320767.95</v>
      </c>
      <c r="E115" s="206"/>
      <c r="F115" s="206"/>
      <c r="G115" s="206" t="n">
        <v>320767.95</v>
      </c>
      <c r="H115" s="203" t="str">
        <f aca="false">IF(I115=C115,"ok","REVISAR")</f>
        <v>ok</v>
      </c>
      <c r="I115" s="203" t="s">
        <v>344</v>
      </c>
      <c r="J115" s="204" t="n">
        <v>320767.95</v>
      </c>
      <c r="K115" s="204"/>
      <c r="L115" s="204"/>
      <c r="M115" s="204" t="n">
        <v>320767.95</v>
      </c>
    </row>
    <row r="116" customFormat="false" ht="12.75" hidden="false" customHeight="false" outlineLevel="0" collapsed="false">
      <c r="B116" s="0" t="n">
        <v>2</v>
      </c>
      <c r="C116" s="205" t="s">
        <v>345</v>
      </c>
      <c r="D116" s="206" t="n">
        <v>147335.2386</v>
      </c>
      <c r="E116" s="206"/>
      <c r="F116" s="206"/>
      <c r="G116" s="206" t="n">
        <v>147335.2386</v>
      </c>
      <c r="H116" s="203" t="str">
        <f aca="false">IF(I116=C116,"ok","REVISAR")</f>
        <v>ok</v>
      </c>
      <c r="I116" s="203" t="s">
        <v>345</v>
      </c>
      <c r="J116" s="204" t="n">
        <v>147335.2386</v>
      </c>
      <c r="K116" s="204"/>
      <c r="L116" s="204"/>
      <c r="M116" s="204" t="n">
        <v>147335.2386</v>
      </c>
    </row>
    <row r="117" customFormat="false" ht="12.75" hidden="false" customHeight="false" outlineLevel="0" collapsed="false">
      <c r="B117" s="0" t="n">
        <v>1</v>
      </c>
      <c r="C117" s="205" t="s">
        <v>346</v>
      </c>
      <c r="D117" s="206" t="n">
        <v>174732.2069</v>
      </c>
      <c r="E117" s="206"/>
      <c r="F117" s="206"/>
      <c r="G117" s="206" t="n">
        <v>174732.2069</v>
      </c>
      <c r="H117" s="203" t="str">
        <f aca="false">IF(I117=C117,"ok","REVISAR")</f>
        <v>ok</v>
      </c>
      <c r="I117" s="203" t="s">
        <v>346</v>
      </c>
      <c r="J117" s="204" t="n">
        <v>174732.2069</v>
      </c>
      <c r="K117" s="204"/>
      <c r="L117" s="204"/>
      <c r="M117" s="204" t="n">
        <v>174732.2069</v>
      </c>
    </row>
    <row r="118" customFormat="false" ht="12.75" hidden="false" customHeight="false" outlineLevel="0" collapsed="false">
      <c r="B118" s="0" t="n">
        <v>2</v>
      </c>
      <c r="C118" s="205" t="s">
        <v>347</v>
      </c>
      <c r="D118" s="206" t="n">
        <v>214756.7579</v>
      </c>
      <c r="E118" s="206"/>
      <c r="F118" s="206"/>
      <c r="G118" s="206" t="n">
        <v>214756.7579</v>
      </c>
      <c r="H118" s="203" t="str">
        <f aca="false">IF(I118=C118,"ok","REVISAR")</f>
        <v>ok</v>
      </c>
      <c r="I118" s="203" t="s">
        <v>347</v>
      </c>
      <c r="J118" s="204" t="n">
        <v>214756.7579</v>
      </c>
      <c r="K118" s="204"/>
      <c r="L118" s="204"/>
      <c r="M118" s="204" t="n">
        <v>214756.7579</v>
      </c>
    </row>
    <row r="119" customFormat="false" ht="12.75" hidden="false" customHeight="false" outlineLevel="0" collapsed="false">
      <c r="A119" s="0" t="s">
        <v>235</v>
      </c>
      <c r="B119" s="0" t="n">
        <v>1</v>
      </c>
      <c r="C119" s="201" t="s">
        <v>348</v>
      </c>
      <c r="D119" s="202"/>
      <c r="E119" s="206"/>
      <c r="F119" s="206"/>
      <c r="G119" s="202"/>
      <c r="H119" s="203" t="str">
        <f aca="false">IF(I119=C119,"ok","REVISAR")</f>
        <v>ok</v>
      </c>
      <c r="I119" s="203" t="s">
        <v>348</v>
      </c>
      <c r="J119" s="204"/>
      <c r="K119" s="204"/>
      <c r="L119" s="204"/>
      <c r="M119" s="204"/>
    </row>
    <row r="120" customFormat="false" ht="12.75" hidden="false" customHeight="false" outlineLevel="0" collapsed="false">
      <c r="A120" s="0" t="s">
        <v>235</v>
      </c>
      <c r="B120" s="0" t="n">
        <v>2</v>
      </c>
      <c r="C120" s="201" t="s">
        <v>349</v>
      </c>
      <c r="D120" s="202" t="n">
        <v>1783936.94</v>
      </c>
      <c r="E120" s="202" t="n">
        <v>0</v>
      </c>
      <c r="F120" s="202" t="n">
        <v>0</v>
      </c>
      <c r="G120" s="202" t="n">
        <v>1783936.94</v>
      </c>
      <c r="H120" s="203" t="str">
        <f aca="false">IF(I120=C120,"ok","REVISAR")</f>
        <v>ok</v>
      </c>
      <c r="I120" s="203" t="s">
        <v>349</v>
      </c>
      <c r="J120" s="204" t="n">
        <v>1783936.94</v>
      </c>
      <c r="K120" s="204" t="n">
        <v>0</v>
      </c>
      <c r="L120" s="204" t="n">
        <v>0</v>
      </c>
      <c r="M120" s="204" t="n">
        <v>1783936.94</v>
      </c>
    </row>
    <row r="121" customFormat="false" ht="12.75" hidden="false" customHeight="false" outlineLevel="0" collapsed="false">
      <c r="B121" s="0" t="n">
        <v>1</v>
      </c>
      <c r="C121" s="205" t="s">
        <v>350</v>
      </c>
      <c r="D121" s="206" t="n">
        <v>1017759.31</v>
      </c>
      <c r="E121" s="206"/>
      <c r="F121" s="206"/>
      <c r="G121" s="206" t="n">
        <v>1017759.31</v>
      </c>
      <c r="H121" s="203" t="str">
        <f aca="false">IF(I121=C121,"ok","REVISAR")</f>
        <v>ok</v>
      </c>
      <c r="I121" s="203" t="s">
        <v>350</v>
      </c>
      <c r="J121" s="204" t="n">
        <v>1017759.31</v>
      </c>
      <c r="K121" s="204"/>
      <c r="L121" s="204"/>
      <c r="M121" s="204" t="n">
        <v>1017759.31</v>
      </c>
    </row>
    <row r="122" customFormat="false" ht="12.75" hidden="false" customHeight="false" outlineLevel="0" collapsed="false">
      <c r="B122" s="0" t="n">
        <v>2</v>
      </c>
      <c r="C122" s="205" t="s">
        <v>351</v>
      </c>
      <c r="D122" s="206" t="n">
        <v>41877.78</v>
      </c>
      <c r="E122" s="206"/>
      <c r="F122" s="206"/>
      <c r="G122" s="206" t="n">
        <v>41877.78</v>
      </c>
      <c r="H122" s="203" t="str">
        <f aca="false">IF(I122=C122,"ok","REVISAR")</f>
        <v>ok</v>
      </c>
      <c r="I122" s="203" t="s">
        <v>351</v>
      </c>
      <c r="J122" s="204" t="n">
        <v>41877.78</v>
      </c>
      <c r="K122" s="204"/>
      <c r="L122" s="204"/>
      <c r="M122" s="204" t="n">
        <v>41877.78</v>
      </c>
    </row>
    <row r="123" customFormat="false" ht="12.75" hidden="false" customHeight="false" outlineLevel="0" collapsed="false">
      <c r="B123" s="0" t="n">
        <v>1</v>
      </c>
      <c r="C123" s="205" t="s">
        <v>352</v>
      </c>
      <c r="D123" s="206" t="n">
        <v>34642.46</v>
      </c>
      <c r="E123" s="206"/>
      <c r="F123" s="206"/>
      <c r="G123" s="206" t="n">
        <v>34642.46</v>
      </c>
      <c r="H123" s="203" t="str">
        <f aca="false">IF(I123=C123,"ok","REVISAR")</f>
        <v>ok</v>
      </c>
      <c r="I123" s="203" t="s">
        <v>352</v>
      </c>
      <c r="J123" s="204" t="n">
        <v>34642.46</v>
      </c>
      <c r="K123" s="204"/>
      <c r="L123" s="204"/>
      <c r="M123" s="204" t="n">
        <v>34642.46</v>
      </c>
    </row>
    <row r="124" customFormat="false" ht="12.75" hidden="false" customHeight="false" outlineLevel="0" collapsed="false">
      <c r="B124" s="0" t="n">
        <v>2</v>
      </c>
      <c r="C124" s="205" t="s">
        <v>353</v>
      </c>
      <c r="D124" s="206" t="n">
        <v>84680.45</v>
      </c>
      <c r="E124" s="206"/>
      <c r="F124" s="206"/>
      <c r="G124" s="206" t="n">
        <v>84680.45</v>
      </c>
      <c r="H124" s="203" t="str">
        <f aca="false">IF(I124=C124,"ok","REVISAR")</f>
        <v>ok</v>
      </c>
      <c r="I124" s="203" t="s">
        <v>353</v>
      </c>
      <c r="J124" s="204" t="n">
        <v>84680.45</v>
      </c>
      <c r="K124" s="204"/>
      <c r="L124" s="204"/>
      <c r="M124" s="204" t="n">
        <v>84680.45</v>
      </c>
    </row>
    <row r="125" customFormat="false" ht="12.75" hidden="false" customHeight="false" outlineLevel="0" collapsed="false">
      <c r="B125" s="0" t="n">
        <v>1</v>
      </c>
      <c r="C125" s="205" t="s">
        <v>354</v>
      </c>
      <c r="D125" s="206" t="n">
        <v>242.07</v>
      </c>
      <c r="E125" s="206"/>
      <c r="F125" s="206"/>
      <c r="G125" s="206" t="n">
        <v>242.07</v>
      </c>
      <c r="H125" s="203" t="str">
        <f aca="false">IF(I125=C125,"ok","REVISAR")</f>
        <v>ok</v>
      </c>
      <c r="I125" s="203" t="s">
        <v>354</v>
      </c>
      <c r="J125" s="204" t="n">
        <v>242.07</v>
      </c>
      <c r="K125" s="204"/>
      <c r="L125" s="204"/>
      <c r="M125" s="204" t="n">
        <v>242.07</v>
      </c>
    </row>
    <row r="126" customFormat="false" ht="12.75" hidden="false" customHeight="false" outlineLevel="0" collapsed="false">
      <c r="B126" s="0" t="n">
        <v>2</v>
      </c>
      <c r="C126" s="205" t="s">
        <v>355</v>
      </c>
      <c r="D126" s="206" t="n">
        <v>18702.2</v>
      </c>
      <c r="E126" s="206"/>
      <c r="F126" s="206"/>
      <c r="G126" s="206" t="n">
        <v>18702.2</v>
      </c>
      <c r="H126" s="203" t="str">
        <f aca="false">IF(I126=C126,"ok","REVISAR")</f>
        <v>ok</v>
      </c>
      <c r="I126" s="203" t="s">
        <v>355</v>
      </c>
      <c r="J126" s="204" t="n">
        <v>18702.2</v>
      </c>
      <c r="K126" s="204"/>
      <c r="L126" s="204"/>
      <c r="M126" s="204" t="n">
        <v>18702.2</v>
      </c>
    </row>
    <row r="127" customFormat="false" ht="12.75" hidden="false" customHeight="false" outlineLevel="0" collapsed="false">
      <c r="B127" s="0" t="n">
        <v>1</v>
      </c>
      <c r="C127" s="205" t="s">
        <v>356</v>
      </c>
      <c r="D127" s="206" t="n">
        <v>45021.04</v>
      </c>
      <c r="E127" s="206"/>
      <c r="F127" s="206"/>
      <c r="G127" s="206" t="n">
        <v>45021.04</v>
      </c>
      <c r="H127" s="203" t="str">
        <f aca="false">IF(I127=C127,"ok","REVISAR")</f>
        <v>ok</v>
      </c>
      <c r="I127" s="203" t="s">
        <v>356</v>
      </c>
      <c r="J127" s="204" t="n">
        <v>45021.04</v>
      </c>
      <c r="K127" s="204"/>
      <c r="L127" s="204"/>
      <c r="M127" s="204" t="n">
        <v>45021.04</v>
      </c>
    </row>
    <row r="128" customFormat="false" ht="12.75" hidden="false" customHeight="false" outlineLevel="0" collapsed="false">
      <c r="B128" s="0" t="n">
        <v>2</v>
      </c>
      <c r="C128" s="205" t="s">
        <v>357</v>
      </c>
      <c r="D128" s="206" t="n">
        <v>11249.07</v>
      </c>
      <c r="E128" s="206"/>
      <c r="F128" s="206"/>
      <c r="G128" s="206" t="n">
        <v>11249.07</v>
      </c>
      <c r="H128" s="203" t="str">
        <f aca="false">IF(I128=C128,"ok","REVISAR")</f>
        <v>ok</v>
      </c>
      <c r="I128" s="203" t="s">
        <v>357</v>
      </c>
      <c r="J128" s="204" t="n">
        <v>11249.07</v>
      </c>
      <c r="K128" s="204"/>
      <c r="L128" s="204"/>
      <c r="M128" s="204" t="n">
        <v>11249.07</v>
      </c>
    </row>
    <row r="129" customFormat="false" ht="12.75" hidden="false" customHeight="false" outlineLevel="0" collapsed="false">
      <c r="B129" s="0" t="n">
        <v>1</v>
      </c>
      <c r="C129" s="205" t="s">
        <v>358</v>
      </c>
      <c r="D129" s="206" t="n">
        <v>191833.42</v>
      </c>
      <c r="E129" s="206"/>
      <c r="F129" s="206"/>
      <c r="G129" s="206" t="n">
        <v>191833.42</v>
      </c>
      <c r="H129" s="203" t="str">
        <f aca="false">IF(I129=C129,"ok","REVISAR")</f>
        <v>ok</v>
      </c>
      <c r="I129" s="203" t="s">
        <v>358</v>
      </c>
      <c r="J129" s="204" t="n">
        <v>191833.42</v>
      </c>
      <c r="K129" s="204"/>
      <c r="L129" s="204"/>
      <c r="M129" s="204" t="n">
        <v>191833.42</v>
      </c>
    </row>
    <row r="130" customFormat="false" ht="12.75" hidden="false" customHeight="false" outlineLevel="0" collapsed="false">
      <c r="B130" s="0" t="n">
        <v>2</v>
      </c>
      <c r="C130" s="205" t="s">
        <v>359</v>
      </c>
      <c r="D130" s="206" t="n">
        <v>45838.32</v>
      </c>
      <c r="E130" s="206"/>
      <c r="F130" s="206"/>
      <c r="G130" s="206" t="n">
        <v>45838.32</v>
      </c>
      <c r="H130" s="203" t="str">
        <f aca="false">IF(I130=C130,"ok","REVISAR")</f>
        <v>ok</v>
      </c>
      <c r="I130" s="203" t="s">
        <v>359</v>
      </c>
      <c r="J130" s="204" t="n">
        <v>45838.32</v>
      </c>
      <c r="K130" s="204"/>
      <c r="L130" s="204"/>
      <c r="M130" s="204" t="n">
        <v>45838.32</v>
      </c>
    </row>
    <row r="131" customFormat="false" ht="12.75" hidden="false" customHeight="false" outlineLevel="0" collapsed="false">
      <c r="B131" s="0" t="n">
        <v>1</v>
      </c>
      <c r="C131" s="205" t="s">
        <v>360</v>
      </c>
      <c r="D131" s="206" t="n">
        <v>25092</v>
      </c>
      <c r="E131" s="206"/>
      <c r="F131" s="206"/>
      <c r="G131" s="206" t="n">
        <v>25092</v>
      </c>
      <c r="H131" s="203" t="str">
        <f aca="false">IF(I131=C131,"ok","REVISAR")</f>
        <v>ok</v>
      </c>
      <c r="I131" s="203" t="s">
        <v>360</v>
      </c>
      <c r="J131" s="204" t="n">
        <v>25092</v>
      </c>
      <c r="K131" s="204"/>
      <c r="L131" s="204"/>
      <c r="M131" s="204" t="n">
        <v>25092</v>
      </c>
    </row>
    <row r="132" customFormat="false" ht="12.75" hidden="false" customHeight="false" outlineLevel="0" collapsed="false">
      <c r="B132" s="0" t="n">
        <v>2</v>
      </c>
      <c r="C132" s="205" t="s">
        <v>361</v>
      </c>
      <c r="D132" s="206" t="n">
        <v>208395.59</v>
      </c>
      <c r="E132" s="206"/>
      <c r="F132" s="206"/>
      <c r="G132" s="206" t="n">
        <v>208395.59</v>
      </c>
      <c r="H132" s="203" t="str">
        <f aca="false">IF(I132=C132,"ok","REVISAR")</f>
        <v>ok</v>
      </c>
      <c r="I132" s="203" t="s">
        <v>361</v>
      </c>
      <c r="J132" s="204" t="n">
        <v>208395.59</v>
      </c>
      <c r="K132" s="204"/>
      <c r="L132" s="204"/>
      <c r="M132" s="204" t="n">
        <v>208395.59</v>
      </c>
    </row>
    <row r="133" customFormat="false" ht="12.75" hidden="false" customHeight="false" outlineLevel="0" collapsed="false">
      <c r="B133" s="0" t="n">
        <v>1</v>
      </c>
      <c r="C133" s="205" t="s">
        <v>362</v>
      </c>
      <c r="D133" s="206" t="n">
        <v>58130.67</v>
      </c>
      <c r="E133" s="206"/>
      <c r="F133" s="206"/>
      <c r="G133" s="206" t="n">
        <v>58130.67</v>
      </c>
      <c r="H133" s="203" t="str">
        <f aca="false">IF(I133=C133,"ok","REVISAR")</f>
        <v>ok</v>
      </c>
      <c r="I133" s="203" t="s">
        <v>362</v>
      </c>
      <c r="J133" s="204" t="n">
        <v>58130.67</v>
      </c>
      <c r="K133" s="204"/>
      <c r="L133" s="204"/>
      <c r="M133" s="204" t="n">
        <v>58130.67</v>
      </c>
    </row>
    <row r="134" customFormat="false" ht="12.75" hidden="false" customHeight="false" outlineLevel="0" collapsed="false">
      <c r="B134" s="0" t="n">
        <v>2</v>
      </c>
      <c r="C134" s="205" t="s">
        <v>363</v>
      </c>
      <c r="D134" s="206" t="n">
        <v>472.56</v>
      </c>
      <c r="E134" s="206"/>
      <c r="F134" s="206"/>
      <c r="G134" s="206" t="n">
        <v>472.56</v>
      </c>
      <c r="H134" s="203" t="str">
        <f aca="false">IF(I134=C134,"ok","REVISAR")</f>
        <v>ok</v>
      </c>
      <c r="I134" s="203" t="s">
        <v>363</v>
      </c>
      <c r="J134" s="204" t="n">
        <v>472.56</v>
      </c>
      <c r="K134" s="204"/>
      <c r="L134" s="204"/>
      <c r="M134" s="204" t="n">
        <v>472.56</v>
      </c>
    </row>
    <row r="135" customFormat="false" ht="12.75" hidden="false" customHeight="false" outlineLevel="0" collapsed="false">
      <c r="A135" s="0" t="s">
        <v>235</v>
      </c>
      <c r="B135" s="0" t="n">
        <v>1</v>
      </c>
      <c r="C135" s="201" t="s">
        <v>364</v>
      </c>
      <c r="D135" s="202" t="n">
        <v>318566.65</v>
      </c>
      <c r="E135" s="202" t="n">
        <v>0</v>
      </c>
      <c r="F135" s="202" t="n">
        <v>0</v>
      </c>
      <c r="G135" s="202" t="n">
        <v>318566.65</v>
      </c>
      <c r="H135" s="203" t="str">
        <f aca="false">IF(I135=C135,"ok","REVISAR")</f>
        <v>ok</v>
      </c>
      <c r="I135" s="203" t="s">
        <v>364</v>
      </c>
      <c r="J135" s="204" t="n">
        <v>318566.65</v>
      </c>
      <c r="K135" s="204" t="n">
        <v>0</v>
      </c>
      <c r="L135" s="204" t="n">
        <v>0</v>
      </c>
      <c r="M135" s="204" t="n">
        <v>318566.65</v>
      </c>
    </row>
    <row r="136" customFormat="false" ht="12.75" hidden="false" customHeight="false" outlineLevel="0" collapsed="false">
      <c r="B136" s="0" t="n">
        <v>2</v>
      </c>
      <c r="C136" s="205" t="s">
        <v>365</v>
      </c>
      <c r="D136" s="206" t="n">
        <v>143760.8</v>
      </c>
      <c r="E136" s="206"/>
      <c r="F136" s="206"/>
      <c r="G136" s="206" t="n">
        <v>143760.8</v>
      </c>
      <c r="H136" s="203" t="str">
        <f aca="false">IF(I136=C136,"ok","REVISAR")</f>
        <v>ok</v>
      </c>
      <c r="I136" s="203" t="s">
        <v>365</v>
      </c>
      <c r="J136" s="204" t="n">
        <v>143760.8</v>
      </c>
      <c r="K136" s="204"/>
      <c r="L136" s="204"/>
      <c r="M136" s="204" t="n">
        <v>143760.8</v>
      </c>
    </row>
    <row r="137" customFormat="false" ht="12.75" hidden="false" customHeight="false" outlineLevel="0" collapsed="false">
      <c r="B137" s="0" t="n">
        <v>1</v>
      </c>
      <c r="C137" s="205" t="s">
        <v>366</v>
      </c>
      <c r="D137" s="206" t="n">
        <v>78726.41</v>
      </c>
      <c r="E137" s="206"/>
      <c r="F137" s="206"/>
      <c r="G137" s="206" t="n">
        <v>78726.41</v>
      </c>
      <c r="H137" s="203" t="str">
        <f aca="false">IF(I137=C137,"ok","REVISAR")</f>
        <v>ok</v>
      </c>
      <c r="I137" s="203" t="s">
        <v>366</v>
      </c>
      <c r="J137" s="204" t="n">
        <v>78726.41</v>
      </c>
      <c r="K137" s="204"/>
      <c r="L137" s="204"/>
      <c r="M137" s="204" t="n">
        <v>78726.41</v>
      </c>
    </row>
    <row r="138" customFormat="false" ht="12.75" hidden="false" customHeight="false" outlineLevel="0" collapsed="false">
      <c r="B138" s="0" t="n">
        <v>2</v>
      </c>
      <c r="C138" s="205" t="s">
        <v>367</v>
      </c>
      <c r="D138" s="206" t="n">
        <v>42623.11</v>
      </c>
      <c r="E138" s="206"/>
      <c r="F138" s="206"/>
      <c r="G138" s="206" t="n">
        <v>42623.11</v>
      </c>
      <c r="H138" s="203" t="str">
        <f aca="false">IF(I138=C138,"ok","REVISAR")</f>
        <v>ok</v>
      </c>
      <c r="I138" s="203" t="s">
        <v>367</v>
      </c>
      <c r="J138" s="204" t="n">
        <v>42623.11</v>
      </c>
      <c r="K138" s="204"/>
      <c r="L138" s="204"/>
      <c r="M138" s="204" t="n">
        <v>42623.11</v>
      </c>
    </row>
    <row r="139" customFormat="false" ht="12.75" hidden="false" customHeight="false" outlineLevel="0" collapsed="false">
      <c r="B139" s="0" t="n">
        <v>1</v>
      </c>
      <c r="C139" s="205" t="s">
        <v>368</v>
      </c>
      <c r="D139" s="206" t="n">
        <v>51319</v>
      </c>
      <c r="E139" s="206"/>
      <c r="F139" s="206"/>
      <c r="G139" s="206" t="n">
        <v>51319</v>
      </c>
      <c r="H139" s="203" t="str">
        <f aca="false">IF(I139=C139,"ok","REVISAR")</f>
        <v>ok</v>
      </c>
      <c r="I139" s="203" t="s">
        <v>368</v>
      </c>
      <c r="J139" s="204" t="n">
        <v>51319</v>
      </c>
      <c r="K139" s="204"/>
      <c r="L139" s="204"/>
      <c r="M139" s="204" t="n">
        <v>51319</v>
      </c>
    </row>
    <row r="140" customFormat="false" ht="12.75" hidden="false" customHeight="false" outlineLevel="0" collapsed="false">
      <c r="B140" s="0" t="n">
        <v>2</v>
      </c>
      <c r="C140" s="205" t="s">
        <v>369</v>
      </c>
      <c r="D140" s="206" t="n">
        <v>2137.33</v>
      </c>
      <c r="E140" s="206"/>
      <c r="F140" s="206"/>
      <c r="G140" s="206" t="n">
        <v>2137.33</v>
      </c>
      <c r="H140" s="203" t="str">
        <f aca="false">IF(I140=C140,"ok","REVISAR")</f>
        <v>ok</v>
      </c>
      <c r="I140" s="203" t="s">
        <v>369</v>
      </c>
      <c r="J140" s="204" t="n">
        <v>2137.33</v>
      </c>
      <c r="K140" s="204"/>
      <c r="L140" s="204"/>
      <c r="M140" s="204" t="n">
        <v>2137.33</v>
      </c>
    </row>
    <row r="141" customFormat="false" ht="12.75" hidden="false" customHeight="false" outlineLevel="0" collapsed="false">
      <c r="A141" s="0" t="s">
        <v>235</v>
      </c>
      <c r="B141" s="0" t="n">
        <v>1</v>
      </c>
      <c r="C141" s="201" t="s">
        <v>370</v>
      </c>
      <c r="D141" s="202" t="n">
        <v>39400</v>
      </c>
      <c r="E141" s="202" t="n">
        <v>0</v>
      </c>
      <c r="F141" s="202" t="n">
        <v>0</v>
      </c>
      <c r="G141" s="202" t="n">
        <v>39400</v>
      </c>
      <c r="H141" s="203" t="str">
        <f aca="false">IF(I141=C141,"ok","REVISAR")</f>
        <v>ok</v>
      </c>
      <c r="I141" s="203" t="s">
        <v>370</v>
      </c>
      <c r="J141" s="204" t="n">
        <v>39400</v>
      </c>
      <c r="K141" s="204" t="n">
        <v>0</v>
      </c>
      <c r="L141" s="204" t="n">
        <v>0</v>
      </c>
      <c r="M141" s="204" t="n">
        <v>39400</v>
      </c>
    </row>
    <row r="142" customFormat="false" ht="12.75" hidden="false" customHeight="false" outlineLevel="0" collapsed="false">
      <c r="C142" s="205" t="s">
        <v>371</v>
      </c>
      <c r="D142" s="202" t="n">
        <v>5400</v>
      </c>
      <c r="E142" s="202"/>
      <c r="F142" s="202"/>
      <c r="G142" s="202" t="n">
        <v>5400</v>
      </c>
      <c r="H142" s="203" t="str">
        <f aca="false">IF(I142=C142,"ok","REVISAR")</f>
        <v>ok</v>
      </c>
      <c r="I142" s="203" t="s">
        <v>371</v>
      </c>
      <c r="J142" s="204" t="n">
        <v>5400</v>
      </c>
      <c r="K142" s="204"/>
      <c r="L142" s="204"/>
      <c r="M142" s="204" t="n">
        <v>5400</v>
      </c>
    </row>
    <row r="143" customFormat="false" ht="12.75" hidden="false" customHeight="false" outlineLevel="0" collapsed="false">
      <c r="C143" s="205" t="s">
        <v>372</v>
      </c>
      <c r="D143" s="202" t="n">
        <v>34000</v>
      </c>
      <c r="E143" s="202"/>
      <c r="F143" s="202"/>
      <c r="G143" s="202" t="n">
        <v>34000</v>
      </c>
      <c r="H143" s="203" t="str">
        <f aca="false">IF(I143=C143,"ok","REVISAR")</f>
        <v>ok</v>
      </c>
      <c r="I143" s="203" t="s">
        <v>372</v>
      </c>
      <c r="J143" s="204" t="n">
        <v>34000</v>
      </c>
      <c r="K143" s="204"/>
      <c r="L143" s="204"/>
      <c r="M143" s="204" t="n">
        <v>34000</v>
      </c>
    </row>
    <row r="144" customFormat="false" ht="12.75" hidden="false" customHeight="false" outlineLevel="0" collapsed="false">
      <c r="A144" s="0" t="s">
        <v>235</v>
      </c>
      <c r="B144" s="0" t="n">
        <v>2</v>
      </c>
      <c r="C144" s="201" t="s">
        <v>373</v>
      </c>
      <c r="D144" s="202" t="n">
        <v>125426.32</v>
      </c>
      <c r="E144" s="202" t="n">
        <v>0</v>
      </c>
      <c r="F144" s="202" t="n">
        <v>0</v>
      </c>
      <c r="G144" s="202" t="n">
        <v>125426.32</v>
      </c>
      <c r="H144" s="203" t="str">
        <f aca="false">IF(I144=C144,"ok","REVISAR")</f>
        <v>ok</v>
      </c>
      <c r="I144" s="203" t="s">
        <v>373</v>
      </c>
      <c r="J144" s="204" t="n">
        <v>125426.32</v>
      </c>
      <c r="K144" s="204" t="n">
        <v>0</v>
      </c>
      <c r="L144" s="204" t="n">
        <v>0</v>
      </c>
      <c r="M144" s="204" t="n">
        <v>125426.32</v>
      </c>
    </row>
    <row r="145" customFormat="false" ht="12.75" hidden="false" customHeight="false" outlineLevel="0" collapsed="false">
      <c r="B145" s="0" t="n">
        <v>1</v>
      </c>
      <c r="C145" s="205" t="s">
        <v>374</v>
      </c>
      <c r="D145" s="202" t="n">
        <v>19200</v>
      </c>
      <c r="E145" s="202"/>
      <c r="F145" s="202"/>
      <c r="G145" s="202" t="n">
        <v>19200</v>
      </c>
      <c r="H145" s="203" t="str">
        <f aca="false">IF(I145=C145,"ok","REVISAR")</f>
        <v>ok</v>
      </c>
      <c r="I145" s="203" t="s">
        <v>374</v>
      </c>
      <c r="J145" s="204" t="n">
        <v>19200</v>
      </c>
      <c r="K145" s="204"/>
      <c r="L145" s="204"/>
      <c r="M145" s="204" t="n">
        <v>19200</v>
      </c>
    </row>
    <row r="146" customFormat="false" ht="12.75" hidden="false" customHeight="false" outlineLevel="0" collapsed="false">
      <c r="B146" s="0" t="n">
        <v>2</v>
      </c>
      <c r="C146" s="205" t="s">
        <v>375</v>
      </c>
      <c r="D146" s="206" t="n">
        <v>106226.32</v>
      </c>
      <c r="E146" s="206"/>
      <c r="F146" s="206"/>
      <c r="G146" s="206" t="n">
        <v>106226.32</v>
      </c>
      <c r="H146" s="203" t="str">
        <f aca="false">IF(I146=C146,"ok","REVISAR")</f>
        <v>ok</v>
      </c>
      <c r="I146" s="203" t="s">
        <v>375</v>
      </c>
      <c r="J146" s="204" t="n">
        <v>106226.32</v>
      </c>
      <c r="K146" s="204"/>
      <c r="L146" s="204"/>
      <c r="M146" s="204" t="n">
        <v>106226.32</v>
      </c>
    </row>
    <row r="147" customFormat="false" ht="12.75" hidden="false" customHeight="false" outlineLevel="0" collapsed="false">
      <c r="A147" s="0" t="s">
        <v>235</v>
      </c>
      <c r="B147" s="0" t="n">
        <v>1</v>
      </c>
      <c r="C147" s="201" t="s">
        <v>376</v>
      </c>
      <c r="D147" s="202" t="n">
        <v>12288.78</v>
      </c>
      <c r="E147" s="202"/>
      <c r="F147" s="206"/>
      <c r="G147" s="202" t="n">
        <v>12288.78</v>
      </c>
      <c r="H147" s="203" t="str">
        <f aca="false">IF(I147=C147,"ok","REVISAR")</f>
        <v>ok</v>
      </c>
      <c r="I147" s="203" t="s">
        <v>376</v>
      </c>
      <c r="J147" s="204" t="n">
        <v>12288.78</v>
      </c>
      <c r="K147" s="204"/>
      <c r="L147" s="204"/>
      <c r="M147" s="204" t="n">
        <v>12288.78</v>
      </c>
    </row>
    <row r="148" customFormat="false" ht="12.75" hidden="false" customHeight="false" outlineLevel="0" collapsed="false">
      <c r="A148" s="0" t="s">
        <v>235</v>
      </c>
      <c r="B148" s="0" t="n">
        <v>2</v>
      </c>
      <c r="C148" s="201" t="s">
        <v>377</v>
      </c>
      <c r="D148" s="202" t="n">
        <f aca="false">SUM(D149:D151)</f>
        <v>29358.7</v>
      </c>
      <c r="E148" s="202" t="n">
        <v>0</v>
      </c>
      <c r="F148" s="202" t="n">
        <v>0</v>
      </c>
      <c r="G148" s="202" t="n">
        <f aca="false">SUM(G149:G151)</f>
        <v>29358.7</v>
      </c>
      <c r="H148" s="203" t="str">
        <f aca="false">IF(I148=C148,"ok","REVISAR")</f>
        <v>ok</v>
      </c>
      <c r="I148" s="203" t="s">
        <v>377</v>
      </c>
      <c r="J148" s="204" t="n">
        <f aca="false">+D148</f>
        <v>29358.7</v>
      </c>
      <c r="K148" s="204" t="n">
        <v>0</v>
      </c>
      <c r="L148" s="204" t="n">
        <v>0</v>
      </c>
      <c r="M148" s="204" t="n">
        <f aca="false">+J148</f>
        <v>29358.7</v>
      </c>
    </row>
    <row r="149" customFormat="false" ht="12.75" hidden="false" customHeight="false" outlineLevel="0" collapsed="false">
      <c r="B149" s="0" t="n">
        <v>1</v>
      </c>
      <c r="C149" s="205" t="s">
        <v>378</v>
      </c>
      <c r="D149" s="206" t="n">
        <v>9945.32</v>
      </c>
      <c r="E149" s="206"/>
      <c r="F149" s="206"/>
      <c r="G149" s="206" t="n">
        <v>9945.32</v>
      </c>
      <c r="H149" s="203" t="str">
        <f aca="false">IF(I149=C149,"ok","REVISAR")</f>
        <v>ok</v>
      </c>
      <c r="I149" s="203" t="s">
        <v>378</v>
      </c>
      <c r="J149" s="204" t="n">
        <v>9945.32</v>
      </c>
      <c r="K149" s="204"/>
      <c r="L149" s="204"/>
      <c r="M149" s="204" t="n">
        <v>9945.32</v>
      </c>
    </row>
    <row r="150" customFormat="false" ht="12.75" hidden="false" customHeight="false" outlineLevel="0" collapsed="false">
      <c r="B150" s="0" t="n">
        <v>2</v>
      </c>
      <c r="C150" s="205" t="s">
        <v>379</v>
      </c>
      <c r="D150" s="206" t="n">
        <f aca="false">360+8453.3</f>
        <v>8813.3</v>
      </c>
      <c r="E150" s="206"/>
      <c r="F150" s="206"/>
      <c r="G150" s="206" t="n">
        <f aca="false">360+8453.3</f>
        <v>8813.3</v>
      </c>
      <c r="H150" s="203" t="str">
        <f aca="false">IF(I150=C150,"ok","REVISAR")</f>
        <v>ok</v>
      </c>
      <c r="I150" s="203" t="s">
        <v>379</v>
      </c>
      <c r="J150" s="204" t="n">
        <f aca="false">360+8453.3</f>
        <v>8813.3</v>
      </c>
      <c r="K150" s="204"/>
      <c r="L150" s="204"/>
      <c r="M150" s="204" t="n">
        <f aca="false">+J150</f>
        <v>8813.3</v>
      </c>
    </row>
    <row r="151" customFormat="false" ht="12.75" hidden="false" customHeight="false" outlineLevel="0" collapsed="false">
      <c r="B151" s="0" t="n">
        <v>1</v>
      </c>
      <c r="C151" s="205" t="s">
        <v>380</v>
      </c>
      <c r="D151" s="206" t="n">
        <v>10600.08</v>
      </c>
      <c r="E151" s="206"/>
      <c r="F151" s="206"/>
      <c r="G151" s="206" t="n">
        <v>10600.08</v>
      </c>
      <c r="H151" s="203" t="str">
        <f aca="false">IF(I151=C151,"ok","REVISAR")</f>
        <v>ok</v>
      </c>
      <c r="I151" s="203" t="s">
        <v>380</v>
      </c>
      <c r="J151" s="204" t="n">
        <v>10600.08</v>
      </c>
      <c r="K151" s="204"/>
      <c r="L151" s="204"/>
      <c r="M151" s="204" t="n">
        <v>10600.08</v>
      </c>
    </row>
    <row r="152" customFormat="false" ht="12.75" hidden="false" customHeight="false" outlineLevel="0" collapsed="false">
      <c r="A152" s="0" t="s">
        <v>235</v>
      </c>
      <c r="B152" s="0" t="n">
        <v>2</v>
      </c>
      <c r="C152" s="201" t="s">
        <v>381</v>
      </c>
      <c r="D152" s="202" t="n">
        <v>19480</v>
      </c>
      <c r="E152" s="206"/>
      <c r="F152" s="206"/>
      <c r="G152" s="202" t="n">
        <v>19480</v>
      </c>
      <c r="H152" s="203" t="str">
        <f aca="false">IF(I152=C152,"ok","REVISAR")</f>
        <v>ok</v>
      </c>
      <c r="I152" s="203" t="s">
        <v>381</v>
      </c>
      <c r="J152" s="204" t="n">
        <v>19480</v>
      </c>
      <c r="K152" s="204"/>
      <c r="L152" s="204"/>
      <c r="M152" s="204" t="n">
        <v>19480</v>
      </c>
    </row>
    <row r="153" customFormat="false" ht="12.75" hidden="false" customHeight="false" outlineLevel="0" collapsed="false">
      <c r="A153" s="0" t="s">
        <v>235</v>
      </c>
      <c r="B153" s="0" t="n">
        <v>1</v>
      </c>
      <c r="C153" s="201" t="s">
        <v>382</v>
      </c>
      <c r="D153" s="202" t="n">
        <v>132585.93</v>
      </c>
      <c r="E153" s="202"/>
      <c r="F153" s="202"/>
      <c r="G153" s="202" t="n">
        <v>132585.93</v>
      </c>
      <c r="H153" s="203" t="str">
        <f aca="false">IF(I153=C153,"ok","REVISAR")</f>
        <v>ok</v>
      </c>
      <c r="I153" s="203" t="s">
        <v>382</v>
      </c>
      <c r="J153" s="204" t="n">
        <v>132585.93</v>
      </c>
      <c r="K153" s="204"/>
      <c r="L153" s="204"/>
      <c r="M153" s="204" t="n">
        <v>132585.93</v>
      </c>
    </row>
    <row r="154" customFormat="false" ht="12.75" hidden="false" customHeight="false" outlineLevel="0" collapsed="false">
      <c r="A154" s="0" t="s">
        <v>235</v>
      </c>
      <c r="B154" s="0" t="n">
        <v>2</v>
      </c>
      <c r="C154" s="201" t="s">
        <v>383</v>
      </c>
      <c r="D154" s="202" t="n">
        <v>9159.26</v>
      </c>
      <c r="E154" s="202"/>
      <c r="F154" s="206"/>
      <c r="G154" s="202" t="n">
        <v>9159.26</v>
      </c>
      <c r="H154" s="203" t="str">
        <f aca="false">IF(I154=C154,"ok","REVISAR")</f>
        <v>ok</v>
      </c>
      <c r="I154" s="203" t="s">
        <v>383</v>
      </c>
      <c r="J154" s="204" t="n">
        <v>9159.26</v>
      </c>
      <c r="K154" s="204"/>
      <c r="L154" s="204"/>
      <c r="M154" s="204" t="n">
        <v>9159.26</v>
      </c>
    </row>
    <row r="155" customFormat="false" ht="12.75" hidden="false" customHeight="false" outlineLevel="0" collapsed="false">
      <c r="A155" s="0" t="s">
        <v>235</v>
      </c>
      <c r="B155" s="0" t="n">
        <v>1</v>
      </c>
      <c r="C155" s="201" t="s">
        <v>384</v>
      </c>
      <c r="D155" s="202"/>
      <c r="E155" s="206"/>
      <c r="F155" s="206"/>
      <c r="G155" s="202"/>
      <c r="H155" s="203" t="str">
        <f aca="false">IF(I155=C155,"ok","REVISAR")</f>
        <v>ok</v>
      </c>
      <c r="I155" s="203" t="s">
        <v>384</v>
      </c>
      <c r="J155" s="204"/>
      <c r="K155" s="204"/>
      <c r="L155" s="204"/>
      <c r="M155" s="204"/>
    </row>
    <row r="156" customFormat="false" ht="12.75" hidden="false" customHeight="false" outlineLevel="0" collapsed="false">
      <c r="A156" s="0" t="s">
        <v>235</v>
      </c>
      <c r="B156" s="0" t="n">
        <v>2</v>
      </c>
      <c r="C156" s="201" t="s">
        <v>385</v>
      </c>
      <c r="D156" s="206" t="n">
        <v>1173.3</v>
      </c>
      <c r="E156" s="206"/>
      <c r="F156" s="206"/>
      <c r="G156" s="202" t="n">
        <v>1173.3</v>
      </c>
      <c r="H156" s="203" t="str">
        <f aca="false">IF(I156=C156,"ok","REVISAR")</f>
        <v>ok</v>
      </c>
      <c r="I156" s="203" t="s">
        <v>385</v>
      </c>
      <c r="J156" s="204" t="n">
        <v>1173.3</v>
      </c>
      <c r="K156" s="204"/>
      <c r="L156" s="204"/>
      <c r="M156" s="204" t="n">
        <v>1173.3</v>
      </c>
    </row>
    <row r="157" customFormat="false" ht="12.75" hidden="false" customHeight="false" outlineLevel="0" collapsed="false">
      <c r="A157" s="0" t="s">
        <v>235</v>
      </c>
      <c r="B157" s="0" t="n">
        <v>1</v>
      </c>
      <c r="C157" s="201" t="s">
        <v>386</v>
      </c>
      <c r="D157" s="202" t="n">
        <v>72756.347393</v>
      </c>
      <c r="E157" s="202" t="n">
        <v>0</v>
      </c>
      <c r="F157" s="202" t="n">
        <v>0</v>
      </c>
      <c r="G157" s="202" t="n">
        <v>72756.347393</v>
      </c>
      <c r="H157" s="203" t="str">
        <f aca="false">IF(I157=C157,"ok","REVISAR")</f>
        <v>ok</v>
      </c>
      <c r="I157" s="203" t="s">
        <v>386</v>
      </c>
      <c r="J157" s="204" t="n">
        <v>72756.347393</v>
      </c>
      <c r="K157" s="204" t="n">
        <v>0</v>
      </c>
      <c r="L157" s="204" t="n">
        <v>0</v>
      </c>
      <c r="M157" s="204" t="n">
        <v>72756.347393</v>
      </c>
    </row>
    <row r="158" customFormat="false" ht="12.75" hidden="false" customHeight="false" outlineLevel="0" collapsed="false">
      <c r="B158" s="0" t="n">
        <v>2</v>
      </c>
      <c r="C158" s="205" t="s">
        <v>387</v>
      </c>
      <c r="D158" s="206" t="n">
        <v>71316.347393</v>
      </c>
      <c r="E158" s="206"/>
      <c r="F158" s="206"/>
      <c r="G158" s="206" t="n">
        <v>71316.347393</v>
      </c>
      <c r="H158" s="203" t="str">
        <f aca="false">IF(I158=C158,"ok","REVISAR")</f>
        <v>ok</v>
      </c>
      <c r="I158" s="203" t="s">
        <v>387</v>
      </c>
      <c r="J158" s="204" t="n">
        <v>71316.347393</v>
      </c>
      <c r="K158" s="204"/>
      <c r="L158" s="204"/>
      <c r="M158" s="204" t="n">
        <v>71316.347393</v>
      </c>
    </row>
    <row r="159" customFormat="false" ht="12.75" hidden="false" customHeight="false" outlineLevel="0" collapsed="false">
      <c r="B159" s="0" t="n">
        <v>1</v>
      </c>
      <c r="C159" s="205" t="s">
        <v>388</v>
      </c>
      <c r="D159" s="206" t="n">
        <v>1440</v>
      </c>
      <c r="E159" s="206"/>
      <c r="F159" s="206"/>
      <c r="G159" s="206" t="n">
        <v>1440</v>
      </c>
      <c r="H159" s="203" t="str">
        <f aca="false">IF(I159=C159,"ok","REVISAR")</f>
        <v>ok</v>
      </c>
      <c r="I159" s="203" t="s">
        <v>388</v>
      </c>
      <c r="J159" s="204" t="n">
        <v>1440</v>
      </c>
      <c r="K159" s="204"/>
      <c r="L159" s="204"/>
      <c r="M159" s="204" t="n">
        <v>1440</v>
      </c>
    </row>
    <row r="160" customFormat="false" ht="12.75" hidden="false" customHeight="false" outlineLevel="0" collapsed="false">
      <c r="A160" s="0" t="s">
        <v>235</v>
      </c>
      <c r="B160" s="0" t="n">
        <v>2</v>
      </c>
      <c r="C160" s="201" t="s">
        <v>389</v>
      </c>
      <c r="D160" s="202" t="n">
        <v>2165.75</v>
      </c>
      <c r="E160" s="202"/>
      <c r="F160" s="202"/>
      <c r="G160" s="202" t="n">
        <v>2165.75</v>
      </c>
      <c r="H160" s="203" t="str">
        <f aca="false">IF(I160=C160,"ok","REVISAR")</f>
        <v>ok</v>
      </c>
      <c r="I160" s="203" t="s">
        <v>389</v>
      </c>
      <c r="J160" s="204" t="n">
        <v>2165.75</v>
      </c>
      <c r="K160" s="204"/>
      <c r="L160" s="204"/>
      <c r="M160" s="204" t="n">
        <v>2165.75</v>
      </c>
    </row>
    <row r="161" customFormat="false" ht="12.75" hidden="false" customHeight="false" outlineLevel="0" collapsed="false">
      <c r="A161" s="0" t="s">
        <v>235</v>
      </c>
      <c r="B161" s="0" t="n">
        <v>1</v>
      </c>
      <c r="C161" s="201" t="s">
        <v>390</v>
      </c>
      <c r="D161" s="202" t="n">
        <v>55597.44</v>
      </c>
      <c r="E161" s="202"/>
      <c r="F161" s="202"/>
      <c r="G161" s="202" t="n">
        <v>55597.44</v>
      </c>
      <c r="H161" s="203" t="str">
        <f aca="false">IF(I161=C161,"ok","REVISAR")</f>
        <v>ok</v>
      </c>
      <c r="I161" s="203" t="s">
        <v>390</v>
      </c>
      <c r="J161" s="204" t="n">
        <v>55597.44</v>
      </c>
      <c r="K161" s="204"/>
      <c r="L161" s="204"/>
      <c r="M161" s="204" t="n">
        <v>55597.44</v>
      </c>
    </row>
    <row r="162" customFormat="false" ht="12.75" hidden="false" customHeight="false" outlineLevel="0" collapsed="false">
      <c r="A162" s="0" t="s">
        <v>235</v>
      </c>
      <c r="B162" s="0" t="n">
        <v>2</v>
      </c>
      <c r="C162" s="201" t="s">
        <v>391</v>
      </c>
      <c r="D162" s="202" t="n">
        <v>6328.270346</v>
      </c>
      <c r="E162" s="202"/>
      <c r="F162" s="202"/>
      <c r="G162" s="202" t="n">
        <v>6328.270346</v>
      </c>
      <c r="H162" s="203" t="str">
        <f aca="false">IF(I162=C162,"ok","REVISAR")</f>
        <v>ok</v>
      </c>
      <c r="I162" s="203" t="s">
        <v>391</v>
      </c>
      <c r="J162" s="204" t="n">
        <v>6328.270346</v>
      </c>
      <c r="K162" s="204"/>
      <c r="L162" s="204"/>
      <c r="M162" s="204" t="n">
        <v>6328.270346</v>
      </c>
    </row>
    <row r="163" customFormat="false" ht="12.75" hidden="false" customHeight="false" outlineLevel="0" collapsed="false">
      <c r="A163" s="0" t="s">
        <v>235</v>
      </c>
      <c r="B163" s="0" t="n">
        <v>1</v>
      </c>
      <c r="C163" s="201" t="s">
        <v>392</v>
      </c>
      <c r="D163" s="202"/>
      <c r="E163" s="202"/>
      <c r="F163" s="206"/>
      <c r="G163" s="202"/>
      <c r="H163" s="203" t="str">
        <f aca="false">IF(I163=C163,"ok","REVISAR")</f>
        <v>ok</v>
      </c>
      <c r="I163" s="203" t="s">
        <v>392</v>
      </c>
      <c r="J163" s="204"/>
      <c r="K163" s="204"/>
      <c r="L163" s="204"/>
      <c r="M163" s="204"/>
    </row>
    <row r="164" customFormat="false" ht="12.75" hidden="false" customHeight="false" outlineLevel="0" collapsed="false">
      <c r="A164" s="0" t="s">
        <v>235</v>
      </c>
      <c r="B164" s="0" t="n">
        <v>2</v>
      </c>
      <c r="C164" s="201" t="s">
        <v>393</v>
      </c>
      <c r="D164" s="202" t="n">
        <v>84055.230338</v>
      </c>
      <c r="E164" s="202"/>
      <c r="F164" s="206"/>
      <c r="G164" s="202" t="n">
        <v>84055.230338</v>
      </c>
      <c r="H164" s="203" t="str">
        <f aca="false">IF(I164=C164,"ok","REVISAR")</f>
        <v>ok</v>
      </c>
      <c r="I164" s="203" t="s">
        <v>393</v>
      </c>
      <c r="J164" s="204" t="n">
        <v>84055.230338</v>
      </c>
      <c r="K164" s="204"/>
      <c r="L164" s="204"/>
      <c r="M164" s="204" t="n">
        <v>84055.230338</v>
      </c>
    </row>
    <row r="165" customFormat="false" ht="12.75" hidden="false" customHeight="false" outlineLevel="0" collapsed="false">
      <c r="A165" s="122" t="s">
        <v>235</v>
      </c>
      <c r="B165" s="0" t="n">
        <v>1</v>
      </c>
      <c r="C165" s="201" t="s">
        <v>394</v>
      </c>
      <c r="D165" s="202" t="n">
        <v>38441.61</v>
      </c>
      <c r="E165" s="202"/>
      <c r="F165" s="206"/>
      <c r="G165" s="202" t="n">
        <v>38441.61</v>
      </c>
      <c r="H165" s="203" t="str">
        <f aca="false">IF(I165=C165,"ok","REVISAR")</f>
        <v>ok</v>
      </c>
      <c r="I165" s="203" t="s">
        <v>394</v>
      </c>
      <c r="J165" s="204" t="n">
        <v>38441.61</v>
      </c>
      <c r="K165" s="204"/>
      <c r="L165" s="204"/>
      <c r="M165" s="204" t="n">
        <v>38441.61</v>
      </c>
    </row>
    <row r="166" customFormat="false" ht="12.75" hidden="false" customHeight="false" outlineLevel="0" collapsed="false">
      <c r="A166" s="0" t="s">
        <v>235</v>
      </c>
      <c r="B166" s="0" t="n">
        <v>2</v>
      </c>
      <c r="C166" s="201" t="s">
        <v>395</v>
      </c>
      <c r="D166" s="206" t="n">
        <v>114777.612443</v>
      </c>
      <c r="E166" s="206"/>
      <c r="F166" s="206"/>
      <c r="G166" s="202" t="n">
        <v>114777.612443</v>
      </c>
      <c r="H166" s="203" t="str">
        <f aca="false">IF(I166=C166,"ok","REVISAR")</f>
        <v>ok</v>
      </c>
      <c r="I166" s="203" t="s">
        <v>395</v>
      </c>
      <c r="J166" s="204" t="n">
        <v>114777.612443</v>
      </c>
      <c r="K166" s="204"/>
      <c r="L166" s="204"/>
      <c r="M166" s="204" t="n">
        <v>114777.612443</v>
      </c>
    </row>
    <row r="167" customFormat="false" ht="12.75" hidden="false" customHeight="false" outlineLevel="0" collapsed="false">
      <c r="A167" s="0" t="s">
        <v>235</v>
      </c>
      <c r="B167" s="0" t="n">
        <v>1</v>
      </c>
      <c r="C167" s="201" t="s">
        <v>396</v>
      </c>
      <c r="D167" s="202"/>
      <c r="E167" s="202"/>
      <c r="F167" s="202"/>
      <c r="G167" s="202"/>
      <c r="H167" s="203" t="str">
        <f aca="false">IF(I167=C167,"ok","REVISAR")</f>
        <v>ok</v>
      </c>
      <c r="I167" s="203" t="s">
        <v>396</v>
      </c>
      <c r="J167" s="204"/>
      <c r="K167" s="204"/>
      <c r="L167" s="204"/>
      <c r="M167" s="204"/>
    </row>
    <row r="168" customFormat="false" ht="12.75" hidden="false" customHeight="false" outlineLevel="0" collapsed="false">
      <c r="A168" s="0" t="s">
        <v>235</v>
      </c>
      <c r="B168" s="0" t="n">
        <v>2</v>
      </c>
      <c r="C168" s="201" t="s">
        <v>397</v>
      </c>
      <c r="D168" s="202" t="n">
        <v>1408</v>
      </c>
      <c r="E168" s="206"/>
      <c r="F168" s="206"/>
      <c r="G168" s="202" t="n">
        <v>1408</v>
      </c>
      <c r="H168" s="203" t="str">
        <f aca="false">IF(I168=C168,"ok","REVISAR")</f>
        <v>ok</v>
      </c>
      <c r="I168" s="203" t="s">
        <v>397</v>
      </c>
      <c r="J168" s="204" t="n">
        <v>1408</v>
      </c>
      <c r="K168" s="204"/>
      <c r="L168" s="204"/>
      <c r="M168" s="204" t="n">
        <v>1408</v>
      </c>
    </row>
    <row r="169" customFormat="false" ht="12.75" hidden="false" customHeight="false" outlineLevel="0" collapsed="false">
      <c r="A169" s="0" t="s">
        <v>235</v>
      </c>
      <c r="B169" s="0" t="n">
        <v>1</v>
      </c>
      <c r="C169" s="201" t="s">
        <v>398</v>
      </c>
      <c r="D169" s="202"/>
      <c r="E169" s="202"/>
      <c r="F169" s="202"/>
      <c r="G169" s="202"/>
      <c r="H169" s="203" t="str">
        <f aca="false">IF(I169=C169,"ok","REVISAR")</f>
        <v>ok</v>
      </c>
      <c r="I169" s="203" t="s">
        <v>398</v>
      </c>
      <c r="J169" s="204"/>
      <c r="K169" s="204"/>
      <c r="L169" s="204"/>
      <c r="M169" s="204"/>
    </row>
    <row r="170" customFormat="false" ht="12.75" hidden="false" customHeight="false" outlineLevel="0" collapsed="false">
      <c r="A170" s="0" t="s">
        <v>235</v>
      </c>
      <c r="B170" s="0" t="n">
        <v>2</v>
      </c>
      <c r="C170" s="201" t="s">
        <v>399</v>
      </c>
      <c r="D170" s="202"/>
      <c r="E170" s="206"/>
      <c r="F170" s="206"/>
      <c r="G170" s="202"/>
      <c r="H170" s="203" t="str">
        <f aca="false">IF(I170=C170,"ok","REVISAR")</f>
        <v>ok</v>
      </c>
      <c r="I170" s="203" t="s">
        <v>399</v>
      </c>
      <c r="J170" s="204"/>
      <c r="K170" s="204"/>
      <c r="L170" s="204"/>
      <c r="M170" s="204"/>
    </row>
    <row r="171" customFormat="false" ht="12.75" hidden="false" customHeight="false" outlineLevel="0" collapsed="false">
      <c r="A171" s="0" t="s">
        <v>235</v>
      </c>
      <c r="B171" s="0" t="n">
        <v>1</v>
      </c>
      <c r="C171" s="201" t="s">
        <v>400</v>
      </c>
      <c r="D171" s="202" t="n">
        <v>43318.29</v>
      </c>
      <c r="E171" s="202" t="n">
        <v>0</v>
      </c>
      <c r="F171" s="202" t="n">
        <v>0</v>
      </c>
      <c r="G171" s="202" t="n">
        <v>43318.29</v>
      </c>
      <c r="H171" s="203" t="str">
        <f aca="false">IF(I171=C171,"ok","REVISAR")</f>
        <v>ok</v>
      </c>
      <c r="I171" s="203" t="s">
        <v>400</v>
      </c>
      <c r="J171" s="204" t="n">
        <v>43318.29</v>
      </c>
      <c r="K171" s="204" t="n">
        <v>0</v>
      </c>
      <c r="L171" s="204" t="n">
        <v>0</v>
      </c>
      <c r="M171" s="204" t="n">
        <v>43318.29</v>
      </c>
    </row>
    <row r="172" customFormat="false" ht="12.75" hidden="false" customHeight="false" outlineLevel="0" collapsed="false">
      <c r="B172" s="0" t="n">
        <v>2</v>
      </c>
      <c r="C172" s="205" t="s">
        <v>401</v>
      </c>
      <c r="D172" s="206" t="n">
        <v>43318.29</v>
      </c>
      <c r="E172" s="206"/>
      <c r="F172" s="206"/>
      <c r="G172" s="206" t="n">
        <v>43318.29</v>
      </c>
      <c r="H172" s="203" t="str">
        <f aca="false">IF(I172=C172,"ok","REVISAR")</f>
        <v>ok</v>
      </c>
      <c r="I172" s="203" t="s">
        <v>401</v>
      </c>
      <c r="J172" s="204" t="n">
        <v>43318.29</v>
      </c>
      <c r="K172" s="204"/>
      <c r="L172" s="204"/>
      <c r="M172" s="204" t="n">
        <v>43318.29</v>
      </c>
    </row>
    <row r="173" customFormat="false" ht="12.75" hidden="false" customHeight="false" outlineLevel="0" collapsed="false">
      <c r="B173" s="0" t="n">
        <v>1</v>
      </c>
      <c r="C173" s="205" t="s">
        <v>402</v>
      </c>
      <c r="D173" s="206"/>
      <c r="E173" s="206"/>
      <c r="F173" s="206"/>
      <c r="G173" s="206"/>
      <c r="H173" s="203" t="str">
        <f aca="false">IF(I173=C173,"ok","REVISAR")</f>
        <v>ok</v>
      </c>
      <c r="I173" s="203" t="s">
        <v>402</v>
      </c>
      <c r="J173" s="204"/>
      <c r="K173" s="204"/>
      <c r="L173" s="204"/>
      <c r="M173" s="204"/>
    </row>
    <row r="174" customFormat="false" ht="12.75" hidden="false" customHeight="false" outlineLevel="0" collapsed="false">
      <c r="A174" s="0" t="s">
        <v>235</v>
      </c>
      <c r="B174" s="0" t="n">
        <v>2</v>
      </c>
      <c r="C174" s="201" t="s">
        <v>403</v>
      </c>
      <c r="D174" s="202" t="n">
        <v>229474.65</v>
      </c>
      <c r="E174" s="202" t="n">
        <v>504</v>
      </c>
      <c r="F174" s="202" t="n">
        <v>0</v>
      </c>
      <c r="G174" s="202" t="n">
        <v>229978.65</v>
      </c>
      <c r="H174" s="203" t="str">
        <f aca="false">IF(I174=C174,"ok","REVISAR")</f>
        <v>ok</v>
      </c>
      <c r="I174" s="203" t="s">
        <v>403</v>
      </c>
      <c r="J174" s="204" t="n">
        <v>229474.65</v>
      </c>
      <c r="K174" s="204" t="n">
        <v>504</v>
      </c>
      <c r="L174" s="204" t="n">
        <v>0</v>
      </c>
      <c r="M174" s="204" t="n">
        <v>229978.65</v>
      </c>
    </row>
    <row r="175" customFormat="false" ht="12.75" hidden="false" customHeight="false" outlineLevel="0" collapsed="false">
      <c r="B175" s="0" t="n">
        <v>1</v>
      </c>
      <c r="C175" s="205" t="s">
        <v>404</v>
      </c>
      <c r="D175" s="206" t="n">
        <v>43745.31</v>
      </c>
      <c r="E175" s="206" t="n">
        <v>504</v>
      </c>
      <c r="F175" s="206"/>
      <c r="G175" s="206" t="n">
        <v>44249.31</v>
      </c>
      <c r="H175" s="203" t="str">
        <f aca="false">IF(I175=C175,"ok","REVISAR")</f>
        <v>ok</v>
      </c>
      <c r="I175" s="203" t="s">
        <v>404</v>
      </c>
      <c r="J175" s="204" t="n">
        <v>43745.31</v>
      </c>
      <c r="K175" s="204" t="n">
        <v>504</v>
      </c>
      <c r="L175" s="204"/>
      <c r="M175" s="204" t="n">
        <v>44249.31</v>
      </c>
    </row>
    <row r="176" customFormat="false" ht="12.75" hidden="false" customHeight="false" outlineLevel="0" collapsed="false">
      <c r="B176" s="0" t="n">
        <v>2</v>
      </c>
      <c r="C176" s="205" t="s">
        <v>405</v>
      </c>
      <c r="D176" s="206" t="n">
        <v>42675.8</v>
      </c>
      <c r="E176" s="206"/>
      <c r="F176" s="206"/>
      <c r="G176" s="206" t="n">
        <v>42675.8</v>
      </c>
      <c r="H176" s="203" t="str">
        <f aca="false">IF(I176=C176,"ok","REVISAR")</f>
        <v>ok</v>
      </c>
      <c r="I176" s="203" t="s">
        <v>405</v>
      </c>
      <c r="J176" s="204" t="n">
        <v>42675.8</v>
      </c>
      <c r="K176" s="204"/>
      <c r="L176" s="204"/>
      <c r="M176" s="204" t="n">
        <v>42675.8</v>
      </c>
    </row>
    <row r="177" customFormat="false" ht="12.75" hidden="false" customHeight="false" outlineLevel="0" collapsed="false">
      <c r="B177" s="0" t="n">
        <v>1</v>
      </c>
      <c r="C177" s="205" t="s">
        <v>406</v>
      </c>
      <c r="D177" s="206" t="n">
        <v>143053.54</v>
      </c>
      <c r="E177" s="206"/>
      <c r="F177" s="206"/>
      <c r="G177" s="206" t="n">
        <v>143053.54</v>
      </c>
      <c r="H177" s="203" t="str">
        <f aca="false">IF(I177=C177,"ok","REVISAR")</f>
        <v>ok</v>
      </c>
      <c r="I177" s="203" t="s">
        <v>406</v>
      </c>
      <c r="J177" s="204" t="n">
        <v>143053.54</v>
      </c>
      <c r="K177" s="204"/>
      <c r="L177" s="204"/>
      <c r="M177" s="204" t="n">
        <v>143053.54</v>
      </c>
    </row>
    <row r="178" customFormat="false" ht="12.75" hidden="false" customHeight="false" outlineLevel="0" collapsed="false">
      <c r="A178" s="0" t="s">
        <v>235</v>
      </c>
      <c r="B178" s="0" t="n">
        <v>2</v>
      </c>
      <c r="C178" s="201" t="s">
        <v>407</v>
      </c>
      <c r="D178" s="206"/>
      <c r="E178" s="206"/>
      <c r="F178" s="206"/>
      <c r="G178" s="202"/>
      <c r="H178" s="203" t="str">
        <f aca="false">IF(I178=C178,"ok","REVISAR")</f>
        <v>ok</v>
      </c>
      <c r="I178" s="203" t="s">
        <v>407</v>
      </c>
      <c r="J178" s="204"/>
      <c r="K178" s="204"/>
      <c r="L178" s="204"/>
      <c r="M178" s="204"/>
    </row>
    <row r="179" customFormat="false" ht="12.75" hidden="false" customHeight="false" outlineLevel="0" collapsed="false">
      <c r="B179" s="0" t="n">
        <v>1</v>
      </c>
      <c r="C179" s="205" t="s">
        <v>408</v>
      </c>
      <c r="D179" s="206"/>
      <c r="E179" s="206"/>
      <c r="F179" s="206"/>
      <c r="G179" s="206"/>
      <c r="H179" s="203" t="str">
        <f aca="false">IF(I179=C179,"ok","REVISAR")</f>
        <v>ok</v>
      </c>
      <c r="I179" s="203" t="s">
        <v>408</v>
      </c>
      <c r="J179" s="204"/>
      <c r="K179" s="204"/>
      <c r="L179" s="204"/>
      <c r="M179" s="204"/>
    </row>
    <row r="180" customFormat="false" ht="12.75" hidden="false" customHeight="false" outlineLevel="0" collapsed="false">
      <c r="B180" s="0" t="n">
        <v>2</v>
      </c>
      <c r="C180" s="205" t="s">
        <v>409</v>
      </c>
      <c r="D180" s="206"/>
      <c r="E180" s="206"/>
      <c r="F180" s="206"/>
      <c r="G180" s="206"/>
      <c r="H180" s="203" t="str">
        <f aca="false">IF(I180=C180,"ok","REVISAR")</f>
        <v>ok</v>
      </c>
      <c r="I180" s="203" t="s">
        <v>409</v>
      </c>
      <c r="J180" s="204"/>
      <c r="K180" s="204"/>
      <c r="L180" s="204"/>
      <c r="M180" s="204"/>
    </row>
    <row r="181" customFormat="false" ht="12.75" hidden="false" customHeight="false" outlineLevel="0" collapsed="false">
      <c r="A181" s="0" t="s">
        <v>235</v>
      </c>
      <c r="B181" s="0" t="n">
        <v>1</v>
      </c>
      <c r="C181" s="201" t="s">
        <v>410</v>
      </c>
      <c r="D181" s="202" t="n">
        <v>4574.35</v>
      </c>
      <c r="E181" s="202" t="n">
        <v>0</v>
      </c>
      <c r="F181" s="202" t="n">
        <v>0</v>
      </c>
      <c r="G181" s="202" t="n">
        <v>4574.35</v>
      </c>
      <c r="H181" s="203" t="str">
        <f aca="false">IF(I181=C181,"ok","REVISAR")</f>
        <v>ok</v>
      </c>
      <c r="I181" s="203" t="s">
        <v>410</v>
      </c>
      <c r="J181" s="204" t="n">
        <v>4574.35</v>
      </c>
      <c r="K181" s="204" t="n">
        <v>0</v>
      </c>
      <c r="L181" s="204" t="n">
        <v>0</v>
      </c>
      <c r="M181" s="204" t="n">
        <v>4574.35</v>
      </c>
    </row>
    <row r="182" customFormat="false" ht="12.75" hidden="false" customHeight="false" outlineLevel="0" collapsed="false">
      <c r="C182" s="205" t="s">
        <v>411</v>
      </c>
      <c r="D182" s="202" t="n">
        <v>3974.32</v>
      </c>
      <c r="E182" s="202"/>
      <c r="F182" s="202"/>
      <c r="G182" s="202" t="n">
        <v>3974.32</v>
      </c>
      <c r="H182" s="203" t="str">
        <f aca="false">IF(I182=C182,"ok","REVISAR")</f>
        <v>ok</v>
      </c>
      <c r="I182" s="203" t="s">
        <v>411</v>
      </c>
      <c r="J182" s="204" t="n">
        <v>3974.32</v>
      </c>
      <c r="K182" s="204"/>
      <c r="L182" s="204"/>
      <c r="M182" s="204" t="n">
        <v>3974.32</v>
      </c>
    </row>
    <row r="183" customFormat="false" ht="12.75" hidden="false" customHeight="false" outlineLevel="0" collapsed="false">
      <c r="B183" s="0" t="n">
        <v>2</v>
      </c>
      <c r="C183" s="205" t="s">
        <v>412</v>
      </c>
      <c r="D183" s="206" t="n">
        <v>600.03</v>
      </c>
      <c r="E183" s="206"/>
      <c r="F183" s="206"/>
      <c r="G183" s="206" t="n">
        <v>600.03</v>
      </c>
      <c r="H183" s="203" t="str">
        <f aca="false">IF(I183=C183,"ok","REVISAR")</f>
        <v>ok</v>
      </c>
      <c r="I183" s="203" t="s">
        <v>412</v>
      </c>
      <c r="J183" s="204" t="n">
        <v>600.03</v>
      </c>
      <c r="K183" s="204"/>
      <c r="L183" s="204"/>
      <c r="M183" s="204" t="n">
        <v>600.03</v>
      </c>
    </row>
    <row r="184" customFormat="false" ht="12.75" hidden="false" customHeight="false" outlineLevel="0" collapsed="false">
      <c r="B184" s="0" t="n">
        <v>1</v>
      </c>
      <c r="C184" s="205"/>
      <c r="D184" s="206"/>
      <c r="E184" s="206"/>
      <c r="F184" s="206"/>
      <c r="G184" s="206"/>
    </row>
    <row r="185" customFormat="false" ht="12.75" hidden="false" customHeight="false" outlineLevel="0" collapsed="false">
      <c r="A185" s="0" t="s">
        <v>235</v>
      </c>
      <c r="B185" s="0" t="n">
        <v>2</v>
      </c>
      <c r="C185" s="201" t="s">
        <v>413</v>
      </c>
      <c r="D185" s="206" t="n">
        <v>0</v>
      </c>
      <c r="E185" s="206" t="n">
        <f aca="false">+E7+E9+E17+E23+E28+E31+E32+E33+E35+E38+E43+E45+E48+E50+E51+E53+E54+E57+E58+E60+E61+E62+E81+E91+E94+E95+E105+E110+E119+E120+E135+E141+E144+E147+E148+E152+E153+E154+E155+E156+E157+E160+E161+E162+E163+E164+E166+E167+E168+E169+E170+E171+E174+E178+E181+E79+E165+E89+E90</f>
        <v>584.64</v>
      </c>
      <c r="F185" s="206" t="n">
        <f aca="false">+F7+F9+F17+F23+F28+F31+F32+F33+F35+F38+F43+F45+F48+F50+F51+F53+F54+F57+F58+F60+F61+F62+F81+F91+F94+F95+F105+F110+F119+F120+F135+F141+F144+F147+F148+F152+F153+F154+F155+F156+F157+F160+F161+F162+F163+F164+F166+F167+F168+F169+F170+F171+F174+F178+F181+F79</f>
        <v>584.64</v>
      </c>
      <c r="G185" s="206" t="n">
        <f aca="false">+D185+E185-F185</f>
        <v>0</v>
      </c>
    </row>
    <row r="186" customFormat="false" ht="12.75" hidden="false" customHeight="false" outlineLevel="0" collapsed="false">
      <c r="C186" s="207"/>
      <c r="D186" s="208"/>
      <c r="E186" s="208"/>
      <c r="F186" s="208"/>
      <c r="G186" s="208"/>
    </row>
    <row r="187" customFormat="false" ht="12.75" hidden="false" customHeight="false" outlineLevel="0" collapsed="false">
      <c r="C187" s="209"/>
      <c r="D187" s="210"/>
      <c r="E187" s="210"/>
      <c r="F187" s="210"/>
      <c r="G187" s="210"/>
    </row>
    <row r="188" customFormat="false" ht="12.75" hidden="false" customHeight="false" outlineLevel="0" collapsed="false">
      <c r="C188" s="207"/>
      <c r="D188" s="208"/>
      <c r="E188" s="208"/>
      <c r="F188" s="208"/>
      <c r="G188" s="208"/>
    </row>
    <row r="189" customFormat="false" ht="12.75" hidden="false" customHeight="false" outlineLevel="0" collapsed="false">
      <c r="C189" s="209"/>
      <c r="D189" s="210"/>
      <c r="E189" s="210"/>
      <c r="F189" s="210"/>
      <c r="G189" s="210"/>
      <c r="J189" s="1" t="n">
        <v>0</v>
      </c>
      <c r="K189" s="1" t="n">
        <v>0</v>
      </c>
      <c r="L189" s="1" t="n">
        <v>0</v>
      </c>
      <c r="M189" s="1" t="n">
        <v>0</v>
      </c>
    </row>
    <row r="190" customFormat="false" ht="12.75" hidden="false" customHeight="false" outlineLevel="0" collapsed="false">
      <c r="C190" s="207"/>
      <c r="D190" s="208"/>
      <c r="E190" s="208"/>
      <c r="F190" s="208"/>
      <c r="G190" s="208"/>
      <c r="J190" s="1" t="n">
        <v>0</v>
      </c>
      <c r="K190" s="1" t="n">
        <v>0</v>
      </c>
      <c r="L190" s="1" t="n">
        <v>0</v>
      </c>
      <c r="M190" s="1" t="n">
        <v>0</v>
      </c>
    </row>
    <row r="191" customFormat="false" ht="12.75" hidden="false" customHeight="false" outlineLevel="0" collapsed="false">
      <c r="C191" s="209"/>
      <c r="D191" s="210"/>
      <c r="E191" s="210"/>
      <c r="F191" s="210"/>
      <c r="G191" s="210"/>
      <c r="I191" s="0" t="s">
        <v>410</v>
      </c>
      <c r="J191" s="1" t="n">
        <v>0</v>
      </c>
      <c r="K191" s="1" t="n">
        <v>0</v>
      </c>
      <c r="L191" s="1" t="n">
        <v>76.15</v>
      </c>
      <c r="M191" s="1" t="n">
        <v>76.15</v>
      </c>
    </row>
    <row r="192" customFormat="false" ht="12.75" hidden="false" customHeight="false" outlineLevel="0" collapsed="false">
      <c r="C192" s="207"/>
      <c r="D192" s="208"/>
      <c r="E192" s="208"/>
      <c r="F192" s="208"/>
      <c r="G192" s="208"/>
      <c r="I192" s="0" t="s">
        <v>412</v>
      </c>
      <c r="J192" s="1" t="n">
        <v>0</v>
      </c>
      <c r="L192" s="1" t="n">
        <v>76.15</v>
      </c>
      <c r="M192" s="1" t="n">
        <v>76.15</v>
      </c>
    </row>
    <row r="193" customFormat="false" ht="12.75" hidden="false" customHeight="false" outlineLevel="0" collapsed="false">
      <c r="C193" s="209"/>
      <c r="D193" s="210"/>
      <c r="E193" s="210"/>
      <c r="F193" s="210"/>
      <c r="G193" s="210"/>
      <c r="J193" s="1" t="n">
        <v>0</v>
      </c>
      <c r="K193" s="1" t="n">
        <v>0</v>
      </c>
      <c r="L193" s="1" t="n">
        <v>0</v>
      </c>
      <c r="M193" s="1" t="n">
        <v>0</v>
      </c>
    </row>
    <row r="194" customFormat="false" ht="12.75" hidden="false" customHeight="false" outlineLevel="0" collapsed="false">
      <c r="C194" s="207"/>
      <c r="D194" s="208"/>
      <c r="E194" s="208"/>
      <c r="F194" s="208"/>
      <c r="G194" s="208"/>
      <c r="J194" s="1" t="n">
        <v>0</v>
      </c>
      <c r="K194" s="1" t="n">
        <v>0</v>
      </c>
      <c r="L194" s="1" t="n">
        <v>0</v>
      </c>
      <c r="M194" s="1" t="n">
        <v>0</v>
      </c>
    </row>
    <row r="195" customFormat="false" ht="12.75" hidden="false" customHeight="false" outlineLevel="0" collapsed="false">
      <c r="C195" s="209"/>
      <c r="D195" s="210"/>
      <c r="E195" s="210"/>
      <c r="F195" s="210"/>
      <c r="G195" s="210"/>
    </row>
    <row r="196" customFormat="false" ht="12.75" hidden="false" customHeight="false" outlineLevel="0" collapsed="false">
      <c r="C196" s="207"/>
      <c r="D196" s="208"/>
      <c r="E196" s="208"/>
      <c r="F196" s="208"/>
      <c r="G196" s="208"/>
    </row>
    <row r="197" customFormat="false" ht="12.75" hidden="false" customHeight="false" outlineLevel="0" collapsed="false">
      <c r="C197" s="209"/>
      <c r="D197" s="210"/>
      <c r="E197" s="210"/>
      <c r="F197" s="210"/>
      <c r="G197" s="210"/>
    </row>
    <row r="198" customFormat="false" ht="12.75" hidden="false" customHeight="false" outlineLevel="0" collapsed="false">
      <c r="C198" s="207"/>
      <c r="D198" s="208"/>
      <c r="E198" s="208"/>
      <c r="F198" s="208"/>
      <c r="G198" s="208"/>
    </row>
    <row r="199" customFormat="false" ht="12.75" hidden="false" customHeight="false" outlineLevel="0" collapsed="false">
      <c r="C199" s="209"/>
      <c r="D199" s="210"/>
      <c r="E199" s="210"/>
      <c r="F199" s="210"/>
      <c r="G199" s="210"/>
    </row>
    <row r="200" customFormat="false" ht="12.75" hidden="false" customHeight="false" outlineLevel="0" collapsed="false">
      <c r="C200" s="207"/>
      <c r="D200" s="208"/>
      <c r="E200" s="208"/>
      <c r="F200" s="208"/>
      <c r="G200" s="208"/>
    </row>
    <row r="201" customFormat="false" ht="12.75" hidden="false" customHeight="false" outlineLevel="0" collapsed="false">
      <c r="C201" s="209"/>
      <c r="D201" s="210"/>
      <c r="E201" s="210"/>
      <c r="F201" s="210"/>
      <c r="G201" s="210"/>
    </row>
    <row r="202" customFormat="false" ht="12.75" hidden="false" customHeight="false" outlineLevel="0" collapsed="false">
      <c r="C202" s="207"/>
      <c r="D202" s="208"/>
      <c r="E202" s="208"/>
      <c r="F202" s="208"/>
      <c r="G202" s="208"/>
    </row>
    <row r="203" customFormat="false" ht="12.75" hidden="false" customHeight="false" outlineLevel="0" collapsed="false">
      <c r="C203" s="209"/>
      <c r="D203" s="210"/>
      <c r="E203" s="210"/>
      <c r="F203" s="210"/>
      <c r="G203" s="210"/>
    </row>
    <row r="204" customFormat="false" ht="12.75" hidden="false" customHeight="false" outlineLevel="0" collapsed="false">
      <c r="C204" s="207"/>
      <c r="D204" s="208"/>
      <c r="E204" s="208"/>
      <c r="F204" s="208"/>
      <c r="G204" s="208"/>
    </row>
    <row r="205" customFormat="false" ht="12.75" hidden="false" customHeight="false" outlineLevel="0" collapsed="false">
      <c r="C205" s="209"/>
      <c r="D205" s="210"/>
      <c r="E205" s="210"/>
      <c r="F205" s="210"/>
      <c r="G205" s="210"/>
    </row>
    <row r="206" customFormat="false" ht="12.75" hidden="false" customHeight="false" outlineLevel="0" collapsed="false">
      <c r="C206" s="207"/>
      <c r="D206" s="208"/>
      <c r="E206" s="208"/>
      <c r="F206" s="208"/>
      <c r="G206" s="208"/>
    </row>
    <row r="207" customFormat="false" ht="12.75" hidden="false" customHeight="false" outlineLevel="0" collapsed="false">
      <c r="C207" s="209"/>
      <c r="D207" s="210"/>
      <c r="E207" s="210"/>
      <c r="F207" s="210"/>
      <c r="G207" s="210"/>
    </row>
    <row r="208" customFormat="false" ht="12.75" hidden="false" customHeight="false" outlineLevel="0" collapsed="false">
      <c r="C208" s="207"/>
      <c r="D208" s="208"/>
      <c r="E208" s="208"/>
      <c r="F208" s="208"/>
      <c r="G208" s="208"/>
    </row>
    <row r="209" customFormat="false" ht="12.75" hidden="false" customHeight="false" outlineLevel="0" collapsed="false">
      <c r="C209" s="209"/>
      <c r="D209" s="210"/>
      <c r="E209" s="210"/>
      <c r="F209" s="210"/>
      <c r="G209" s="210"/>
    </row>
    <row r="210" customFormat="false" ht="12.75" hidden="false" customHeight="false" outlineLevel="0" collapsed="false">
      <c r="C210" s="207"/>
      <c r="D210" s="208"/>
      <c r="E210" s="208"/>
      <c r="F210" s="208"/>
      <c r="G210" s="208"/>
    </row>
    <row r="211" customFormat="false" ht="12.75" hidden="false" customHeight="false" outlineLevel="0" collapsed="false">
      <c r="C211" s="209"/>
      <c r="D211" s="210"/>
      <c r="E211" s="210"/>
      <c r="F211" s="210"/>
      <c r="G211" s="210"/>
    </row>
    <row r="212" customFormat="false" ht="12.75" hidden="false" customHeight="false" outlineLevel="0" collapsed="false">
      <c r="C212" s="207"/>
      <c r="D212" s="208"/>
      <c r="E212" s="208"/>
      <c r="F212" s="208"/>
      <c r="G212" s="208"/>
    </row>
    <row r="213" customFormat="false" ht="12.75" hidden="false" customHeight="false" outlineLevel="0" collapsed="false">
      <c r="C213" s="209"/>
      <c r="D213" s="210"/>
      <c r="E213" s="210"/>
      <c r="F213" s="210"/>
      <c r="G213" s="210"/>
    </row>
    <row r="214" customFormat="false" ht="12.75" hidden="false" customHeight="false" outlineLevel="0" collapsed="false">
      <c r="C214" s="207"/>
      <c r="D214" s="208"/>
      <c r="E214" s="208"/>
      <c r="F214" s="208"/>
      <c r="G214" s="208"/>
    </row>
    <row r="215" customFormat="false" ht="12.75" hidden="false" customHeight="false" outlineLevel="0" collapsed="false">
      <c r="C215" s="209"/>
      <c r="D215" s="210"/>
      <c r="E215" s="210"/>
      <c r="F215" s="210"/>
      <c r="G215" s="210"/>
    </row>
    <row r="216" customFormat="false" ht="12.75" hidden="false" customHeight="false" outlineLevel="0" collapsed="false">
      <c r="C216" s="207"/>
      <c r="D216" s="208"/>
      <c r="E216" s="208"/>
      <c r="F216" s="208"/>
      <c r="G216" s="208"/>
    </row>
    <row r="217" customFormat="false" ht="12.75" hidden="false" customHeight="false" outlineLevel="0" collapsed="false">
      <c r="C217" s="209"/>
      <c r="D217" s="210"/>
      <c r="E217" s="210"/>
      <c r="F217" s="210"/>
      <c r="G217" s="210"/>
    </row>
    <row r="218" customFormat="false" ht="12.75" hidden="false" customHeight="false" outlineLevel="0" collapsed="false">
      <c r="C218" s="207"/>
      <c r="D218" s="208"/>
      <c r="E218" s="208"/>
      <c r="F218" s="208"/>
      <c r="G218" s="208"/>
    </row>
    <row r="219" customFormat="false" ht="12.75" hidden="false" customHeight="false" outlineLevel="0" collapsed="false">
      <c r="C219" s="209"/>
      <c r="D219" s="210"/>
      <c r="E219" s="210"/>
      <c r="F219" s="210"/>
      <c r="G219" s="210"/>
    </row>
  </sheetData>
  <autoFilter ref="A5:N190"/>
  <mergeCells count="4">
    <mergeCell ref="C1:G1"/>
    <mergeCell ref="C2:G2"/>
    <mergeCell ref="C3:G3"/>
    <mergeCell ref="C4:G4"/>
  </mergeCells>
  <printOptions headings="false" gridLines="false" gridLinesSet="true" horizontalCentered="true" verticalCentered="false"/>
  <pageMargins left="0.708333333333333" right="0.708333333333333" top="0.747916666666667" bottom="0.747916666666667" header="0.511811023622047" footer="0.511811023622047"/>
  <pageSetup paperSize="1" scale="100" fitToWidth="1" fitToHeight="3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Z78"/>
  <sheetViews>
    <sheetView showFormulas="false" showGridLines="true" showRowColHeaders="true" showZeros="true" rightToLeft="false" tabSelected="false" showOutlineSymbols="true" defaultGridColor="true" view="normal" topLeftCell="A19" colorId="64" zoomScale="100" zoomScaleNormal="100" zoomScalePageLayoutView="100" workbookViewId="0">
      <selection pane="topLeft" activeCell="C4" activeCellId="0" sqref="C4"/>
    </sheetView>
  </sheetViews>
  <sheetFormatPr defaultColWidth="8.88671875" defaultRowHeight="12.75" customHeight="false" zeroHeight="false" outlineLevelRow="0" outlineLevelCol="0"/>
  <cols>
    <col collapsed="false" customWidth="true" hidden="false" outlineLevel="0" max="1" min="1" style="54" width="4.67"/>
    <col collapsed="false" customWidth="true" hidden="false" outlineLevel="0" max="2" min="2" style="54" width="3.22"/>
    <col collapsed="false" customWidth="false" hidden="false" outlineLevel="0" max="4" min="3" style="54" width="8.88"/>
    <col collapsed="false" customWidth="true" hidden="false" outlineLevel="0" max="5" min="5" style="54" width="9.44"/>
    <col collapsed="false" customWidth="true" hidden="false" outlineLevel="0" max="6" min="6" style="54" width="5.44"/>
    <col collapsed="false" customWidth="true" hidden="false" outlineLevel="0" max="7" min="7" style="54" width="6.56"/>
    <col collapsed="false" customWidth="true" hidden="false" outlineLevel="0" max="8" min="8" style="54" width="9.56"/>
    <col collapsed="false" customWidth="false" hidden="false" outlineLevel="0" max="9" min="9" style="54" width="8.88"/>
    <col collapsed="false" customWidth="true" hidden="false" outlineLevel="0" max="10" min="10" style="54" width="8"/>
    <col collapsed="false" customWidth="true" hidden="false" outlineLevel="0" max="11" min="11" style="54" width="5.44"/>
    <col collapsed="false" customWidth="false" hidden="false" outlineLevel="0" max="12" min="12" style="54" width="8.88"/>
    <col collapsed="false" customWidth="true" hidden="false" outlineLevel="0" max="13" min="13" style="54" width="5.44"/>
    <col collapsed="false" customWidth="true" hidden="false" outlineLevel="0" max="14" min="14" style="54" width="15"/>
    <col collapsed="false" customWidth="true" hidden="false" outlineLevel="0" max="15" min="15" style="54" width="23.11"/>
    <col collapsed="false" customWidth="true" hidden="false" outlineLevel="0" max="16" min="16" style="54" width="3.56"/>
    <col collapsed="false" customWidth="true" hidden="false" outlineLevel="0" max="17" min="17" style="54" width="4.11"/>
    <col collapsed="false" customWidth="true" hidden="false" outlineLevel="0" max="18" min="18" style="54" width="9.67"/>
    <col collapsed="false" customWidth="true" hidden="false" outlineLevel="0" max="19" min="19" style="54" width="13.44"/>
    <col collapsed="false" customWidth="true" hidden="false" outlineLevel="0" max="20" min="20" style="54" width="10.56"/>
    <col collapsed="false" customWidth="false" hidden="false" outlineLevel="0" max="21" min="21" style="54" width="8.88"/>
    <col collapsed="false" customWidth="true" hidden="false" outlineLevel="0" max="22" min="22" style="54" width="17"/>
    <col collapsed="false" customWidth="false" hidden="false" outlineLevel="0" max="23" min="23" style="54" width="8.88"/>
    <col collapsed="false" customWidth="true" hidden="false" outlineLevel="0" max="24" min="24" style="54" width="14.56"/>
    <col collapsed="false" customWidth="false" hidden="false" outlineLevel="0" max="25" min="25" style="54" width="8.88"/>
    <col collapsed="false" customWidth="true" hidden="false" outlineLevel="0" max="26" min="26" style="54" width="15.44"/>
    <col collapsed="false" customWidth="false" hidden="false" outlineLevel="0" max="257" min="27" style="54" width="8.88"/>
    <col collapsed="false" customWidth="true" hidden="false" outlineLevel="0" max="258" min="258" style="54" width="6.56"/>
    <col collapsed="false" customWidth="false" hidden="false" outlineLevel="0" max="260" min="259" style="54" width="8.88"/>
    <col collapsed="false" customWidth="true" hidden="false" outlineLevel="0" max="261" min="261" style="54" width="9.44"/>
    <col collapsed="false" customWidth="true" hidden="false" outlineLevel="0" max="262" min="262" style="54" width="5.44"/>
    <col collapsed="false" customWidth="true" hidden="false" outlineLevel="0" max="263" min="263" style="54" width="6.56"/>
    <col collapsed="false" customWidth="true" hidden="false" outlineLevel="0" max="264" min="264" style="54" width="9.56"/>
    <col collapsed="false" customWidth="false" hidden="false" outlineLevel="0" max="265" min="265" style="54" width="8.88"/>
    <col collapsed="false" customWidth="true" hidden="false" outlineLevel="0" max="266" min="266" style="54" width="8"/>
    <col collapsed="false" customWidth="true" hidden="false" outlineLevel="0" max="267" min="267" style="54" width="5.44"/>
    <col collapsed="false" customWidth="false" hidden="false" outlineLevel="0" max="268" min="268" style="54" width="8.88"/>
    <col collapsed="false" customWidth="true" hidden="false" outlineLevel="0" max="269" min="269" style="54" width="5.44"/>
    <col collapsed="false" customWidth="true" hidden="false" outlineLevel="0" max="270" min="270" style="54" width="15"/>
    <col collapsed="false" customWidth="true" hidden="false" outlineLevel="0" max="271" min="271" style="54" width="23.11"/>
    <col collapsed="false" customWidth="true" hidden="false" outlineLevel="0" max="272" min="272" style="54" width="5"/>
    <col collapsed="false" customWidth="false" hidden="false" outlineLevel="0" max="274" min="273" style="54" width="8.88"/>
    <col collapsed="false" customWidth="true" hidden="false" outlineLevel="0" max="275" min="275" style="54" width="13.44"/>
    <col collapsed="false" customWidth="true" hidden="false" outlineLevel="0" max="276" min="276" style="54" width="10.56"/>
    <col collapsed="false" customWidth="false" hidden="false" outlineLevel="0" max="277" min="277" style="54" width="8.88"/>
    <col collapsed="false" customWidth="true" hidden="false" outlineLevel="0" max="278" min="278" style="54" width="17"/>
    <col collapsed="false" customWidth="false" hidden="false" outlineLevel="0" max="279" min="279" style="54" width="8.88"/>
    <col collapsed="false" customWidth="true" hidden="false" outlineLevel="0" max="280" min="280" style="54" width="14.56"/>
    <col collapsed="false" customWidth="false" hidden="false" outlineLevel="0" max="281" min="281" style="54" width="8.88"/>
    <col collapsed="false" customWidth="true" hidden="false" outlineLevel="0" max="282" min="282" style="54" width="15.44"/>
    <col collapsed="false" customWidth="false" hidden="false" outlineLevel="0" max="513" min="283" style="54" width="8.88"/>
    <col collapsed="false" customWidth="true" hidden="false" outlineLevel="0" max="514" min="514" style="54" width="6.56"/>
    <col collapsed="false" customWidth="false" hidden="false" outlineLevel="0" max="516" min="515" style="54" width="8.88"/>
    <col collapsed="false" customWidth="true" hidden="false" outlineLevel="0" max="517" min="517" style="54" width="9.44"/>
    <col collapsed="false" customWidth="true" hidden="false" outlineLevel="0" max="518" min="518" style="54" width="5.44"/>
    <col collapsed="false" customWidth="true" hidden="false" outlineLevel="0" max="519" min="519" style="54" width="6.56"/>
    <col collapsed="false" customWidth="true" hidden="false" outlineLevel="0" max="520" min="520" style="54" width="9.56"/>
    <col collapsed="false" customWidth="false" hidden="false" outlineLevel="0" max="521" min="521" style="54" width="8.88"/>
    <col collapsed="false" customWidth="true" hidden="false" outlineLevel="0" max="522" min="522" style="54" width="8"/>
    <col collapsed="false" customWidth="true" hidden="false" outlineLevel="0" max="523" min="523" style="54" width="5.44"/>
    <col collapsed="false" customWidth="false" hidden="false" outlineLevel="0" max="524" min="524" style="54" width="8.88"/>
    <col collapsed="false" customWidth="true" hidden="false" outlineLevel="0" max="525" min="525" style="54" width="5.44"/>
    <col collapsed="false" customWidth="true" hidden="false" outlineLevel="0" max="526" min="526" style="54" width="15"/>
    <col collapsed="false" customWidth="true" hidden="false" outlineLevel="0" max="527" min="527" style="54" width="23.11"/>
    <col collapsed="false" customWidth="true" hidden="false" outlineLevel="0" max="528" min="528" style="54" width="5"/>
    <col collapsed="false" customWidth="false" hidden="false" outlineLevel="0" max="530" min="529" style="54" width="8.88"/>
    <col collapsed="false" customWidth="true" hidden="false" outlineLevel="0" max="531" min="531" style="54" width="13.44"/>
    <col collapsed="false" customWidth="true" hidden="false" outlineLevel="0" max="532" min="532" style="54" width="10.56"/>
    <col collapsed="false" customWidth="false" hidden="false" outlineLevel="0" max="533" min="533" style="54" width="8.88"/>
    <col collapsed="false" customWidth="true" hidden="false" outlineLevel="0" max="534" min="534" style="54" width="17"/>
    <col collapsed="false" customWidth="false" hidden="false" outlineLevel="0" max="535" min="535" style="54" width="8.88"/>
    <col collapsed="false" customWidth="true" hidden="false" outlineLevel="0" max="536" min="536" style="54" width="14.56"/>
    <col collapsed="false" customWidth="false" hidden="false" outlineLevel="0" max="537" min="537" style="54" width="8.88"/>
    <col collapsed="false" customWidth="true" hidden="false" outlineLevel="0" max="538" min="538" style="54" width="15.44"/>
    <col collapsed="false" customWidth="false" hidden="false" outlineLevel="0" max="769" min="539" style="54" width="8.88"/>
    <col collapsed="false" customWidth="true" hidden="false" outlineLevel="0" max="770" min="770" style="54" width="6.56"/>
    <col collapsed="false" customWidth="false" hidden="false" outlineLevel="0" max="772" min="771" style="54" width="8.88"/>
    <col collapsed="false" customWidth="true" hidden="false" outlineLevel="0" max="773" min="773" style="54" width="9.44"/>
    <col collapsed="false" customWidth="true" hidden="false" outlineLevel="0" max="774" min="774" style="54" width="5.44"/>
    <col collapsed="false" customWidth="true" hidden="false" outlineLevel="0" max="775" min="775" style="54" width="6.56"/>
    <col collapsed="false" customWidth="true" hidden="false" outlineLevel="0" max="776" min="776" style="54" width="9.56"/>
    <col collapsed="false" customWidth="false" hidden="false" outlineLevel="0" max="777" min="777" style="54" width="8.88"/>
    <col collapsed="false" customWidth="true" hidden="false" outlineLevel="0" max="778" min="778" style="54" width="8"/>
    <col collapsed="false" customWidth="true" hidden="false" outlineLevel="0" max="779" min="779" style="54" width="5.44"/>
    <col collapsed="false" customWidth="false" hidden="false" outlineLevel="0" max="780" min="780" style="54" width="8.88"/>
    <col collapsed="false" customWidth="true" hidden="false" outlineLevel="0" max="781" min="781" style="54" width="5.44"/>
    <col collapsed="false" customWidth="true" hidden="false" outlineLevel="0" max="782" min="782" style="54" width="15"/>
    <col collapsed="false" customWidth="true" hidden="false" outlineLevel="0" max="783" min="783" style="54" width="23.11"/>
    <col collapsed="false" customWidth="true" hidden="false" outlineLevel="0" max="784" min="784" style="54" width="5"/>
    <col collapsed="false" customWidth="false" hidden="false" outlineLevel="0" max="786" min="785" style="54" width="8.88"/>
    <col collapsed="false" customWidth="true" hidden="false" outlineLevel="0" max="787" min="787" style="54" width="13.44"/>
    <col collapsed="false" customWidth="true" hidden="false" outlineLevel="0" max="788" min="788" style="54" width="10.56"/>
    <col collapsed="false" customWidth="false" hidden="false" outlineLevel="0" max="789" min="789" style="54" width="8.88"/>
    <col collapsed="false" customWidth="true" hidden="false" outlineLevel="0" max="790" min="790" style="54" width="17"/>
    <col collapsed="false" customWidth="false" hidden="false" outlineLevel="0" max="791" min="791" style="54" width="8.88"/>
    <col collapsed="false" customWidth="true" hidden="false" outlineLevel="0" max="792" min="792" style="54" width="14.56"/>
    <col collapsed="false" customWidth="false" hidden="false" outlineLevel="0" max="793" min="793" style="54" width="8.88"/>
    <col collapsed="false" customWidth="true" hidden="false" outlineLevel="0" max="794" min="794" style="54" width="15.44"/>
    <col collapsed="false" customWidth="false" hidden="false" outlineLevel="0" max="1025" min="795" style="54" width="8.88"/>
    <col collapsed="false" customWidth="true" hidden="false" outlineLevel="0" max="1026" min="1026" style="54" width="6.56"/>
    <col collapsed="false" customWidth="false" hidden="false" outlineLevel="0" max="1028" min="1027" style="54" width="8.88"/>
    <col collapsed="false" customWidth="true" hidden="false" outlineLevel="0" max="1029" min="1029" style="54" width="9.44"/>
    <col collapsed="false" customWidth="true" hidden="false" outlineLevel="0" max="1030" min="1030" style="54" width="5.44"/>
    <col collapsed="false" customWidth="true" hidden="false" outlineLevel="0" max="1031" min="1031" style="54" width="6.56"/>
    <col collapsed="false" customWidth="true" hidden="false" outlineLevel="0" max="1032" min="1032" style="54" width="9.56"/>
    <col collapsed="false" customWidth="false" hidden="false" outlineLevel="0" max="1033" min="1033" style="54" width="8.88"/>
    <col collapsed="false" customWidth="true" hidden="false" outlineLevel="0" max="1034" min="1034" style="54" width="8"/>
    <col collapsed="false" customWidth="true" hidden="false" outlineLevel="0" max="1035" min="1035" style="54" width="5.44"/>
    <col collapsed="false" customWidth="false" hidden="false" outlineLevel="0" max="1036" min="1036" style="54" width="8.88"/>
    <col collapsed="false" customWidth="true" hidden="false" outlineLevel="0" max="1037" min="1037" style="54" width="5.44"/>
    <col collapsed="false" customWidth="true" hidden="false" outlineLevel="0" max="1038" min="1038" style="54" width="15"/>
    <col collapsed="false" customWidth="true" hidden="false" outlineLevel="0" max="1039" min="1039" style="54" width="23.11"/>
    <col collapsed="false" customWidth="true" hidden="false" outlineLevel="0" max="1040" min="1040" style="54" width="5"/>
    <col collapsed="false" customWidth="false" hidden="false" outlineLevel="0" max="1042" min="1041" style="54" width="8.88"/>
    <col collapsed="false" customWidth="true" hidden="false" outlineLevel="0" max="1043" min="1043" style="54" width="13.44"/>
    <col collapsed="false" customWidth="true" hidden="false" outlineLevel="0" max="1044" min="1044" style="54" width="10.56"/>
    <col collapsed="false" customWidth="false" hidden="false" outlineLevel="0" max="1045" min="1045" style="54" width="8.88"/>
    <col collapsed="false" customWidth="true" hidden="false" outlineLevel="0" max="1046" min="1046" style="54" width="17"/>
    <col collapsed="false" customWidth="false" hidden="false" outlineLevel="0" max="1047" min="1047" style="54" width="8.88"/>
    <col collapsed="false" customWidth="true" hidden="false" outlineLevel="0" max="1048" min="1048" style="54" width="14.56"/>
    <col collapsed="false" customWidth="false" hidden="false" outlineLevel="0" max="1049" min="1049" style="54" width="8.88"/>
    <col collapsed="false" customWidth="true" hidden="false" outlineLevel="0" max="1050" min="1050" style="54" width="15.44"/>
    <col collapsed="false" customWidth="false" hidden="false" outlineLevel="0" max="1281" min="1051" style="54" width="8.88"/>
    <col collapsed="false" customWidth="true" hidden="false" outlineLevel="0" max="1282" min="1282" style="54" width="6.56"/>
    <col collapsed="false" customWidth="false" hidden="false" outlineLevel="0" max="1284" min="1283" style="54" width="8.88"/>
    <col collapsed="false" customWidth="true" hidden="false" outlineLevel="0" max="1285" min="1285" style="54" width="9.44"/>
    <col collapsed="false" customWidth="true" hidden="false" outlineLevel="0" max="1286" min="1286" style="54" width="5.44"/>
    <col collapsed="false" customWidth="true" hidden="false" outlineLevel="0" max="1287" min="1287" style="54" width="6.56"/>
    <col collapsed="false" customWidth="true" hidden="false" outlineLevel="0" max="1288" min="1288" style="54" width="9.56"/>
    <col collapsed="false" customWidth="false" hidden="false" outlineLevel="0" max="1289" min="1289" style="54" width="8.88"/>
    <col collapsed="false" customWidth="true" hidden="false" outlineLevel="0" max="1290" min="1290" style="54" width="8"/>
    <col collapsed="false" customWidth="true" hidden="false" outlineLevel="0" max="1291" min="1291" style="54" width="5.44"/>
    <col collapsed="false" customWidth="false" hidden="false" outlineLevel="0" max="1292" min="1292" style="54" width="8.88"/>
    <col collapsed="false" customWidth="true" hidden="false" outlineLevel="0" max="1293" min="1293" style="54" width="5.44"/>
    <col collapsed="false" customWidth="true" hidden="false" outlineLevel="0" max="1294" min="1294" style="54" width="15"/>
    <col collapsed="false" customWidth="true" hidden="false" outlineLevel="0" max="1295" min="1295" style="54" width="23.11"/>
    <col collapsed="false" customWidth="true" hidden="false" outlineLevel="0" max="1296" min="1296" style="54" width="5"/>
    <col collapsed="false" customWidth="false" hidden="false" outlineLevel="0" max="1298" min="1297" style="54" width="8.88"/>
    <col collapsed="false" customWidth="true" hidden="false" outlineLevel="0" max="1299" min="1299" style="54" width="13.44"/>
    <col collapsed="false" customWidth="true" hidden="false" outlineLevel="0" max="1300" min="1300" style="54" width="10.56"/>
    <col collapsed="false" customWidth="false" hidden="false" outlineLevel="0" max="1301" min="1301" style="54" width="8.88"/>
    <col collapsed="false" customWidth="true" hidden="false" outlineLevel="0" max="1302" min="1302" style="54" width="17"/>
    <col collapsed="false" customWidth="false" hidden="false" outlineLevel="0" max="1303" min="1303" style="54" width="8.88"/>
    <col collapsed="false" customWidth="true" hidden="false" outlineLevel="0" max="1304" min="1304" style="54" width="14.56"/>
    <col collapsed="false" customWidth="false" hidden="false" outlineLevel="0" max="1305" min="1305" style="54" width="8.88"/>
    <col collapsed="false" customWidth="true" hidden="false" outlineLevel="0" max="1306" min="1306" style="54" width="15.44"/>
    <col collapsed="false" customWidth="false" hidden="false" outlineLevel="0" max="1537" min="1307" style="54" width="8.88"/>
    <col collapsed="false" customWidth="true" hidden="false" outlineLevel="0" max="1538" min="1538" style="54" width="6.56"/>
    <col collapsed="false" customWidth="false" hidden="false" outlineLevel="0" max="1540" min="1539" style="54" width="8.88"/>
    <col collapsed="false" customWidth="true" hidden="false" outlineLevel="0" max="1541" min="1541" style="54" width="9.44"/>
    <col collapsed="false" customWidth="true" hidden="false" outlineLevel="0" max="1542" min="1542" style="54" width="5.44"/>
    <col collapsed="false" customWidth="true" hidden="false" outlineLevel="0" max="1543" min="1543" style="54" width="6.56"/>
    <col collapsed="false" customWidth="true" hidden="false" outlineLevel="0" max="1544" min="1544" style="54" width="9.56"/>
    <col collapsed="false" customWidth="false" hidden="false" outlineLevel="0" max="1545" min="1545" style="54" width="8.88"/>
    <col collapsed="false" customWidth="true" hidden="false" outlineLevel="0" max="1546" min="1546" style="54" width="8"/>
    <col collapsed="false" customWidth="true" hidden="false" outlineLevel="0" max="1547" min="1547" style="54" width="5.44"/>
    <col collapsed="false" customWidth="false" hidden="false" outlineLevel="0" max="1548" min="1548" style="54" width="8.88"/>
    <col collapsed="false" customWidth="true" hidden="false" outlineLevel="0" max="1549" min="1549" style="54" width="5.44"/>
    <col collapsed="false" customWidth="true" hidden="false" outlineLevel="0" max="1550" min="1550" style="54" width="15"/>
    <col collapsed="false" customWidth="true" hidden="false" outlineLevel="0" max="1551" min="1551" style="54" width="23.11"/>
    <col collapsed="false" customWidth="true" hidden="false" outlineLevel="0" max="1552" min="1552" style="54" width="5"/>
    <col collapsed="false" customWidth="false" hidden="false" outlineLevel="0" max="1554" min="1553" style="54" width="8.88"/>
    <col collapsed="false" customWidth="true" hidden="false" outlineLevel="0" max="1555" min="1555" style="54" width="13.44"/>
    <col collapsed="false" customWidth="true" hidden="false" outlineLevel="0" max="1556" min="1556" style="54" width="10.56"/>
    <col collapsed="false" customWidth="false" hidden="false" outlineLevel="0" max="1557" min="1557" style="54" width="8.88"/>
    <col collapsed="false" customWidth="true" hidden="false" outlineLevel="0" max="1558" min="1558" style="54" width="17"/>
    <col collapsed="false" customWidth="false" hidden="false" outlineLevel="0" max="1559" min="1559" style="54" width="8.88"/>
    <col collapsed="false" customWidth="true" hidden="false" outlineLevel="0" max="1560" min="1560" style="54" width="14.56"/>
    <col collapsed="false" customWidth="false" hidden="false" outlineLevel="0" max="1561" min="1561" style="54" width="8.88"/>
    <col collapsed="false" customWidth="true" hidden="false" outlineLevel="0" max="1562" min="1562" style="54" width="15.44"/>
    <col collapsed="false" customWidth="false" hidden="false" outlineLevel="0" max="1793" min="1563" style="54" width="8.88"/>
    <col collapsed="false" customWidth="true" hidden="false" outlineLevel="0" max="1794" min="1794" style="54" width="6.56"/>
    <col collapsed="false" customWidth="false" hidden="false" outlineLevel="0" max="1796" min="1795" style="54" width="8.88"/>
    <col collapsed="false" customWidth="true" hidden="false" outlineLevel="0" max="1797" min="1797" style="54" width="9.44"/>
    <col collapsed="false" customWidth="true" hidden="false" outlineLevel="0" max="1798" min="1798" style="54" width="5.44"/>
    <col collapsed="false" customWidth="true" hidden="false" outlineLevel="0" max="1799" min="1799" style="54" width="6.56"/>
    <col collapsed="false" customWidth="true" hidden="false" outlineLevel="0" max="1800" min="1800" style="54" width="9.56"/>
    <col collapsed="false" customWidth="false" hidden="false" outlineLevel="0" max="1801" min="1801" style="54" width="8.88"/>
    <col collapsed="false" customWidth="true" hidden="false" outlineLevel="0" max="1802" min="1802" style="54" width="8"/>
    <col collapsed="false" customWidth="true" hidden="false" outlineLevel="0" max="1803" min="1803" style="54" width="5.44"/>
    <col collapsed="false" customWidth="false" hidden="false" outlineLevel="0" max="1804" min="1804" style="54" width="8.88"/>
    <col collapsed="false" customWidth="true" hidden="false" outlineLevel="0" max="1805" min="1805" style="54" width="5.44"/>
    <col collapsed="false" customWidth="true" hidden="false" outlineLevel="0" max="1806" min="1806" style="54" width="15"/>
    <col collapsed="false" customWidth="true" hidden="false" outlineLevel="0" max="1807" min="1807" style="54" width="23.11"/>
    <col collapsed="false" customWidth="true" hidden="false" outlineLevel="0" max="1808" min="1808" style="54" width="5"/>
    <col collapsed="false" customWidth="false" hidden="false" outlineLevel="0" max="1810" min="1809" style="54" width="8.88"/>
    <col collapsed="false" customWidth="true" hidden="false" outlineLevel="0" max="1811" min="1811" style="54" width="13.44"/>
    <col collapsed="false" customWidth="true" hidden="false" outlineLevel="0" max="1812" min="1812" style="54" width="10.56"/>
    <col collapsed="false" customWidth="false" hidden="false" outlineLevel="0" max="1813" min="1813" style="54" width="8.88"/>
    <col collapsed="false" customWidth="true" hidden="false" outlineLevel="0" max="1814" min="1814" style="54" width="17"/>
    <col collapsed="false" customWidth="false" hidden="false" outlineLevel="0" max="1815" min="1815" style="54" width="8.88"/>
    <col collapsed="false" customWidth="true" hidden="false" outlineLevel="0" max="1816" min="1816" style="54" width="14.56"/>
    <col collapsed="false" customWidth="false" hidden="false" outlineLevel="0" max="1817" min="1817" style="54" width="8.88"/>
    <col collapsed="false" customWidth="true" hidden="false" outlineLevel="0" max="1818" min="1818" style="54" width="15.44"/>
    <col collapsed="false" customWidth="false" hidden="false" outlineLevel="0" max="2049" min="1819" style="54" width="8.88"/>
    <col collapsed="false" customWidth="true" hidden="false" outlineLevel="0" max="2050" min="2050" style="54" width="6.56"/>
    <col collapsed="false" customWidth="false" hidden="false" outlineLevel="0" max="2052" min="2051" style="54" width="8.88"/>
    <col collapsed="false" customWidth="true" hidden="false" outlineLevel="0" max="2053" min="2053" style="54" width="9.44"/>
    <col collapsed="false" customWidth="true" hidden="false" outlineLevel="0" max="2054" min="2054" style="54" width="5.44"/>
    <col collapsed="false" customWidth="true" hidden="false" outlineLevel="0" max="2055" min="2055" style="54" width="6.56"/>
    <col collapsed="false" customWidth="true" hidden="false" outlineLevel="0" max="2056" min="2056" style="54" width="9.56"/>
    <col collapsed="false" customWidth="false" hidden="false" outlineLevel="0" max="2057" min="2057" style="54" width="8.88"/>
    <col collapsed="false" customWidth="true" hidden="false" outlineLevel="0" max="2058" min="2058" style="54" width="8"/>
    <col collapsed="false" customWidth="true" hidden="false" outlineLevel="0" max="2059" min="2059" style="54" width="5.44"/>
    <col collapsed="false" customWidth="false" hidden="false" outlineLevel="0" max="2060" min="2060" style="54" width="8.88"/>
    <col collapsed="false" customWidth="true" hidden="false" outlineLevel="0" max="2061" min="2061" style="54" width="5.44"/>
    <col collapsed="false" customWidth="true" hidden="false" outlineLevel="0" max="2062" min="2062" style="54" width="15"/>
    <col collapsed="false" customWidth="true" hidden="false" outlineLevel="0" max="2063" min="2063" style="54" width="23.11"/>
    <col collapsed="false" customWidth="true" hidden="false" outlineLevel="0" max="2064" min="2064" style="54" width="5"/>
    <col collapsed="false" customWidth="false" hidden="false" outlineLevel="0" max="2066" min="2065" style="54" width="8.88"/>
    <col collapsed="false" customWidth="true" hidden="false" outlineLevel="0" max="2067" min="2067" style="54" width="13.44"/>
    <col collapsed="false" customWidth="true" hidden="false" outlineLevel="0" max="2068" min="2068" style="54" width="10.56"/>
    <col collapsed="false" customWidth="false" hidden="false" outlineLevel="0" max="2069" min="2069" style="54" width="8.88"/>
    <col collapsed="false" customWidth="true" hidden="false" outlineLevel="0" max="2070" min="2070" style="54" width="17"/>
    <col collapsed="false" customWidth="false" hidden="false" outlineLevel="0" max="2071" min="2071" style="54" width="8.88"/>
    <col collapsed="false" customWidth="true" hidden="false" outlineLevel="0" max="2072" min="2072" style="54" width="14.56"/>
    <col collapsed="false" customWidth="false" hidden="false" outlineLevel="0" max="2073" min="2073" style="54" width="8.88"/>
    <col collapsed="false" customWidth="true" hidden="false" outlineLevel="0" max="2074" min="2074" style="54" width="15.44"/>
    <col collapsed="false" customWidth="false" hidden="false" outlineLevel="0" max="2305" min="2075" style="54" width="8.88"/>
    <col collapsed="false" customWidth="true" hidden="false" outlineLevel="0" max="2306" min="2306" style="54" width="6.56"/>
    <col collapsed="false" customWidth="false" hidden="false" outlineLevel="0" max="2308" min="2307" style="54" width="8.88"/>
    <col collapsed="false" customWidth="true" hidden="false" outlineLevel="0" max="2309" min="2309" style="54" width="9.44"/>
    <col collapsed="false" customWidth="true" hidden="false" outlineLevel="0" max="2310" min="2310" style="54" width="5.44"/>
    <col collapsed="false" customWidth="true" hidden="false" outlineLevel="0" max="2311" min="2311" style="54" width="6.56"/>
    <col collapsed="false" customWidth="true" hidden="false" outlineLevel="0" max="2312" min="2312" style="54" width="9.56"/>
    <col collapsed="false" customWidth="false" hidden="false" outlineLevel="0" max="2313" min="2313" style="54" width="8.88"/>
    <col collapsed="false" customWidth="true" hidden="false" outlineLevel="0" max="2314" min="2314" style="54" width="8"/>
    <col collapsed="false" customWidth="true" hidden="false" outlineLevel="0" max="2315" min="2315" style="54" width="5.44"/>
    <col collapsed="false" customWidth="false" hidden="false" outlineLevel="0" max="2316" min="2316" style="54" width="8.88"/>
    <col collapsed="false" customWidth="true" hidden="false" outlineLevel="0" max="2317" min="2317" style="54" width="5.44"/>
    <col collapsed="false" customWidth="true" hidden="false" outlineLevel="0" max="2318" min="2318" style="54" width="15"/>
    <col collapsed="false" customWidth="true" hidden="false" outlineLevel="0" max="2319" min="2319" style="54" width="23.11"/>
    <col collapsed="false" customWidth="true" hidden="false" outlineLevel="0" max="2320" min="2320" style="54" width="5"/>
    <col collapsed="false" customWidth="false" hidden="false" outlineLevel="0" max="2322" min="2321" style="54" width="8.88"/>
    <col collapsed="false" customWidth="true" hidden="false" outlineLevel="0" max="2323" min="2323" style="54" width="13.44"/>
    <col collapsed="false" customWidth="true" hidden="false" outlineLevel="0" max="2324" min="2324" style="54" width="10.56"/>
    <col collapsed="false" customWidth="false" hidden="false" outlineLevel="0" max="2325" min="2325" style="54" width="8.88"/>
    <col collapsed="false" customWidth="true" hidden="false" outlineLevel="0" max="2326" min="2326" style="54" width="17"/>
    <col collapsed="false" customWidth="false" hidden="false" outlineLevel="0" max="2327" min="2327" style="54" width="8.88"/>
    <col collapsed="false" customWidth="true" hidden="false" outlineLevel="0" max="2328" min="2328" style="54" width="14.56"/>
    <col collapsed="false" customWidth="false" hidden="false" outlineLevel="0" max="2329" min="2329" style="54" width="8.88"/>
    <col collapsed="false" customWidth="true" hidden="false" outlineLevel="0" max="2330" min="2330" style="54" width="15.44"/>
    <col collapsed="false" customWidth="false" hidden="false" outlineLevel="0" max="2561" min="2331" style="54" width="8.88"/>
    <col collapsed="false" customWidth="true" hidden="false" outlineLevel="0" max="2562" min="2562" style="54" width="6.56"/>
    <col collapsed="false" customWidth="false" hidden="false" outlineLevel="0" max="2564" min="2563" style="54" width="8.88"/>
    <col collapsed="false" customWidth="true" hidden="false" outlineLevel="0" max="2565" min="2565" style="54" width="9.44"/>
    <col collapsed="false" customWidth="true" hidden="false" outlineLevel="0" max="2566" min="2566" style="54" width="5.44"/>
    <col collapsed="false" customWidth="true" hidden="false" outlineLevel="0" max="2567" min="2567" style="54" width="6.56"/>
    <col collapsed="false" customWidth="true" hidden="false" outlineLevel="0" max="2568" min="2568" style="54" width="9.56"/>
    <col collapsed="false" customWidth="false" hidden="false" outlineLevel="0" max="2569" min="2569" style="54" width="8.88"/>
    <col collapsed="false" customWidth="true" hidden="false" outlineLevel="0" max="2570" min="2570" style="54" width="8"/>
    <col collapsed="false" customWidth="true" hidden="false" outlineLevel="0" max="2571" min="2571" style="54" width="5.44"/>
    <col collapsed="false" customWidth="false" hidden="false" outlineLevel="0" max="2572" min="2572" style="54" width="8.88"/>
    <col collapsed="false" customWidth="true" hidden="false" outlineLevel="0" max="2573" min="2573" style="54" width="5.44"/>
    <col collapsed="false" customWidth="true" hidden="false" outlineLevel="0" max="2574" min="2574" style="54" width="15"/>
    <col collapsed="false" customWidth="true" hidden="false" outlineLevel="0" max="2575" min="2575" style="54" width="23.11"/>
    <col collapsed="false" customWidth="true" hidden="false" outlineLevel="0" max="2576" min="2576" style="54" width="5"/>
    <col collapsed="false" customWidth="false" hidden="false" outlineLevel="0" max="2578" min="2577" style="54" width="8.88"/>
    <col collapsed="false" customWidth="true" hidden="false" outlineLevel="0" max="2579" min="2579" style="54" width="13.44"/>
    <col collapsed="false" customWidth="true" hidden="false" outlineLevel="0" max="2580" min="2580" style="54" width="10.56"/>
    <col collapsed="false" customWidth="false" hidden="false" outlineLevel="0" max="2581" min="2581" style="54" width="8.88"/>
    <col collapsed="false" customWidth="true" hidden="false" outlineLevel="0" max="2582" min="2582" style="54" width="17"/>
    <col collapsed="false" customWidth="false" hidden="false" outlineLevel="0" max="2583" min="2583" style="54" width="8.88"/>
    <col collapsed="false" customWidth="true" hidden="false" outlineLevel="0" max="2584" min="2584" style="54" width="14.56"/>
    <col collapsed="false" customWidth="false" hidden="false" outlineLevel="0" max="2585" min="2585" style="54" width="8.88"/>
    <col collapsed="false" customWidth="true" hidden="false" outlineLevel="0" max="2586" min="2586" style="54" width="15.44"/>
    <col collapsed="false" customWidth="false" hidden="false" outlineLevel="0" max="2817" min="2587" style="54" width="8.88"/>
    <col collapsed="false" customWidth="true" hidden="false" outlineLevel="0" max="2818" min="2818" style="54" width="6.56"/>
    <col collapsed="false" customWidth="false" hidden="false" outlineLevel="0" max="2820" min="2819" style="54" width="8.88"/>
    <col collapsed="false" customWidth="true" hidden="false" outlineLevel="0" max="2821" min="2821" style="54" width="9.44"/>
    <col collapsed="false" customWidth="true" hidden="false" outlineLevel="0" max="2822" min="2822" style="54" width="5.44"/>
    <col collapsed="false" customWidth="true" hidden="false" outlineLevel="0" max="2823" min="2823" style="54" width="6.56"/>
    <col collapsed="false" customWidth="true" hidden="false" outlineLevel="0" max="2824" min="2824" style="54" width="9.56"/>
    <col collapsed="false" customWidth="false" hidden="false" outlineLevel="0" max="2825" min="2825" style="54" width="8.88"/>
    <col collapsed="false" customWidth="true" hidden="false" outlineLevel="0" max="2826" min="2826" style="54" width="8"/>
    <col collapsed="false" customWidth="true" hidden="false" outlineLevel="0" max="2827" min="2827" style="54" width="5.44"/>
    <col collapsed="false" customWidth="false" hidden="false" outlineLevel="0" max="2828" min="2828" style="54" width="8.88"/>
    <col collapsed="false" customWidth="true" hidden="false" outlineLevel="0" max="2829" min="2829" style="54" width="5.44"/>
    <col collapsed="false" customWidth="true" hidden="false" outlineLevel="0" max="2830" min="2830" style="54" width="15"/>
    <col collapsed="false" customWidth="true" hidden="false" outlineLevel="0" max="2831" min="2831" style="54" width="23.11"/>
    <col collapsed="false" customWidth="true" hidden="false" outlineLevel="0" max="2832" min="2832" style="54" width="5"/>
    <col collapsed="false" customWidth="false" hidden="false" outlineLevel="0" max="2834" min="2833" style="54" width="8.88"/>
    <col collapsed="false" customWidth="true" hidden="false" outlineLevel="0" max="2835" min="2835" style="54" width="13.44"/>
    <col collapsed="false" customWidth="true" hidden="false" outlineLevel="0" max="2836" min="2836" style="54" width="10.56"/>
    <col collapsed="false" customWidth="false" hidden="false" outlineLevel="0" max="2837" min="2837" style="54" width="8.88"/>
    <col collapsed="false" customWidth="true" hidden="false" outlineLevel="0" max="2838" min="2838" style="54" width="17"/>
    <col collapsed="false" customWidth="false" hidden="false" outlineLevel="0" max="2839" min="2839" style="54" width="8.88"/>
    <col collapsed="false" customWidth="true" hidden="false" outlineLevel="0" max="2840" min="2840" style="54" width="14.56"/>
    <col collapsed="false" customWidth="false" hidden="false" outlineLevel="0" max="2841" min="2841" style="54" width="8.88"/>
    <col collapsed="false" customWidth="true" hidden="false" outlineLevel="0" max="2842" min="2842" style="54" width="15.44"/>
    <col collapsed="false" customWidth="false" hidden="false" outlineLevel="0" max="3073" min="2843" style="54" width="8.88"/>
    <col collapsed="false" customWidth="true" hidden="false" outlineLevel="0" max="3074" min="3074" style="54" width="6.56"/>
    <col collapsed="false" customWidth="false" hidden="false" outlineLevel="0" max="3076" min="3075" style="54" width="8.88"/>
    <col collapsed="false" customWidth="true" hidden="false" outlineLevel="0" max="3077" min="3077" style="54" width="9.44"/>
    <col collapsed="false" customWidth="true" hidden="false" outlineLevel="0" max="3078" min="3078" style="54" width="5.44"/>
    <col collapsed="false" customWidth="true" hidden="false" outlineLevel="0" max="3079" min="3079" style="54" width="6.56"/>
    <col collapsed="false" customWidth="true" hidden="false" outlineLevel="0" max="3080" min="3080" style="54" width="9.56"/>
    <col collapsed="false" customWidth="false" hidden="false" outlineLevel="0" max="3081" min="3081" style="54" width="8.88"/>
    <col collapsed="false" customWidth="true" hidden="false" outlineLevel="0" max="3082" min="3082" style="54" width="8"/>
    <col collapsed="false" customWidth="true" hidden="false" outlineLevel="0" max="3083" min="3083" style="54" width="5.44"/>
    <col collapsed="false" customWidth="false" hidden="false" outlineLevel="0" max="3084" min="3084" style="54" width="8.88"/>
    <col collapsed="false" customWidth="true" hidden="false" outlineLevel="0" max="3085" min="3085" style="54" width="5.44"/>
    <col collapsed="false" customWidth="true" hidden="false" outlineLevel="0" max="3086" min="3086" style="54" width="15"/>
    <col collapsed="false" customWidth="true" hidden="false" outlineLevel="0" max="3087" min="3087" style="54" width="23.11"/>
    <col collapsed="false" customWidth="true" hidden="false" outlineLevel="0" max="3088" min="3088" style="54" width="5"/>
    <col collapsed="false" customWidth="false" hidden="false" outlineLevel="0" max="3090" min="3089" style="54" width="8.88"/>
    <col collapsed="false" customWidth="true" hidden="false" outlineLevel="0" max="3091" min="3091" style="54" width="13.44"/>
    <col collapsed="false" customWidth="true" hidden="false" outlineLevel="0" max="3092" min="3092" style="54" width="10.56"/>
    <col collapsed="false" customWidth="false" hidden="false" outlineLevel="0" max="3093" min="3093" style="54" width="8.88"/>
    <col collapsed="false" customWidth="true" hidden="false" outlineLevel="0" max="3094" min="3094" style="54" width="17"/>
    <col collapsed="false" customWidth="false" hidden="false" outlineLevel="0" max="3095" min="3095" style="54" width="8.88"/>
    <col collapsed="false" customWidth="true" hidden="false" outlineLevel="0" max="3096" min="3096" style="54" width="14.56"/>
    <col collapsed="false" customWidth="false" hidden="false" outlineLevel="0" max="3097" min="3097" style="54" width="8.88"/>
    <col collapsed="false" customWidth="true" hidden="false" outlineLevel="0" max="3098" min="3098" style="54" width="15.44"/>
    <col collapsed="false" customWidth="false" hidden="false" outlineLevel="0" max="3329" min="3099" style="54" width="8.88"/>
    <col collapsed="false" customWidth="true" hidden="false" outlineLevel="0" max="3330" min="3330" style="54" width="6.56"/>
    <col collapsed="false" customWidth="false" hidden="false" outlineLevel="0" max="3332" min="3331" style="54" width="8.88"/>
    <col collapsed="false" customWidth="true" hidden="false" outlineLevel="0" max="3333" min="3333" style="54" width="9.44"/>
    <col collapsed="false" customWidth="true" hidden="false" outlineLevel="0" max="3334" min="3334" style="54" width="5.44"/>
    <col collapsed="false" customWidth="true" hidden="false" outlineLevel="0" max="3335" min="3335" style="54" width="6.56"/>
    <col collapsed="false" customWidth="true" hidden="false" outlineLevel="0" max="3336" min="3336" style="54" width="9.56"/>
    <col collapsed="false" customWidth="false" hidden="false" outlineLevel="0" max="3337" min="3337" style="54" width="8.88"/>
    <col collapsed="false" customWidth="true" hidden="false" outlineLevel="0" max="3338" min="3338" style="54" width="8"/>
    <col collapsed="false" customWidth="true" hidden="false" outlineLevel="0" max="3339" min="3339" style="54" width="5.44"/>
    <col collapsed="false" customWidth="false" hidden="false" outlineLevel="0" max="3340" min="3340" style="54" width="8.88"/>
    <col collapsed="false" customWidth="true" hidden="false" outlineLevel="0" max="3341" min="3341" style="54" width="5.44"/>
    <col collapsed="false" customWidth="true" hidden="false" outlineLevel="0" max="3342" min="3342" style="54" width="15"/>
    <col collapsed="false" customWidth="true" hidden="false" outlineLevel="0" max="3343" min="3343" style="54" width="23.11"/>
    <col collapsed="false" customWidth="true" hidden="false" outlineLevel="0" max="3344" min="3344" style="54" width="5"/>
    <col collapsed="false" customWidth="false" hidden="false" outlineLevel="0" max="3346" min="3345" style="54" width="8.88"/>
    <col collapsed="false" customWidth="true" hidden="false" outlineLevel="0" max="3347" min="3347" style="54" width="13.44"/>
    <col collapsed="false" customWidth="true" hidden="false" outlineLevel="0" max="3348" min="3348" style="54" width="10.56"/>
    <col collapsed="false" customWidth="false" hidden="false" outlineLevel="0" max="3349" min="3349" style="54" width="8.88"/>
    <col collapsed="false" customWidth="true" hidden="false" outlineLevel="0" max="3350" min="3350" style="54" width="17"/>
    <col collapsed="false" customWidth="false" hidden="false" outlineLevel="0" max="3351" min="3351" style="54" width="8.88"/>
    <col collapsed="false" customWidth="true" hidden="false" outlineLevel="0" max="3352" min="3352" style="54" width="14.56"/>
    <col collapsed="false" customWidth="false" hidden="false" outlineLevel="0" max="3353" min="3353" style="54" width="8.88"/>
    <col collapsed="false" customWidth="true" hidden="false" outlineLevel="0" max="3354" min="3354" style="54" width="15.44"/>
    <col collapsed="false" customWidth="false" hidden="false" outlineLevel="0" max="3585" min="3355" style="54" width="8.88"/>
    <col collapsed="false" customWidth="true" hidden="false" outlineLevel="0" max="3586" min="3586" style="54" width="6.56"/>
    <col collapsed="false" customWidth="false" hidden="false" outlineLevel="0" max="3588" min="3587" style="54" width="8.88"/>
    <col collapsed="false" customWidth="true" hidden="false" outlineLevel="0" max="3589" min="3589" style="54" width="9.44"/>
    <col collapsed="false" customWidth="true" hidden="false" outlineLevel="0" max="3590" min="3590" style="54" width="5.44"/>
    <col collapsed="false" customWidth="true" hidden="false" outlineLevel="0" max="3591" min="3591" style="54" width="6.56"/>
    <col collapsed="false" customWidth="true" hidden="false" outlineLevel="0" max="3592" min="3592" style="54" width="9.56"/>
    <col collapsed="false" customWidth="false" hidden="false" outlineLevel="0" max="3593" min="3593" style="54" width="8.88"/>
    <col collapsed="false" customWidth="true" hidden="false" outlineLevel="0" max="3594" min="3594" style="54" width="8"/>
    <col collapsed="false" customWidth="true" hidden="false" outlineLevel="0" max="3595" min="3595" style="54" width="5.44"/>
    <col collapsed="false" customWidth="false" hidden="false" outlineLevel="0" max="3596" min="3596" style="54" width="8.88"/>
    <col collapsed="false" customWidth="true" hidden="false" outlineLevel="0" max="3597" min="3597" style="54" width="5.44"/>
    <col collapsed="false" customWidth="true" hidden="false" outlineLevel="0" max="3598" min="3598" style="54" width="15"/>
    <col collapsed="false" customWidth="true" hidden="false" outlineLevel="0" max="3599" min="3599" style="54" width="23.11"/>
    <col collapsed="false" customWidth="true" hidden="false" outlineLevel="0" max="3600" min="3600" style="54" width="5"/>
    <col collapsed="false" customWidth="false" hidden="false" outlineLevel="0" max="3602" min="3601" style="54" width="8.88"/>
    <col collapsed="false" customWidth="true" hidden="false" outlineLevel="0" max="3603" min="3603" style="54" width="13.44"/>
    <col collapsed="false" customWidth="true" hidden="false" outlineLevel="0" max="3604" min="3604" style="54" width="10.56"/>
    <col collapsed="false" customWidth="false" hidden="false" outlineLevel="0" max="3605" min="3605" style="54" width="8.88"/>
    <col collapsed="false" customWidth="true" hidden="false" outlineLevel="0" max="3606" min="3606" style="54" width="17"/>
    <col collapsed="false" customWidth="false" hidden="false" outlineLevel="0" max="3607" min="3607" style="54" width="8.88"/>
    <col collapsed="false" customWidth="true" hidden="false" outlineLevel="0" max="3608" min="3608" style="54" width="14.56"/>
    <col collapsed="false" customWidth="false" hidden="false" outlineLevel="0" max="3609" min="3609" style="54" width="8.88"/>
    <col collapsed="false" customWidth="true" hidden="false" outlineLevel="0" max="3610" min="3610" style="54" width="15.44"/>
    <col collapsed="false" customWidth="false" hidden="false" outlineLevel="0" max="3841" min="3611" style="54" width="8.88"/>
    <col collapsed="false" customWidth="true" hidden="false" outlineLevel="0" max="3842" min="3842" style="54" width="6.56"/>
    <col collapsed="false" customWidth="false" hidden="false" outlineLevel="0" max="3844" min="3843" style="54" width="8.88"/>
    <col collapsed="false" customWidth="true" hidden="false" outlineLevel="0" max="3845" min="3845" style="54" width="9.44"/>
    <col collapsed="false" customWidth="true" hidden="false" outlineLevel="0" max="3846" min="3846" style="54" width="5.44"/>
    <col collapsed="false" customWidth="true" hidden="false" outlineLevel="0" max="3847" min="3847" style="54" width="6.56"/>
    <col collapsed="false" customWidth="true" hidden="false" outlineLevel="0" max="3848" min="3848" style="54" width="9.56"/>
    <col collapsed="false" customWidth="false" hidden="false" outlineLevel="0" max="3849" min="3849" style="54" width="8.88"/>
    <col collapsed="false" customWidth="true" hidden="false" outlineLevel="0" max="3850" min="3850" style="54" width="8"/>
    <col collapsed="false" customWidth="true" hidden="false" outlineLevel="0" max="3851" min="3851" style="54" width="5.44"/>
    <col collapsed="false" customWidth="false" hidden="false" outlineLevel="0" max="3852" min="3852" style="54" width="8.88"/>
    <col collapsed="false" customWidth="true" hidden="false" outlineLevel="0" max="3853" min="3853" style="54" width="5.44"/>
    <col collapsed="false" customWidth="true" hidden="false" outlineLevel="0" max="3854" min="3854" style="54" width="15"/>
    <col collapsed="false" customWidth="true" hidden="false" outlineLevel="0" max="3855" min="3855" style="54" width="23.11"/>
    <col collapsed="false" customWidth="true" hidden="false" outlineLevel="0" max="3856" min="3856" style="54" width="5"/>
    <col collapsed="false" customWidth="false" hidden="false" outlineLevel="0" max="3858" min="3857" style="54" width="8.88"/>
    <col collapsed="false" customWidth="true" hidden="false" outlineLevel="0" max="3859" min="3859" style="54" width="13.44"/>
    <col collapsed="false" customWidth="true" hidden="false" outlineLevel="0" max="3860" min="3860" style="54" width="10.56"/>
    <col collapsed="false" customWidth="false" hidden="false" outlineLevel="0" max="3861" min="3861" style="54" width="8.88"/>
    <col collapsed="false" customWidth="true" hidden="false" outlineLevel="0" max="3862" min="3862" style="54" width="17"/>
    <col collapsed="false" customWidth="false" hidden="false" outlineLevel="0" max="3863" min="3863" style="54" width="8.88"/>
    <col collapsed="false" customWidth="true" hidden="false" outlineLevel="0" max="3864" min="3864" style="54" width="14.56"/>
    <col collapsed="false" customWidth="false" hidden="false" outlineLevel="0" max="3865" min="3865" style="54" width="8.88"/>
    <col collapsed="false" customWidth="true" hidden="false" outlineLevel="0" max="3866" min="3866" style="54" width="15.44"/>
    <col collapsed="false" customWidth="false" hidden="false" outlineLevel="0" max="4097" min="3867" style="54" width="8.88"/>
    <col collapsed="false" customWidth="true" hidden="false" outlineLevel="0" max="4098" min="4098" style="54" width="6.56"/>
    <col collapsed="false" customWidth="false" hidden="false" outlineLevel="0" max="4100" min="4099" style="54" width="8.88"/>
    <col collapsed="false" customWidth="true" hidden="false" outlineLevel="0" max="4101" min="4101" style="54" width="9.44"/>
    <col collapsed="false" customWidth="true" hidden="false" outlineLevel="0" max="4102" min="4102" style="54" width="5.44"/>
    <col collapsed="false" customWidth="true" hidden="false" outlineLevel="0" max="4103" min="4103" style="54" width="6.56"/>
    <col collapsed="false" customWidth="true" hidden="false" outlineLevel="0" max="4104" min="4104" style="54" width="9.56"/>
    <col collapsed="false" customWidth="false" hidden="false" outlineLevel="0" max="4105" min="4105" style="54" width="8.88"/>
    <col collapsed="false" customWidth="true" hidden="false" outlineLevel="0" max="4106" min="4106" style="54" width="8"/>
    <col collapsed="false" customWidth="true" hidden="false" outlineLevel="0" max="4107" min="4107" style="54" width="5.44"/>
    <col collapsed="false" customWidth="false" hidden="false" outlineLevel="0" max="4108" min="4108" style="54" width="8.88"/>
    <col collapsed="false" customWidth="true" hidden="false" outlineLevel="0" max="4109" min="4109" style="54" width="5.44"/>
    <col collapsed="false" customWidth="true" hidden="false" outlineLevel="0" max="4110" min="4110" style="54" width="15"/>
    <col collapsed="false" customWidth="true" hidden="false" outlineLevel="0" max="4111" min="4111" style="54" width="23.11"/>
    <col collapsed="false" customWidth="true" hidden="false" outlineLevel="0" max="4112" min="4112" style="54" width="5"/>
    <col collapsed="false" customWidth="false" hidden="false" outlineLevel="0" max="4114" min="4113" style="54" width="8.88"/>
    <col collapsed="false" customWidth="true" hidden="false" outlineLevel="0" max="4115" min="4115" style="54" width="13.44"/>
    <col collapsed="false" customWidth="true" hidden="false" outlineLevel="0" max="4116" min="4116" style="54" width="10.56"/>
    <col collapsed="false" customWidth="false" hidden="false" outlineLevel="0" max="4117" min="4117" style="54" width="8.88"/>
    <col collapsed="false" customWidth="true" hidden="false" outlineLevel="0" max="4118" min="4118" style="54" width="17"/>
    <col collapsed="false" customWidth="false" hidden="false" outlineLevel="0" max="4119" min="4119" style="54" width="8.88"/>
    <col collapsed="false" customWidth="true" hidden="false" outlineLevel="0" max="4120" min="4120" style="54" width="14.56"/>
    <col collapsed="false" customWidth="false" hidden="false" outlineLevel="0" max="4121" min="4121" style="54" width="8.88"/>
    <col collapsed="false" customWidth="true" hidden="false" outlineLevel="0" max="4122" min="4122" style="54" width="15.44"/>
    <col collapsed="false" customWidth="false" hidden="false" outlineLevel="0" max="4353" min="4123" style="54" width="8.88"/>
    <col collapsed="false" customWidth="true" hidden="false" outlineLevel="0" max="4354" min="4354" style="54" width="6.56"/>
    <col collapsed="false" customWidth="false" hidden="false" outlineLevel="0" max="4356" min="4355" style="54" width="8.88"/>
    <col collapsed="false" customWidth="true" hidden="false" outlineLevel="0" max="4357" min="4357" style="54" width="9.44"/>
    <col collapsed="false" customWidth="true" hidden="false" outlineLevel="0" max="4358" min="4358" style="54" width="5.44"/>
    <col collapsed="false" customWidth="true" hidden="false" outlineLevel="0" max="4359" min="4359" style="54" width="6.56"/>
    <col collapsed="false" customWidth="true" hidden="false" outlineLevel="0" max="4360" min="4360" style="54" width="9.56"/>
    <col collapsed="false" customWidth="false" hidden="false" outlineLevel="0" max="4361" min="4361" style="54" width="8.88"/>
    <col collapsed="false" customWidth="true" hidden="false" outlineLevel="0" max="4362" min="4362" style="54" width="8"/>
    <col collapsed="false" customWidth="true" hidden="false" outlineLevel="0" max="4363" min="4363" style="54" width="5.44"/>
    <col collapsed="false" customWidth="false" hidden="false" outlineLevel="0" max="4364" min="4364" style="54" width="8.88"/>
    <col collapsed="false" customWidth="true" hidden="false" outlineLevel="0" max="4365" min="4365" style="54" width="5.44"/>
    <col collapsed="false" customWidth="true" hidden="false" outlineLevel="0" max="4366" min="4366" style="54" width="15"/>
    <col collapsed="false" customWidth="true" hidden="false" outlineLevel="0" max="4367" min="4367" style="54" width="23.11"/>
    <col collapsed="false" customWidth="true" hidden="false" outlineLevel="0" max="4368" min="4368" style="54" width="5"/>
    <col collapsed="false" customWidth="false" hidden="false" outlineLevel="0" max="4370" min="4369" style="54" width="8.88"/>
    <col collapsed="false" customWidth="true" hidden="false" outlineLevel="0" max="4371" min="4371" style="54" width="13.44"/>
    <col collapsed="false" customWidth="true" hidden="false" outlineLevel="0" max="4372" min="4372" style="54" width="10.56"/>
    <col collapsed="false" customWidth="false" hidden="false" outlineLevel="0" max="4373" min="4373" style="54" width="8.88"/>
    <col collapsed="false" customWidth="true" hidden="false" outlineLevel="0" max="4374" min="4374" style="54" width="17"/>
    <col collapsed="false" customWidth="false" hidden="false" outlineLevel="0" max="4375" min="4375" style="54" width="8.88"/>
    <col collapsed="false" customWidth="true" hidden="false" outlineLevel="0" max="4376" min="4376" style="54" width="14.56"/>
    <col collapsed="false" customWidth="false" hidden="false" outlineLevel="0" max="4377" min="4377" style="54" width="8.88"/>
    <col collapsed="false" customWidth="true" hidden="false" outlineLevel="0" max="4378" min="4378" style="54" width="15.44"/>
    <col collapsed="false" customWidth="false" hidden="false" outlineLevel="0" max="4609" min="4379" style="54" width="8.88"/>
    <col collapsed="false" customWidth="true" hidden="false" outlineLevel="0" max="4610" min="4610" style="54" width="6.56"/>
    <col collapsed="false" customWidth="false" hidden="false" outlineLevel="0" max="4612" min="4611" style="54" width="8.88"/>
    <col collapsed="false" customWidth="true" hidden="false" outlineLevel="0" max="4613" min="4613" style="54" width="9.44"/>
    <col collapsed="false" customWidth="true" hidden="false" outlineLevel="0" max="4614" min="4614" style="54" width="5.44"/>
    <col collapsed="false" customWidth="true" hidden="false" outlineLevel="0" max="4615" min="4615" style="54" width="6.56"/>
    <col collapsed="false" customWidth="true" hidden="false" outlineLevel="0" max="4616" min="4616" style="54" width="9.56"/>
    <col collapsed="false" customWidth="false" hidden="false" outlineLevel="0" max="4617" min="4617" style="54" width="8.88"/>
    <col collapsed="false" customWidth="true" hidden="false" outlineLevel="0" max="4618" min="4618" style="54" width="8"/>
    <col collapsed="false" customWidth="true" hidden="false" outlineLevel="0" max="4619" min="4619" style="54" width="5.44"/>
    <col collapsed="false" customWidth="false" hidden="false" outlineLevel="0" max="4620" min="4620" style="54" width="8.88"/>
    <col collapsed="false" customWidth="true" hidden="false" outlineLevel="0" max="4621" min="4621" style="54" width="5.44"/>
    <col collapsed="false" customWidth="true" hidden="false" outlineLevel="0" max="4622" min="4622" style="54" width="15"/>
    <col collapsed="false" customWidth="true" hidden="false" outlineLevel="0" max="4623" min="4623" style="54" width="23.11"/>
    <col collapsed="false" customWidth="true" hidden="false" outlineLevel="0" max="4624" min="4624" style="54" width="5"/>
    <col collapsed="false" customWidth="false" hidden="false" outlineLevel="0" max="4626" min="4625" style="54" width="8.88"/>
    <col collapsed="false" customWidth="true" hidden="false" outlineLevel="0" max="4627" min="4627" style="54" width="13.44"/>
    <col collapsed="false" customWidth="true" hidden="false" outlineLevel="0" max="4628" min="4628" style="54" width="10.56"/>
    <col collapsed="false" customWidth="false" hidden="false" outlineLevel="0" max="4629" min="4629" style="54" width="8.88"/>
    <col collapsed="false" customWidth="true" hidden="false" outlineLevel="0" max="4630" min="4630" style="54" width="17"/>
    <col collapsed="false" customWidth="false" hidden="false" outlineLevel="0" max="4631" min="4631" style="54" width="8.88"/>
    <col collapsed="false" customWidth="true" hidden="false" outlineLevel="0" max="4632" min="4632" style="54" width="14.56"/>
    <col collapsed="false" customWidth="false" hidden="false" outlineLevel="0" max="4633" min="4633" style="54" width="8.88"/>
    <col collapsed="false" customWidth="true" hidden="false" outlineLevel="0" max="4634" min="4634" style="54" width="15.44"/>
    <col collapsed="false" customWidth="false" hidden="false" outlineLevel="0" max="4865" min="4635" style="54" width="8.88"/>
    <col collapsed="false" customWidth="true" hidden="false" outlineLevel="0" max="4866" min="4866" style="54" width="6.56"/>
    <col collapsed="false" customWidth="false" hidden="false" outlineLevel="0" max="4868" min="4867" style="54" width="8.88"/>
    <col collapsed="false" customWidth="true" hidden="false" outlineLevel="0" max="4869" min="4869" style="54" width="9.44"/>
    <col collapsed="false" customWidth="true" hidden="false" outlineLevel="0" max="4870" min="4870" style="54" width="5.44"/>
    <col collapsed="false" customWidth="true" hidden="false" outlineLevel="0" max="4871" min="4871" style="54" width="6.56"/>
    <col collapsed="false" customWidth="true" hidden="false" outlineLevel="0" max="4872" min="4872" style="54" width="9.56"/>
    <col collapsed="false" customWidth="false" hidden="false" outlineLevel="0" max="4873" min="4873" style="54" width="8.88"/>
    <col collapsed="false" customWidth="true" hidden="false" outlineLevel="0" max="4874" min="4874" style="54" width="8"/>
    <col collapsed="false" customWidth="true" hidden="false" outlineLevel="0" max="4875" min="4875" style="54" width="5.44"/>
    <col collapsed="false" customWidth="false" hidden="false" outlineLevel="0" max="4876" min="4876" style="54" width="8.88"/>
    <col collapsed="false" customWidth="true" hidden="false" outlineLevel="0" max="4877" min="4877" style="54" width="5.44"/>
    <col collapsed="false" customWidth="true" hidden="false" outlineLevel="0" max="4878" min="4878" style="54" width="15"/>
    <col collapsed="false" customWidth="true" hidden="false" outlineLevel="0" max="4879" min="4879" style="54" width="23.11"/>
    <col collapsed="false" customWidth="true" hidden="false" outlineLevel="0" max="4880" min="4880" style="54" width="5"/>
    <col collapsed="false" customWidth="false" hidden="false" outlineLevel="0" max="4882" min="4881" style="54" width="8.88"/>
    <col collapsed="false" customWidth="true" hidden="false" outlineLevel="0" max="4883" min="4883" style="54" width="13.44"/>
    <col collapsed="false" customWidth="true" hidden="false" outlineLevel="0" max="4884" min="4884" style="54" width="10.56"/>
    <col collapsed="false" customWidth="false" hidden="false" outlineLevel="0" max="4885" min="4885" style="54" width="8.88"/>
    <col collapsed="false" customWidth="true" hidden="false" outlineLevel="0" max="4886" min="4886" style="54" width="17"/>
    <col collapsed="false" customWidth="false" hidden="false" outlineLevel="0" max="4887" min="4887" style="54" width="8.88"/>
    <col collapsed="false" customWidth="true" hidden="false" outlineLevel="0" max="4888" min="4888" style="54" width="14.56"/>
    <col collapsed="false" customWidth="false" hidden="false" outlineLevel="0" max="4889" min="4889" style="54" width="8.88"/>
    <col collapsed="false" customWidth="true" hidden="false" outlineLevel="0" max="4890" min="4890" style="54" width="15.44"/>
    <col collapsed="false" customWidth="false" hidden="false" outlineLevel="0" max="5121" min="4891" style="54" width="8.88"/>
    <col collapsed="false" customWidth="true" hidden="false" outlineLevel="0" max="5122" min="5122" style="54" width="6.56"/>
    <col collapsed="false" customWidth="false" hidden="false" outlineLevel="0" max="5124" min="5123" style="54" width="8.88"/>
    <col collapsed="false" customWidth="true" hidden="false" outlineLevel="0" max="5125" min="5125" style="54" width="9.44"/>
    <col collapsed="false" customWidth="true" hidden="false" outlineLevel="0" max="5126" min="5126" style="54" width="5.44"/>
    <col collapsed="false" customWidth="true" hidden="false" outlineLevel="0" max="5127" min="5127" style="54" width="6.56"/>
    <col collapsed="false" customWidth="true" hidden="false" outlineLevel="0" max="5128" min="5128" style="54" width="9.56"/>
    <col collapsed="false" customWidth="false" hidden="false" outlineLevel="0" max="5129" min="5129" style="54" width="8.88"/>
    <col collapsed="false" customWidth="true" hidden="false" outlineLevel="0" max="5130" min="5130" style="54" width="8"/>
    <col collapsed="false" customWidth="true" hidden="false" outlineLevel="0" max="5131" min="5131" style="54" width="5.44"/>
    <col collapsed="false" customWidth="false" hidden="false" outlineLevel="0" max="5132" min="5132" style="54" width="8.88"/>
    <col collapsed="false" customWidth="true" hidden="false" outlineLevel="0" max="5133" min="5133" style="54" width="5.44"/>
    <col collapsed="false" customWidth="true" hidden="false" outlineLevel="0" max="5134" min="5134" style="54" width="15"/>
    <col collapsed="false" customWidth="true" hidden="false" outlineLevel="0" max="5135" min="5135" style="54" width="23.11"/>
    <col collapsed="false" customWidth="true" hidden="false" outlineLevel="0" max="5136" min="5136" style="54" width="5"/>
    <col collapsed="false" customWidth="false" hidden="false" outlineLevel="0" max="5138" min="5137" style="54" width="8.88"/>
    <col collapsed="false" customWidth="true" hidden="false" outlineLevel="0" max="5139" min="5139" style="54" width="13.44"/>
    <col collapsed="false" customWidth="true" hidden="false" outlineLevel="0" max="5140" min="5140" style="54" width="10.56"/>
    <col collapsed="false" customWidth="false" hidden="false" outlineLevel="0" max="5141" min="5141" style="54" width="8.88"/>
    <col collapsed="false" customWidth="true" hidden="false" outlineLevel="0" max="5142" min="5142" style="54" width="17"/>
    <col collapsed="false" customWidth="false" hidden="false" outlineLevel="0" max="5143" min="5143" style="54" width="8.88"/>
    <col collapsed="false" customWidth="true" hidden="false" outlineLevel="0" max="5144" min="5144" style="54" width="14.56"/>
    <col collapsed="false" customWidth="false" hidden="false" outlineLevel="0" max="5145" min="5145" style="54" width="8.88"/>
    <col collapsed="false" customWidth="true" hidden="false" outlineLevel="0" max="5146" min="5146" style="54" width="15.44"/>
    <col collapsed="false" customWidth="false" hidden="false" outlineLevel="0" max="5377" min="5147" style="54" width="8.88"/>
    <col collapsed="false" customWidth="true" hidden="false" outlineLevel="0" max="5378" min="5378" style="54" width="6.56"/>
    <col collapsed="false" customWidth="false" hidden="false" outlineLevel="0" max="5380" min="5379" style="54" width="8.88"/>
    <col collapsed="false" customWidth="true" hidden="false" outlineLevel="0" max="5381" min="5381" style="54" width="9.44"/>
    <col collapsed="false" customWidth="true" hidden="false" outlineLevel="0" max="5382" min="5382" style="54" width="5.44"/>
    <col collapsed="false" customWidth="true" hidden="false" outlineLevel="0" max="5383" min="5383" style="54" width="6.56"/>
    <col collapsed="false" customWidth="true" hidden="false" outlineLevel="0" max="5384" min="5384" style="54" width="9.56"/>
    <col collapsed="false" customWidth="false" hidden="false" outlineLevel="0" max="5385" min="5385" style="54" width="8.88"/>
    <col collapsed="false" customWidth="true" hidden="false" outlineLevel="0" max="5386" min="5386" style="54" width="8"/>
    <col collapsed="false" customWidth="true" hidden="false" outlineLevel="0" max="5387" min="5387" style="54" width="5.44"/>
    <col collapsed="false" customWidth="false" hidden="false" outlineLevel="0" max="5388" min="5388" style="54" width="8.88"/>
    <col collapsed="false" customWidth="true" hidden="false" outlineLevel="0" max="5389" min="5389" style="54" width="5.44"/>
    <col collapsed="false" customWidth="true" hidden="false" outlineLevel="0" max="5390" min="5390" style="54" width="15"/>
    <col collapsed="false" customWidth="true" hidden="false" outlineLevel="0" max="5391" min="5391" style="54" width="23.11"/>
    <col collapsed="false" customWidth="true" hidden="false" outlineLevel="0" max="5392" min="5392" style="54" width="5"/>
    <col collapsed="false" customWidth="false" hidden="false" outlineLevel="0" max="5394" min="5393" style="54" width="8.88"/>
    <col collapsed="false" customWidth="true" hidden="false" outlineLevel="0" max="5395" min="5395" style="54" width="13.44"/>
    <col collapsed="false" customWidth="true" hidden="false" outlineLevel="0" max="5396" min="5396" style="54" width="10.56"/>
    <col collapsed="false" customWidth="false" hidden="false" outlineLevel="0" max="5397" min="5397" style="54" width="8.88"/>
    <col collapsed="false" customWidth="true" hidden="false" outlineLevel="0" max="5398" min="5398" style="54" width="17"/>
    <col collapsed="false" customWidth="false" hidden="false" outlineLevel="0" max="5399" min="5399" style="54" width="8.88"/>
    <col collapsed="false" customWidth="true" hidden="false" outlineLevel="0" max="5400" min="5400" style="54" width="14.56"/>
    <col collapsed="false" customWidth="false" hidden="false" outlineLevel="0" max="5401" min="5401" style="54" width="8.88"/>
    <col collapsed="false" customWidth="true" hidden="false" outlineLevel="0" max="5402" min="5402" style="54" width="15.44"/>
    <col collapsed="false" customWidth="false" hidden="false" outlineLevel="0" max="5633" min="5403" style="54" width="8.88"/>
    <col collapsed="false" customWidth="true" hidden="false" outlineLevel="0" max="5634" min="5634" style="54" width="6.56"/>
    <col collapsed="false" customWidth="false" hidden="false" outlineLevel="0" max="5636" min="5635" style="54" width="8.88"/>
    <col collapsed="false" customWidth="true" hidden="false" outlineLevel="0" max="5637" min="5637" style="54" width="9.44"/>
    <col collapsed="false" customWidth="true" hidden="false" outlineLevel="0" max="5638" min="5638" style="54" width="5.44"/>
    <col collapsed="false" customWidth="true" hidden="false" outlineLevel="0" max="5639" min="5639" style="54" width="6.56"/>
    <col collapsed="false" customWidth="true" hidden="false" outlineLevel="0" max="5640" min="5640" style="54" width="9.56"/>
    <col collapsed="false" customWidth="false" hidden="false" outlineLevel="0" max="5641" min="5641" style="54" width="8.88"/>
    <col collapsed="false" customWidth="true" hidden="false" outlineLevel="0" max="5642" min="5642" style="54" width="8"/>
    <col collapsed="false" customWidth="true" hidden="false" outlineLevel="0" max="5643" min="5643" style="54" width="5.44"/>
    <col collapsed="false" customWidth="false" hidden="false" outlineLevel="0" max="5644" min="5644" style="54" width="8.88"/>
    <col collapsed="false" customWidth="true" hidden="false" outlineLevel="0" max="5645" min="5645" style="54" width="5.44"/>
    <col collapsed="false" customWidth="true" hidden="false" outlineLevel="0" max="5646" min="5646" style="54" width="15"/>
    <col collapsed="false" customWidth="true" hidden="false" outlineLevel="0" max="5647" min="5647" style="54" width="23.11"/>
    <col collapsed="false" customWidth="true" hidden="false" outlineLevel="0" max="5648" min="5648" style="54" width="5"/>
    <col collapsed="false" customWidth="false" hidden="false" outlineLevel="0" max="5650" min="5649" style="54" width="8.88"/>
    <col collapsed="false" customWidth="true" hidden="false" outlineLevel="0" max="5651" min="5651" style="54" width="13.44"/>
    <col collapsed="false" customWidth="true" hidden="false" outlineLevel="0" max="5652" min="5652" style="54" width="10.56"/>
    <col collapsed="false" customWidth="false" hidden="false" outlineLevel="0" max="5653" min="5653" style="54" width="8.88"/>
    <col collapsed="false" customWidth="true" hidden="false" outlineLevel="0" max="5654" min="5654" style="54" width="17"/>
    <col collapsed="false" customWidth="false" hidden="false" outlineLevel="0" max="5655" min="5655" style="54" width="8.88"/>
    <col collapsed="false" customWidth="true" hidden="false" outlineLevel="0" max="5656" min="5656" style="54" width="14.56"/>
    <col collapsed="false" customWidth="false" hidden="false" outlineLevel="0" max="5657" min="5657" style="54" width="8.88"/>
    <col collapsed="false" customWidth="true" hidden="false" outlineLevel="0" max="5658" min="5658" style="54" width="15.44"/>
    <col collapsed="false" customWidth="false" hidden="false" outlineLevel="0" max="5889" min="5659" style="54" width="8.88"/>
    <col collapsed="false" customWidth="true" hidden="false" outlineLevel="0" max="5890" min="5890" style="54" width="6.56"/>
    <col collapsed="false" customWidth="false" hidden="false" outlineLevel="0" max="5892" min="5891" style="54" width="8.88"/>
    <col collapsed="false" customWidth="true" hidden="false" outlineLevel="0" max="5893" min="5893" style="54" width="9.44"/>
    <col collapsed="false" customWidth="true" hidden="false" outlineLevel="0" max="5894" min="5894" style="54" width="5.44"/>
    <col collapsed="false" customWidth="true" hidden="false" outlineLevel="0" max="5895" min="5895" style="54" width="6.56"/>
    <col collapsed="false" customWidth="true" hidden="false" outlineLevel="0" max="5896" min="5896" style="54" width="9.56"/>
    <col collapsed="false" customWidth="false" hidden="false" outlineLevel="0" max="5897" min="5897" style="54" width="8.88"/>
    <col collapsed="false" customWidth="true" hidden="false" outlineLevel="0" max="5898" min="5898" style="54" width="8"/>
    <col collapsed="false" customWidth="true" hidden="false" outlineLevel="0" max="5899" min="5899" style="54" width="5.44"/>
    <col collapsed="false" customWidth="false" hidden="false" outlineLevel="0" max="5900" min="5900" style="54" width="8.88"/>
    <col collapsed="false" customWidth="true" hidden="false" outlineLevel="0" max="5901" min="5901" style="54" width="5.44"/>
    <col collapsed="false" customWidth="true" hidden="false" outlineLevel="0" max="5902" min="5902" style="54" width="15"/>
    <col collapsed="false" customWidth="true" hidden="false" outlineLevel="0" max="5903" min="5903" style="54" width="23.11"/>
    <col collapsed="false" customWidth="true" hidden="false" outlineLevel="0" max="5904" min="5904" style="54" width="5"/>
    <col collapsed="false" customWidth="false" hidden="false" outlineLevel="0" max="5906" min="5905" style="54" width="8.88"/>
    <col collapsed="false" customWidth="true" hidden="false" outlineLevel="0" max="5907" min="5907" style="54" width="13.44"/>
    <col collapsed="false" customWidth="true" hidden="false" outlineLevel="0" max="5908" min="5908" style="54" width="10.56"/>
    <col collapsed="false" customWidth="false" hidden="false" outlineLevel="0" max="5909" min="5909" style="54" width="8.88"/>
    <col collapsed="false" customWidth="true" hidden="false" outlineLevel="0" max="5910" min="5910" style="54" width="17"/>
    <col collapsed="false" customWidth="false" hidden="false" outlineLevel="0" max="5911" min="5911" style="54" width="8.88"/>
    <col collapsed="false" customWidth="true" hidden="false" outlineLevel="0" max="5912" min="5912" style="54" width="14.56"/>
    <col collapsed="false" customWidth="false" hidden="false" outlineLevel="0" max="5913" min="5913" style="54" width="8.88"/>
    <col collapsed="false" customWidth="true" hidden="false" outlineLevel="0" max="5914" min="5914" style="54" width="15.44"/>
    <col collapsed="false" customWidth="false" hidden="false" outlineLevel="0" max="6145" min="5915" style="54" width="8.88"/>
    <col collapsed="false" customWidth="true" hidden="false" outlineLevel="0" max="6146" min="6146" style="54" width="6.56"/>
    <col collapsed="false" customWidth="false" hidden="false" outlineLevel="0" max="6148" min="6147" style="54" width="8.88"/>
    <col collapsed="false" customWidth="true" hidden="false" outlineLevel="0" max="6149" min="6149" style="54" width="9.44"/>
    <col collapsed="false" customWidth="true" hidden="false" outlineLevel="0" max="6150" min="6150" style="54" width="5.44"/>
    <col collapsed="false" customWidth="true" hidden="false" outlineLevel="0" max="6151" min="6151" style="54" width="6.56"/>
    <col collapsed="false" customWidth="true" hidden="false" outlineLevel="0" max="6152" min="6152" style="54" width="9.56"/>
    <col collapsed="false" customWidth="false" hidden="false" outlineLevel="0" max="6153" min="6153" style="54" width="8.88"/>
    <col collapsed="false" customWidth="true" hidden="false" outlineLevel="0" max="6154" min="6154" style="54" width="8"/>
    <col collapsed="false" customWidth="true" hidden="false" outlineLevel="0" max="6155" min="6155" style="54" width="5.44"/>
    <col collapsed="false" customWidth="false" hidden="false" outlineLevel="0" max="6156" min="6156" style="54" width="8.88"/>
    <col collapsed="false" customWidth="true" hidden="false" outlineLevel="0" max="6157" min="6157" style="54" width="5.44"/>
    <col collapsed="false" customWidth="true" hidden="false" outlineLevel="0" max="6158" min="6158" style="54" width="15"/>
    <col collapsed="false" customWidth="true" hidden="false" outlineLevel="0" max="6159" min="6159" style="54" width="23.11"/>
    <col collapsed="false" customWidth="true" hidden="false" outlineLevel="0" max="6160" min="6160" style="54" width="5"/>
    <col collapsed="false" customWidth="false" hidden="false" outlineLevel="0" max="6162" min="6161" style="54" width="8.88"/>
    <col collapsed="false" customWidth="true" hidden="false" outlineLevel="0" max="6163" min="6163" style="54" width="13.44"/>
    <col collapsed="false" customWidth="true" hidden="false" outlineLevel="0" max="6164" min="6164" style="54" width="10.56"/>
    <col collapsed="false" customWidth="false" hidden="false" outlineLevel="0" max="6165" min="6165" style="54" width="8.88"/>
    <col collapsed="false" customWidth="true" hidden="false" outlineLevel="0" max="6166" min="6166" style="54" width="17"/>
    <col collapsed="false" customWidth="false" hidden="false" outlineLevel="0" max="6167" min="6167" style="54" width="8.88"/>
    <col collapsed="false" customWidth="true" hidden="false" outlineLevel="0" max="6168" min="6168" style="54" width="14.56"/>
    <col collapsed="false" customWidth="false" hidden="false" outlineLevel="0" max="6169" min="6169" style="54" width="8.88"/>
    <col collapsed="false" customWidth="true" hidden="false" outlineLevel="0" max="6170" min="6170" style="54" width="15.44"/>
    <col collapsed="false" customWidth="false" hidden="false" outlineLevel="0" max="6401" min="6171" style="54" width="8.88"/>
    <col collapsed="false" customWidth="true" hidden="false" outlineLevel="0" max="6402" min="6402" style="54" width="6.56"/>
    <col collapsed="false" customWidth="false" hidden="false" outlineLevel="0" max="6404" min="6403" style="54" width="8.88"/>
    <col collapsed="false" customWidth="true" hidden="false" outlineLevel="0" max="6405" min="6405" style="54" width="9.44"/>
    <col collapsed="false" customWidth="true" hidden="false" outlineLevel="0" max="6406" min="6406" style="54" width="5.44"/>
    <col collapsed="false" customWidth="true" hidden="false" outlineLevel="0" max="6407" min="6407" style="54" width="6.56"/>
    <col collapsed="false" customWidth="true" hidden="false" outlineLevel="0" max="6408" min="6408" style="54" width="9.56"/>
    <col collapsed="false" customWidth="false" hidden="false" outlineLevel="0" max="6409" min="6409" style="54" width="8.88"/>
    <col collapsed="false" customWidth="true" hidden="false" outlineLevel="0" max="6410" min="6410" style="54" width="8"/>
    <col collapsed="false" customWidth="true" hidden="false" outlineLevel="0" max="6411" min="6411" style="54" width="5.44"/>
    <col collapsed="false" customWidth="false" hidden="false" outlineLevel="0" max="6412" min="6412" style="54" width="8.88"/>
    <col collapsed="false" customWidth="true" hidden="false" outlineLevel="0" max="6413" min="6413" style="54" width="5.44"/>
    <col collapsed="false" customWidth="true" hidden="false" outlineLevel="0" max="6414" min="6414" style="54" width="15"/>
    <col collapsed="false" customWidth="true" hidden="false" outlineLevel="0" max="6415" min="6415" style="54" width="23.11"/>
    <col collapsed="false" customWidth="true" hidden="false" outlineLevel="0" max="6416" min="6416" style="54" width="5"/>
    <col collapsed="false" customWidth="false" hidden="false" outlineLevel="0" max="6418" min="6417" style="54" width="8.88"/>
    <col collapsed="false" customWidth="true" hidden="false" outlineLevel="0" max="6419" min="6419" style="54" width="13.44"/>
    <col collapsed="false" customWidth="true" hidden="false" outlineLevel="0" max="6420" min="6420" style="54" width="10.56"/>
    <col collapsed="false" customWidth="false" hidden="false" outlineLevel="0" max="6421" min="6421" style="54" width="8.88"/>
    <col collapsed="false" customWidth="true" hidden="false" outlineLevel="0" max="6422" min="6422" style="54" width="17"/>
    <col collapsed="false" customWidth="false" hidden="false" outlineLevel="0" max="6423" min="6423" style="54" width="8.88"/>
    <col collapsed="false" customWidth="true" hidden="false" outlineLevel="0" max="6424" min="6424" style="54" width="14.56"/>
    <col collapsed="false" customWidth="false" hidden="false" outlineLevel="0" max="6425" min="6425" style="54" width="8.88"/>
    <col collapsed="false" customWidth="true" hidden="false" outlineLevel="0" max="6426" min="6426" style="54" width="15.44"/>
    <col collapsed="false" customWidth="false" hidden="false" outlineLevel="0" max="6657" min="6427" style="54" width="8.88"/>
    <col collapsed="false" customWidth="true" hidden="false" outlineLevel="0" max="6658" min="6658" style="54" width="6.56"/>
    <col collapsed="false" customWidth="false" hidden="false" outlineLevel="0" max="6660" min="6659" style="54" width="8.88"/>
    <col collapsed="false" customWidth="true" hidden="false" outlineLevel="0" max="6661" min="6661" style="54" width="9.44"/>
    <col collapsed="false" customWidth="true" hidden="false" outlineLevel="0" max="6662" min="6662" style="54" width="5.44"/>
    <col collapsed="false" customWidth="true" hidden="false" outlineLevel="0" max="6663" min="6663" style="54" width="6.56"/>
    <col collapsed="false" customWidth="true" hidden="false" outlineLevel="0" max="6664" min="6664" style="54" width="9.56"/>
    <col collapsed="false" customWidth="false" hidden="false" outlineLevel="0" max="6665" min="6665" style="54" width="8.88"/>
    <col collapsed="false" customWidth="true" hidden="false" outlineLevel="0" max="6666" min="6666" style="54" width="8"/>
    <col collapsed="false" customWidth="true" hidden="false" outlineLevel="0" max="6667" min="6667" style="54" width="5.44"/>
    <col collapsed="false" customWidth="false" hidden="false" outlineLevel="0" max="6668" min="6668" style="54" width="8.88"/>
    <col collapsed="false" customWidth="true" hidden="false" outlineLevel="0" max="6669" min="6669" style="54" width="5.44"/>
    <col collapsed="false" customWidth="true" hidden="false" outlineLevel="0" max="6670" min="6670" style="54" width="15"/>
    <col collapsed="false" customWidth="true" hidden="false" outlineLevel="0" max="6671" min="6671" style="54" width="23.11"/>
    <col collapsed="false" customWidth="true" hidden="false" outlineLevel="0" max="6672" min="6672" style="54" width="5"/>
    <col collapsed="false" customWidth="false" hidden="false" outlineLevel="0" max="6674" min="6673" style="54" width="8.88"/>
    <col collapsed="false" customWidth="true" hidden="false" outlineLevel="0" max="6675" min="6675" style="54" width="13.44"/>
    <col collapsed="false" customWidth="true" hidden="false" outlineLevel="0" max="6676" min="6676" style="54" width="10.56"/>
    <col collapsed="false" customWidth="false" hidden="false" outlineLevel="0" max="6677" min="6677" style="54" width="8.88"/>
    <col collapsed="false" customWidth="true" hidden="false" outlineLevel="0" max="6678" min="6678" style="54" width="17"/>
    <col collapsed="false" customWidth="false" hidden="false" outlineLevel="0" max="6679" min="6679" style="54" width="8.88"/>
    <col collapsed="false" customWidth="true" hidden="false" outlineLevel="0" max="6680" min="6680" style="54" width="14.56"/>
    <col collapsed="false" customWidth="false" hidden="false" outlineLevel="0" max="6681" min="6681" style="54" width="8.88"/>
    <col collapsed="false" customWidth="true" hidden="false" outlineLevel="0" max="6682" min="6682" style="54" width="15.44"/>
    <col collapsed="false" customWidth="false" hidden="false" outlineLevel="0" max="6913" min="6683" style="54" width="8.88"/>
    <col collapsed="false" customWidth="true" hidden="false" outlineLevel="0" max="6914" min="6914" style="54" width="6.56"/>
    <col collapsed="false" customWidth="false" hidden="false" outlineLevel="0" max="6916" min="6915" style="54" width="8.88"/>
    <col collapsed="false" customWidth="true" hidden="false" outlineLevel="0" max="6917" min="6917" style="54" width="9.44"/>
    <col collapsed="false" customWidth="true" hidden="false" outlineLevel="0" max="6918" min="6918" style="54" width="5.44"/>
    <col collapsed="false" customWidth="true" hidden="false" outlineLevel="0" max="6919" min="6919" style="54" width="6.56"/>
    <col collapsed="false" customWidth="true" hidden="false" outlineLevel="0" max="6920" min="6920" style="54" width="9.56"/>
    <col collapsed="false" customWidth="false" hidden="false" outlineLevel="0" max="6921" min="6921" style="54" width="8.88"/>
    <col collapsed="false" customWidth="true" hidden="false" outlineLevel="0" max="6922" min="6922" style="54" width="8"/>
    <col collapsed="false" customWidth="true" hidden="false" outlineLevel="0" max="6923" min="6923" style="54" width="5.44"/>
    <col collapsed="false" customWidth="false" hidden="false" outlineLevel="0" max="6924" min="6924" style="54" width="8.88"/>
    <col collapsed="false" customWidth="true" hidden="false" outlineLevel="0" max="6925" min="6925" style="54" width="5.44"/>
    <col collapsed="false" customWidth="true" hidden="false" outlineLevel="0" max="6926" min="6926" style="54" width="15"/>
    <col collapsed="false" customWidth="true" hidden="false" outlineLevel="0" max="6927" min="6927" style="54" width="23.11"/>
    <col collapsed="false" customWidth="true" hidden="false" outlineLevel="0" max="6928" min="6928" style="54" width="5"/>
    <col collapsed="false" customWidth="false" hidden="false" outlineLevel="0" max="6930" min="6929" style="54" width="8.88"/>
    <col collapsed="false" customWidth="true" hidden="false" outlineLevel="0" max="6931" min="6931" style="54" width="13.44"/>
    <col collapsed="false" customWidth="true" hidden="false" outlineLevel="0" max="6932" min="6932" style="54" width="10.56"/>
    <col collapsed="false" customWidth="false" hidden="false" outlineLevel="0" max="6933" min="6933" style="54" width="8.88"/>
    <col collapsed="false" customWidth="true" hidden="false" outlineLevel="0" max="6934" min="6934" style="54" width="17"/>
    <col collapsed="false" customWidth="false" hidden="false" outlineLevel="0" max="6935" min="6935" style="54" width="8.88"/>
    <col collapsed="false" customWidth="true" hidden="false" outlineLevel="0" max="6936" min="6936" style="54" width="14.56"/>
    <col collapsed="false" customWidth="false" hidden="false" outlineLevel="0" max="6937" min="6937" style="54" width="8.88"/>
    <col collapsed="false" customWidth="true" hidden="false" outlineLevel="0" max="6938" min="6938" style="54" width="15.44"/>
    <col collapsed="false" customWidth="false" hidden="false" outlineLevel="0" max="7169" min="6939" style="54" width="8.88"/>
    <col collapsed="false" customWidth="true" hidden="false" outlineLevel="0" max="7170" min="7170" style="54" width="6.56"/>
    <col collapsed="false" customWidth="false" hidden="false" outlineLevel="0" max="7172" min="7171" style="54" width="8.88"/>
    <col collapsed="false" customWidth="true" hidden="false" outlineLevel="0" max="7173" min="7173" style="54" width="9.44"/>
    <col collapsed="false" customWidth="true" hidden="false" outlineLevel="0" max="7174" min="7174" style="54" width="5.44"/>
    <col collapsed="false" customWidth="true" hidden="false" outlineLevel="0" max="7175" min="7175" style="54" width="6.56"/>
    <col collapsed="false" customWidth="true" hidden="false" outlineLevel="0" max="7176" min="7176" style="54" width="9.56"/>
    <col collapsed="false" customWidth="false" hidden="false" outlineLevel="0" max="7177" min="7177" style="54" width="8.88"/>
    <col collapsed="false" customWidth="true" hidden="false" outlineLevel="0" max="7178" min="7178" style="54" width="8"/>
    <col collapsed="false" customWidth="true" hidden="false" outlineLevel="0" max="7179" min="7179" style="54" width="5.44"/>
    <col collapsed="false" customWidth="false" hidden="false" outlineLevel="0" max="7180" min="7180" style="54" width="8.88"/>
    <col collapsed="false" customWidth="true" hidden="false" outlineLevel="0" max="7181" min="7181" style="54" width="5.44"/>
    <col collapsed="false" customWidth="true" hidden="false" outlineLevel="0" max="7182" min="7182" style="54" width="15"/>
    <col collapsed="false" customWidth="true" hidden="false" outlineLevel="0" max="7183" min="7183" style="54" width="23.11"/>
    <col collapsed="false" customWidth="true" hidden="false" outlineLevel="0" max="7184" min="7184" style="54" width="5"/>
    <col collapsed="false" customWidth="false" hidden="false" outlineLevel="0" max="7186" min="7185" style="54" width="8.88"/>
    <col collapsed="false" customWidth="true" hidden="false" outlineLevel="0" max="7187" min="7187" style="54" width="13.44"/>
    <col collapsed="false" customWidth="true" hidden="false" outlineLevel="0" max="7188" min="7188" style="54" width="10.56"/>
    <col collapsed="false" customWidth="false" hidden="false" outlineLevel="0" max="7189" min="7189" style="54" width="8.88"/>
    <col collapsed="false" customWidth="true" hidden="false" outlineLevel="0" max="7190" min="7190" style="54" width="17"/>
    <col collapsed="false" customWidth="false" hidden="false" outlineLevel="0" max="7191" min="7191" style="54" width="8.88"/>
    <col collapsed="false" customWidth="true" hidden="false" outlineLevel="0" max="7192" min="7192" style="54" width="14.56"/>
    <col collapsed="false" customWidth="false" hidden="false" outlineLevel="0" max="7193" min="7193" style="54" width="8.88"/>
    <col collapsed="false" customWidth="true" hidden="false" outlineLevel="0" max="7194" min="7194" style="54" width="15.44"/>
    <col collapsed="false" customWidth="false" hidden="false" outlineLevel="0" max="7425" min="7195" style="54" width="8.88"/>
    <col collapsed="false" customWidth="true" hidden="false" outlineLevel="0" max="7426" min="7426" style="54" width="6.56"/>
    <col collapsed="false" customWidth="false" hidden="false" outlineLevel="0" max="7428" min="7427" style="54" width="8.88"/>
    <col collapsed="false" customWidth="true" hidden="false" outlineLevel="0" max="7429" min="7429" style="54" width="9.44"/>
    <col collapsed="false" customWidth="true" hidden="false" outlineLevel="0" max="7430" min="7430" style="54" width="5.44"/>
    <col collapsed="false" customWidth="true" hidden="false" outlineLevel="0" max="7431" min="7431" style="54" width="6.56"/>
    <col collapsed="false" customWidth="true" hidden="false" outlineLevel="0" max="7432" min="7432" style="54" width="9.56"/>
    <col collapsed="false" customWidth="false" hidden="false" outlineLevel="0" max="7433" min="7433" style="54" width="8.88"/>
    <col collapsed="false" customWidth="true" hidden="false" outlineLevel="0" max="7434" min="7434" style="54" width="8"/>
    <col collapsed="false" customWidth="true" hidden="false" outlineLevel="0" max="7435" min="7435" style="54" width="5.44"/>
    <col collapsed="false" customWidth="false" hidden="false" outlineLevel="0" max="7436" min="7436" style="54" width="8.88"/>
    <col collapsed="false" customWidth="true" hidden="false" outlineLevel="0" max="7437" min="7437" style="54" width="5.44"/>
    <col collapsed="false" customWidth="true" hidden="false" outlineLevel="0" max="7438" min="7438" style="54" width="15"/>
    <col collapsed="false" customWidth="true" hidden="false" outlineLevel="0" max="7439" min="7439" style="54" width="23.11"/>
    <col collapsed="false" customWidth="true" hidden="false" outlineLevel="0" max="7440" min="7440" style="54" width="5"/>
    <col collapsed="false" customWidth="false" hidden="false" outlineLevel="0" max="7442" min="7441" style="54" width="8.88"/>
    <col collapsed="false" customWidth="true" hidden="false" outlineLevel="0" max="7443" min="7443" style="54" width="13.44"/>
    <col collapsed="false" customWidth="true" hidden="false" outlineLevel="0" max="7444" min="7444" style="54" width="10.56"/>
    <col collapsed="false" customWidth="false" hidden="false" outlineLevel="0" max="7445" min="7445" style="54" width="8.88"/>
    <col collapsed="false" customWidth="true" hidden="false" outlineLevel="0" max="7446" min="7446" style="54" width="17"/>
    <col collapsed="false" customWidth="false" hidden="false" outlineLevel="0" max="7447" min="7447" style="54" width="8.88"/>
    <col collapsed="false" customWidth="true" hidden="false" outlineLevel="0" max="7448" min="7448" style="54" width="14.56"/>
    <col collapsed="false" customWidth="false" hidden="false" outlineLevel="0" max="7449" min="7449" style="54" width="8.88"/>
    <col collapsed="false" customWidth="true" hidden="false" outlineLevel="0" max="7450" min="7450" style="54" width="15.44"/>
    <col collapsed="false" customWidth="false" hidden="false" outlineLevel="0" max="7681" min="7451" style="54" width="8.88"/>
    <col collapsed="false" customWidth="true" hidden="false" outlineLevel="0" max="7682" min="7682" style="54" width="6.56"/>
    <col collapsed="false" customWidth="false" hidden="false" outlineLevel="0" max="7684" min="7683" style="54" width="8.88"/>
    <col collapsed="false" customWidth="true" hidden="false" outlineLevel="0" max="7685" min="7685" style="54" width="9.44"/>
    <col collapsed="false" customWidth="true" hidden="false" outlineLevel="0" max="7686" min="7686" style="54" width="5.44"/>
    <col collapsed="false" customWidth="true" hidden="false" outlineLevel="0" max="7687" min="7687" style="54" width="6.56"/>
    <col collapsed="false" customWidth="true" hidden="false" outlineLevel="0" max="7688" min="7688" style="54" width="9.56"/>
    <col collapsed="false" customWidth="false" hidden="false" outlineLevel="0" max="7689" min="7689" style="54" width="8.88"/>
    <col collapsed="false" customWidth="true" hidden="false" outlineLevel="0" max="7690" min="7690" style="54" width="8"/>
    <col collapsed="false" customWidth="true" hidden="false" outlineLevel="0" max="7691" min="7691" style="54" width="5.44"/>
    <col collapsed="false" customWidth="false" hidden="false" outlineLevel="0" max="7692" min="7692" style="54" width="8.88"/>
    <col collapsed="false" customWidth="true" hidden="false" outlineLevel="0" max="7693" min="7693" style="54" width="5.44"/>
    <col collapsed="false" customWidth="true" hidden="false" outlineLevel="0" max="7694" min="7694" style="54" width="15"/>
    <col collapsed="false" customWidth="true" hidden="false" outlineLevel="0" max="7695" min="7695" style="54" width="23.11"/>
    <col collapsed="false" customWidth="true" hidden="false" outlineLevel="0" max="7696" min="7696" style="54" width="5"/>
    <col collapsed="false" customWidth="false" hidden="false" outlineLevel="0" max="7698" min="7697" style="54" width="8.88"/>
    <col collapsed="false" customWidth="true" hidden="false" outlineLevel="0" max="7699" min="7699" style="54" width="13.44"/>
    <col collapsed="false" customWidth="true" hidden="false" outlineLevel="0" max="7700" min="7700" style="54" width="10.56"/>
    <col collapsed="false" customWidth="false" hidden="false" outlineLevel="0" max="7701" min="7701" style="54" width="8.88"/>
    <col collapsed="false" customWidth="true" hidden="false" outlineLevel="0" max="7702" min="7702" style="54" width="17"/>
    <col collapsed="false" customWidth="false" hidden="false" outlineLevel="0" max="7703" min="7703" style="54" width="8.88"/>
    <col collapsed="false" customWidth="true" hidden="false" outlineLevel="0" max="7704" min="7704" style="54" width="14.56"/>
    <col collapsed="false" customWidth="false" hidden="false" outlineLevel="0" max="7705" min="7705" style="54" width="8.88"/>
    <col collapsed="false" customWidth="true" hidden="false" outlineLevel="0" max="7706" min="7706" style="54" width="15.44"/>
    <col collapsed="false" customWidth="false" hidden="false" outlineLevel="0" max="7937" min="7707" style="54" width="8.88"/>
    <col collapsed="false" customWidth="true" hidden="false" outlineLevel="0" max="7938" min="7938" style="54" width="6.56"/>
    <col collapsed="false" customWidth="false" hidden="false" outlineLevel="0" max="7940" min="7939" style="54" width="8.88"/>
    <col collapsed="false" customWidth="true" hidden="false" outlineLevel="0" max="7941" min="7941" style="54" width="9.44"/>
    <col collapsed="false" customWidth="true" hidden="false" outlineLevel="0" max="7942" min="7942" style="54" width="5.44"/>
    <col collapsed="false" customWidth="true" hidden="false" outlineLevel="0" max="7943" min="7943" style="54" width="6.56"/>
    <col collapsed="false" customWidth="true" hidden="false" outlineLevel="0" max="7944" min="7944" style="54" width="9.56"/>
    <col collapsed="false" customWidth="false" hidden="false" outlineLevel="0" max="7945" min="7945" style="54" width="8.88"/>
    <col collapsed="false" customWidth="true" hidden="false" outlineLevel="0" max="7946" min="7946" style="54" width="8"/>
    <col collapsed="false" customWidth="true" hidden="false" outlineLevel="0" max="7947" min="7947" style="54" width="5.44"/>
    <col collapsed="false" customWidth="false" hidden="false" outlineLevel="0" max="7948" min="7948" style="54" width="8.88"/>
    <col collapsed="false" customWidth="true" hidden="false" outlineLevel="0" max="7949" min="7949" style="54" width="5.44"/>
    <col collapsed="false" customWidth="true" hidden="false" outlineLevel="0" max="7950" min="7950" style="54" width="15"/>
    <col collapsed="false" customWidth="true" hidden="false" outlineLevel="0" max="7951" min="7951" style="54" width="23.11"/>
    <col collapsed="false" customWidth="true" hidden="false" outlineLevel="0" max="7952" min="7952" style="54" width="5"/>
    <col collapsed="false" customWidth="false" hidden="false" outlineLevel="0" max="7954" min="7953" style="54" width="8.88"/>
    <col collapsed="false" customWidth="true" hidden="false" outlineLevel="0" max="7955" min="7955" style="54" width="13.44"/>
    <col collapsed="false" customWidth="true" hidden="false" outlineLevel="0" max="7956" min="7956" style="54" width="10.56"/>
    <col collapsed="false" customWidth="false" hidden="false" outlineLevel="0" max="7957" min="7957" style="54" width="8.88"/>
    <col collapsed="false" customWidth="true" hidden="false" outlineLevel="0" max="7958" min="7958" style="54" width="17"/>
    <col collapsed="false" customWidth="false" hidden="false" outlineLevel="0" max="7959" min="7959" style="54" width="8.88"/>
    <col collapsed="false" customWidth="true" hidden="false" outlineLevel="0" max="7960" min="7960" style="54" width="14.56"/>
    <col collapsed="false" customWidth="false" hidden="false" outlineLevel="0" max="7961" min="7961" style="54" width="8.88"/>
    <col collapsed="false" customWidth="true" hidden="false" outlineLevel="0" max="7962" min="7962" style="54" width="15.44"/>
    <col collapsed="false" customWidth="false" hidden="false" outlineLevel="0" max="8193" min="7963" style="54" width="8.88"/>
    <col collapsed="false" customWidth="true" hidden="false" outlineLevel="0" max="8194" min="8194" style="54" width="6.56"/>
    <col collapsed="false" customWidth="false" hidden="false" outlineLevel="0" max="8196" min="8195" style="54" width="8.88"/>
    <col collapsed="false" customWidth="true" hidden="false" outlineLevel="0" max="8197" min="8197" style="54" width="9.44"/>
    <col collapsed="false" customWidth="true" hidden="false" outlineLevel="0" max="8198" min="8198" style="54" width="5.44"/>
    <col collapsed="false" customWidth="true" hidden="false" outlineLevel="0" max="8199" min="8199" style="54" width="6.56"/>
    <col collapsed="false" customWidth="true" hidden="false" outlineLevel="0" max="8200" min="8200" style="54" width="9.56"/>
    <col collapsed="false" customWidth="false" hidden="false" outlineLevel="0" max="8201" min="8201" style="54" width="8.88"/>
    <col collapsed="false" customWidth="true" hidden="false" outlineLevel="0" max="8202" min="8202" style="54" width="8"/>
    <col collapsed="false" customWidth="true" hidden="false" outlineLevel="0" max="8203" min="8203" style="54" width="5.44"/>
    <col collapsed="false" customWidth="false" hidden="false" outlineLevel="0" max="8204" min="8204" style="54" width="8.88"/>
    <col collapsed="false" customWidth="true" hidden="false" outlineLevel="0" max="8205" min="8205" style="54" width="5.44"/>
    <col collapsed="false" customWidth="true" hidden="false" outlineLevel="0" max="8206" min="8206" style="54" width="15"/>
    <col collapsed="false" customWidth="true" hidden="false" outlineLevel="0" max="8207" min="8207" style="54" width="23.11"/>
    <col collapsed="false" customWidth="true" hidden="false" outlineLevel="0" max="8208" min="8208" style="54" width="5"/>
    <col collapsed="false" customWidth="false" hidden="false" outlineLevel="0" max="8210" min="8209" style="54" width="8.88"/>
    <col collapsed="false" customWidth="true" hidden="false" outlineLevel="0" max="8211" min="8211" style="54" width="13.44"/>
    <col collapsed="false" customWidth="true" hidden="false" outlineLevel="0" max="8212" min="8212" style="54" width="10.56"/>
    <col collapsed="false" customWidth="false" hidden="false" outlineLevel="0" max="8213" min="8213" style="54" width="8.88"/>
    <col collapsed="false" customWidth="true" hidden="false" outlineLevel="0" max="8214" min="8214" style="54" width="17"/>
    <col collapsed="false" customWidth="false" hidden="false" outlineLevel="0" max="8215" min="8215" style="54" width="8.88"/>
    <col collapsed="false" customWidth="true" hidden="false" outlineLevel="0" max="8216" min="8216" style="54" width="14.56"/>
    <col collapsed="false" customWidth="false" hidden="false" outlineLevel="0" max="8217" min="8217" style="54" width="8.88"/>
    <col collapsed="false" customWidth="true" hidden="false" outlineLevel="0" max="8218" min="8218" style="54" width="15.44"/>
    <col collapsed="false" customWidth="false" hidden="false" outlineLevel="0" max="8449" min="8219" style="54" width="8.88"/>
    <col collapsed="false" customWidth="true" hidden="false" outlineLevel="0" max="8450" min="8450" style="54" width="6.56"/>
    <col collapsed="false" customWidth="false" hidden="false" outlineLevel="0" max="8452" min="8451" style="54" width="8.88"/>
    <col collapsed="false" customWidth="true" hidden="false" outlineLevel="0" max="8453" min="8453" style="54" width="9.44"/>
    <col collapsed="false" customWidth="true" hidden="false" outlineLevel="0" max="8454" min="8454" style="54" width="5.44"/>
    <col collapsed="false" customWidth="true" hidden="false" outlineLevel="0" max="8455" min="8455" style="54" width="6.56"/>
    <col collapsed="false" customWidth="true" hidden="false" outlineLevel="0" max="8456" min="8456" style="54" width="9.56"/>
    <col collapsed="false" customWidth="false" hidden="false" outlineLevel="0" max="8457" min="8457" style="54" width="8.88"/>
    <col collapsed="false" customWidth="true" hidden="false" outlineLevel="0" max="8458" min="8458" style="54" width="8"/>
    <col collapsed="false" customWidth="true" hidden="false" outlineLevel="0" max="8459" min="8459" style="54" width="5.44"/>
    <col collapsed="false" customWidth="false" hidden="false" outlineLevel="0" max="8460" min="8460" style="54" width="8.88"/>
    <col collapsed="false" customWidth="true" hidden="false" outlineLevel="0" max="8461" min="8461" style="54" width="5.44"/>
    <col collapsed="false" customWidth="true" hidden="false" outlineLevel="0" max="8462" min="8462" style="54" width="15"/>
    <col collapsed="false" customWidth="true" hidden="false" outlineLevel="0" max="8463" min="8463" style="54" width="23.11"/>
    <col collapsed="false" customWidth="true" hidden="false" outlineLevel="0" max="8464" min="8464" style="54" width="5"/>
    <col collapsed="false" customWidth="false" hidden="false" outlineLevel="0" max="8466" min="8465" style="54" width="8.88"/>
    <col collapsed="false" customWidth="true" hidden="false" outlineLevel="0" max="8467" min="8467" style="54" width="13.44"/>
    <col collapsed="false" customWidth="true" hidden="false" outlineLevel="0" max="8468" min="8468" style="54" width="10.56"/>
    <col collapsed="false" customWidth="false" hidden="false" outlineLevel="0" max="8469" min="8469" style="54" width="8.88"/>
    <col collapsed="false" customWidth="true" hidden="false" outlineLevel="0" max="8470" min="8470" style="54" width="17"/>
    <col collapsed="false" customWidth="false" hidden="false" outlineLevel="0" max="8471" min="8471" style="54" width="8.88"/>
    <col collapsed="false" customWidth="true" hidden="false" outlineLevel="0" max="8472" min="8472" style="54" width="14.56"/>
    <col collapsed="false" customWidth="false" hidden="false" outlineLevel="0" max="8473" min="8473" style="54" width="8.88"/>
    <col collapsed="false" customWidth="true" hidden="false" outlineLevel="0" max="8474" min="8474" style="54" width="15.44"/>
    <col collapsed="false" customWidth="false" hidden="false" outlineLevel="0" max="8705" min="8475" style="54" width="8.88"/>
    <col collapsed="false" customWidth="true" hidden="false" outlineLevel="0" max="8706" min="8706" style="54" width="6.56"/>
    <col collapsed="false" customWidth="false" hidden="false" outlineLevel="0" max="8708" min="8707" style="54" width="8.88"/>
    <col collapsed="false" customWidth="true" hidden="false" outlineLevel="0" max="8709" min="8709" style="54" width="9.44"/>
    <col collapsed="false" customWidth="true" hidden="false" outlineLevel="0" max="8710" min="8710" style="54" width="5.44"/>
    <col collapsed="false" customWidth="true" hidden="false" outlineLevel="0" max="8711" min="8711" style="54" width="6.56"/>
    <col collapsed="false" customWidth="true" hidden="false" outlineLevel="0" max="8712" min="8712" style="54" width="9.56"/>
    <col collapsed="false" customWidth="false" hidden="false" outlineLevel="0" max="8713" min="8713" style="54" width="8.88"/>
    <col collapsed="false" customWidth="true" hidden="false" outlineLevel="0" max="8714" min="8714" style="54" width="8"/>
    <col collapsed="false" customWidth="true" hidden="false" outlineLevel="0" max="8715" min="8715" style="54" width="5.44"/>
    <col collapsed="false" customWidth="false" hidden="false" outlineLevel="0" max="8716" min="8716" style="54" width="8.88"/>
    <col collapsed="false" customWidth="true" hidden="false" outlineLevel="0" max="8717" min="8717" style="54" width="5.44"/>
    <col collapsed="false" customWidth="true" hidden="false" outlineLevel="0" max="8718" min="8718" style="54" width="15"/>
    <col collapsed="false" customWidth="true" hidden="false" outlineLevel="0" max="8719" min="8719" style="54" width="23.11"/>
    <col collapsed="false" customWidth="true" hidden="false" outlineLevel="0" max="8720" min="8720" style="54" width="5"/>
    <col collapsed="false" customWidth="false" hidden="false" outlineLevel="0" max="8722" min="8721" style="54" width="8.88"/>
    <col collapsed="false" customWidth="true" hidden="false" outlineLevel="0" max="8723" min="8723" style="54" width="13.44"/>
    <col collapsed="false" customWidth="true" hidden="false" outlineLevel="0" max="8724" min="8724" style="54" width="10.56"/>
    <col collapsed="false" customWidth="false" hidden="false" outlineLevel="0" max="8725" min="8725" style="54" width="8.88"/>
    <col collapsed="false" customWidth="true" hidden="false" outlineLevel="0" max="8726" min="8726" style="54" width="17"/>
    <col collapsed="false" customWidth="false" hidden="false" outlineLevel="0" max="8727" min="8727" style="54" width="8.88"/>
    <col collapsed="false" customWidth="true" hidden="false" outlineLevel="0" max="8728" min="8728" style="54" width="14.56"/>
    <col collapsed="false" customWidth="false" hidden="false" outlineLevel="0" max="8729" min="8729" style="54" width="8.88"/>
    <col collapsed="false" customWidth="true" hidden="false" outlineLevel="0" max="8730" min="8730" style="54" width="15.44"/>
    <col collapsed="false" customWidth="false" hidden="false" outlineLevel="0" max="8961" min="8731" style="54" width="8.88"/>
    <col collapsed="false" customWidth="true" hidden="false" outlineLevel="0" max="8962" min="8962" style="54" width="6.56"/>
    <col collapsed="false" customWidth="false" hidden="false" outlineLevel="0" max="8964" min="8963" style="54" width="8.88"/>
    <col collapsed="false" customWidth="true" hidden="false" outlineLevel="0" max="8965" min="8965" style="54" width="9.44"/>
    <col collapsed="false" customWidth="true" hidden="false" outlineLevel="0" max="8966" min="8966" style="54" width="5.44"/>
    <col collapsed="false" customWidth="true" hidden="false" outlineLevel="0" max="8967" min="8967" style="54" width="6.56"/>
    <col collapsed="false" customWidth="true" hidden="false" outlineLevel="0" max="8968" min="8968" style="54" width="9.56"/>
    <col collapsed="false" customWidth="false" hidden="false" outlineLevel="0" max="8969" min="8969" style="54" width="8.88"/>
    <col collapsed="false" customWidth="true" hidden="false" outlineLevel="0" max="8970" min="8970" style="54" width="8"/>
    <col collapsed="false" customWidth="true" hidden="false" outlineLevel="0" max="8971" min="8971" style="54" width="5.44"/>
    <col collapsed="false" customWidth="false" hidden="false" outlineLevel="0" max="8972" min="8972" style="54" width="8.88"/>
    <col collapsed="false" customWidth="true" hidden="false" outlineLevel="0" max="8973" min="8973" style="54" width="5.44"/>
    <col collapsed="false" customWidth="true" hidden="false" outlineLevel="0" max="8974" min="8974" style="54" width="15"/>
    <col collapsed="false" customWidth="true" hidden="false" outlineLevel="0" max="8975" min="8975" style="54" width="23.11"/>
    <col collapsed="false" customWidth="true" hidden="false" outlineLevel="0" max="8976" min="8976" style="54" width="5"/>
    <col collapsed="false" customWidth="false" hidden="false" outlineLevel="0" max="8978" min="8977" style="54" width="8.88"/>
    <col collapsed="false" customWidth="true" hidden="false" outlineLevel="0" max="8979" min="8979" style="54" width="13.44"/>
    <col collapsed="false" customWidth="true" hidden="false" outlineLevel="0" max="8980" min="8980" style="54" width="10.56"/>
    <col collapsed="false" customWidth="false" hidden="false" outlineLevel="0" max="8981" min="8981" style="54" width="8.88"/>
    <col collapsed="false" customWidth="true" hidden="false" outlineLevel="0" max="8982" min="8982" style="54" width="17"/>
    <col collapsed="false" customWidth="false" hidden="false" outlineLevel="0" max="8983" min="8983" style="54" width="8.88"/>
    <col collapsed="false" customWidth="true" hidden="false" outlineLevel="0" max="8984" min="8984" style="54" width="14.56"/>
    <col collapsed="false" customWidth="false" hidden="false" outlineLevel="0" max="8985" min="8985" style="54" width="8.88"/>
    <col collapsed="false" customWidth="true" hidden="false" outlineLevel="0" max="8986" min="8986" style="54" width="15.44"/>
    <col collapsed="false" customWidth="false" hidden="false" outlineLevel="0" max="9217" min="8987" style="54" width="8.88"/>
    <col collapsed="false" customWidth="true" hidden="false" outlineLevel="0" max="9218" min="9218" style="54" width="6.56"/>
    <col collapsed="false" customWidth="false" hidden="false" outlineLevel="0" max="9220" min="9219" style="54" width="8.88"/>
    <col collapsed="false" customWidth="true" hidden="false" outlineLevel="0" max="9221" min="9221" style="54" width="9.44"/>
    <col collapsed="false" customWidth="true" hidden="false" outlineLevel="0" max="9222" min="9222" style="54" width="5.44"/>
    <col collapsed="false" customWidth="true" hidden="false" outlineLevel="0" max="9223" min="9223" style="54" width="6.56"/>
    <col collapsed="false" customWidth="true" hidden="false" outlineLevel="0" max="9224" min="9224" style="54" width="9.56"/>
    <col collapsed="false" customWidth="false" hidden="false" outlineLevel="0" max="9225" min="9225" style="54" width="8.88"/>
    <col collapsed="false" customWidth="true" hidden="false" outlineLevel="0" max="9226" min="9226" style="54" width="8"/>
    <col collapsed="false" customWidth="true" hidden="false" outlineLevel="0" max="9227" min="9227" style="54" width="5.44"/>
    <col collapsed="false" customWidth="false" hidden="false" outlineLevel="0" max="9228" min="9228" style="54" width="8.88"/>
    <col collapsed="false" customWidth="true" hidden="false" outlineLevel="0" max="9229" min="9229" style="54" width="5.44"/>
    <col collapsed="false" customWidth="true" hidden="false" outlineLevel="0" max="9230" min="9230" style="54" width="15"/>
    <col collapsed="false" customWidth="true" hidden="false" outlineLevel="0" max="9231" min="9231" style="54" width="23.11"/>
    <col collapsed="false" customWidth="true" hidden="false" outlineLevel="0" max="9232" min="9232" style="54" width="5"/>
    <col collapsed="false" customWidth="false" hidden="false" outlineLevel="0" max="9234" min="9233" style="54" width="8.88"/>
    <col collapsed="false" customWidth="true" hidden="false" outlineLevel="0" max="9235" min="9235" style="54" width="13.44"/>
    <col collapsed="false" customWidth="true" hidden="false" outlineLevel="0" max="9236" min="9236" style="54" width="10.56"/>
    <col collapsed="false" customWidth="false" hidden="false" outlineLevel="0" max="9237" min="9237" style="54" width="8.88"/>
    <col collapsed="false" customWidth="true" hidden="false" outlineLevel="0" max="9238" min="9238" style="54" width="17"/>
    <col collapsed="false" customWidth="false" hidden="false" outlineLevel="0" max="9239" min="9239" style="54" width="8.88"/>
    <col collapsed="false" customWidth="true" hidden="false" outlineLevel="0" max="9240" min="9240" style="54" width="14.56"/>
    <col collapsed="false" customWidth="false" hidden="false" outlineLevel="0" max="9241" min="9241" style="54" width="8.88"/>
    <col collapsed="false" customWidth="true" hidden="false" outlineLevel="0" max="9242" min="9242" style="54" width="15.44"/>
    <col collapsed="false" customWidth="false" hidden="false" outlineLevel="0" max="9473" min="9243" style="54" width="8.88"/>
    <col collapsed="false" customWidth="true" hidden="false" outlineLevel="0" max="9474" min="9474" style="54" width="6.56"/>
    <col collapsed="false" customWidth="false" hidden="false" outlineLevel="0" max="9476" min="9475" style="54" width="8.88"/>
    <col collapsed="false" customWidth="true" hidden="false" outlineLevel="0" max="9477" min="9477" style="54" width="9.44"/>
    <col collapsed="false" customWidth="true" hidden="false" outlineLevel="0" max="9478" min="9478" style="54" width="5.44"/>
    <col collapsed="false" customWidth="true" hidden="false" outlineLevel="0" max="9479" min="9479" style="54" width="6.56"/>
    <col collapsed="false" customWidth="true" hidden="false" outlineLevel="0" max="9480" min="9480" style="54" width="9.56"/>
    <col collapsed="false" customWidth="false" hidden="false" outlineLevel="0" max="9481" min="9481" style="54" width="8.88"/>
    <col collapsed="false" customWidth="true" hidden="false" outlineLevel="0" max="9482" min="9482" style="54" width="8"/>
    <col collapsed="false" customWidth="true" hidden="false" outlineLevel="0" max="9483" min="9483" style="54" width="5.44"/>
    <col collapsed="false" customWidth="false" hidden="false" outlineLevel="0" max="9484" min="9484" style="54" width="8.88"/>
    <col collapsed="false" customWidth="true" hidden="false" outlineLevel="0" max="9485" min="9485" style="54" width="5.44"/>
    <col collapsed="false" customWidth="true" hidden="false" outlineLevel="0" max="9486" min="9486" style="54" width="15"/>
    <col collapsed="false" customWidth="true" hidden="false" outlineLevel="0" max="9487" min="9487" style="54" width="23.11"/>
    <col collapsed="false" customWidth="true" hidden="false" outlineLevel="0" max="9488" min="9488" style="54" width="5"/>
    <col collapsed="false" customWidth="false" hidden="false" outlineLevel="0" max="9490" min="9489" style="54" width="8.88"/>
    <col collapsed="false" customWidth="true" hidden="false" outlineLevel="0" max="9491" min="9491" style="54" width="13.44"/>
    <col collapsed="false" customWidth="true" hidden="false" outlineLevel="0" max="9492" min="9492" style="54" width="10.56"/>
    <col collapsed="false" customWidth="false" hidden="false" outlineLevel="0" max="9493" min="9493" style="54" width="8.88"/>
    <col collapsed="false" customWidth="true" hidden="false" outlineLevel="0" max="9494" min="9494" style="54" width="17"/>
    <col collapsed="false" customWidth="false" hidden="false" outlineLevel="0" max="9495" min="9495" style="54" width="8.88"/>
    <col collapsed="false" customWidth="true" hidden="false" outlineLevel="0" max="9496" min="9496" style="54" width="14.56"/>
    <col collapsed="false" customWidth="false" hidden="false" outlineLevel="0" max="9497" min="9497" style="54" width="8.88"/>
    <col collapsed="false" customWidth="true" hidden="false" outlineLevel="0" max="9498" min="9498" style="54" width="15.44"/>
    <col collapsed="false" customWidth="false" hidden="false" outlineLevel="0" max="9729" min="9499" style="54" width="8.88"/>
    <col collapsed="false" customWidth="true" hidden="false" outlineLevel="0" max="9730" min="9730" style="54" width="6.56"/>
    <col collapsed="false" customWidth="false" hidden="false" outlineLevel="0" max="9732" min="9731" style="54" width="8.88"/>
    <col collapsed="false" customWidth="true" hidden="false" outlineLevel="0" max="9733" min="9733" style="54" width="9.44"/>
    <col collapsed="false" customWidth="true" hidden="false" outlineLevel="0" max="9734" min="9734" style="54" width="5.44"/>
    <col collapsed="false" customWidth="true" hidden="false" outlineLevel="0" max="9735" min="9735" style="54" width="6.56"/>
    <col collapsed="false" customWidth="true" hidden="false" outlineLevel="0" max="9736" min="9736" style="54" width="9.56"/>
    <col collapsed="false" customWidth="false" hidden="false" outlineLevel="0" max="9737" min="9737" style="54" width="8.88"/>
    <col collapsed="false" customWidth="true" hidden="false" outlineLevel="0" max="9738" min="9738" style="54" width="8"/>
    <col collapsed="false" customWidth="true" hidden="false" outlineLevel="0" max="9739" min="9739" style="54" width="5.44"/>
    <col collapsed="false" customWidth="false" hidden="false" outlineLevel="0" max="9740" min="9740" style="54" width="8.88"/>
    <col collapsed="false" customWidth="true" hidden="false" outlineLevel="0" max="9741" min="9741" style="54" width="5.44"/>
    <col collapsed="false" customWidth="true" hidden="false" outlineLevel="0" max="9742" min="9742" style="54" width="15"/>
    <col collapsed="false" customWidth="true" hidden="false" outlineLevel="0" max="9743" min="9743" style="54" width="23.11"/>
    <col collapsed="false" customWidth="true" hidden="false" outlineLevel="0" max="9744" min="9744" style="54" width="5"/>
    <col collapsed="false" customWidth="false" hidden="false" outlineLevel="0" max="9746" min="9745" style="54" width="8.88"/>
    <col collapsed="false" customWidth="true" hidden="false" outlineLevel="0" max="9747" min="9747" style="54" width="13.44"/>
    <col collapsed="false" customWidth="true" hidden="false" outlineLevel="0" max="9748" min="9748" style="54" width="10.56"/>
    <col collapsed="false" customWidth="false" hidden="false" outlineLevel="0" max="9749" min="9749" style="54" width="8.88"/>
    <col collapsed="false" customWidth="true" hidden="false" outlineLevel="0" max="9750" min="9750" style="54" width="17"/>
    <col collapsed="false" customWidth="false" hidden="false" outlineLevel="0" max="9751" min="9751" style="54" width="8.88"/>
    <col collapsed="false" customWidth="true" hidden="false" outlineLevel="0" max="9752" min="9752" style="54" width="14.56"/>
    <col collapsed="false" customWidth="false" hidden="false" outlineLevel="0" max="9753" min="9753" style="54" width="8.88"/>
    <col collapsed="false" customWidth="true" hidden="false" outlineLevel="0" max="9754" min="9754" style="54" width="15.44"/>
    <col collapsed="false" customWidth="false" hidden="false" outlineLevel="0" max="9985" min="9755" style="54" width="8.88"/>
    <col collapsed="false" customWidth="true" hidden="false" outlineLevel="0" max="9986" min="9986" style="54" width="6.56"/>
    <col collapsed="false" customWidth="false" hidden="false" outlineLevel="0" max="9988" min="9987" style="54" width="8.88"/>
    <col collapsed="false" customWidth="true" hidden="false" outlineLevel="0" max="9989" min="9989" style="54" width="9.44"/>
    <col collapsed="false" customWidth="true" hidden="false" outlineLevel="0" max="9990" min="9990" style="54" width="5.44"/>
    <col collapsed="false" customWidth="true" hidden="false" outlineLevel="0" max="9991" min="9991" style="54" width="6.56"/>
    <col collapsed="false" customWidth="true" hidden="false" outlineLevel="0" max="9992" min="9992" style="54" width="9.56"/>
    <col collapsed="false" customWidth="false" hidden="false" outlineLevel="0" max="9993" min="9993" style="54" width="8.88"/>
    <col collapsed="false" customWidth="true" hidden="false" outlineLevel="0" max="9994" min="9994" style="54" width="8"/>
    <col collapsed="false" customWidth="true" hidden="false" outlineLevel="0" max="9995" min="9995" style="54" width="5.44"/>
    <col collapsed="false" customWidth="false" hidden="false" outlineLevel="0" max="9996" min="9996" style="54" width="8.88"/>
    <col collapsed="false" customWidth="true" hidden="false" outlineLevel="0" max="9997" min="9997" style="54" width="5.44"/>
    <col collapsed="false" customWidth="true" hidden="false" outlineLevel="0" max="9998" min="9998" style="54" width="15"/>
    <col collapsed="false" customWidth="true" hidden="false" outlineLevel="0" max="9999" min="9999" style="54" width="23.11"/>
    <col collapsed="false" customWidth="true" hidden="false" outlineLevel="0" max="10000" min="10000" style="54" width="5"/>
    <col collapsed="false" customWidth="false" hidden="false" outlineLevel="0" max="10002" min="10001" style="54" width="8.88"/>
    <col collapsed="false" customWidth="true" hidden="false" outlineLevel="0" max="10003" min="10003" style="54" width="13.44"/>
    <col collapsed="false" customWidth="true" hidden="false" outlineLevel="0" max="10004" min="10004" style="54" width="10.56"/>
    <col collapsed="false" customWidth="false" hidden="false" outlineLevel="0" max="10005" min="10005" style="54" width="8.88"/>
    <col collapsed="false" customWidth="true" hidden="false" outlineLevel="0" max="10006" min="10006" style="54" width="17"/>
    <col collapsed="false" customWidth="false" hidden="false" outlineLevel="0" max="10007" min="10007" style="54" width="8.88"/>
    <col collapsed="false" customWidth="true" hidden="false" outlineLevel="0" max="10008" min="10008" style="54" width="14.56"/>
    <col collapsed="false" customWidth="false" hidden="false" outlineLevel="0" max="10009" min="10009" style="54" width="8.88"/>
    <col collapsed="false" customWidth="true" hidden="false" outlineLevel="0" max="10010" min="10010" style="54" width="15.44"/>
    <col collapsed="false" customWidth="false" hidden="false" outlineLevel="0" max="10241" min="10011" style="54" width="8.88"/>
    <col collapsed="false" customWidth="true" hidden="false" outlineLevel="0" max="10242" min="10242" style="54" width="6.56"/>
    <col collapsed="false" customWidth="false" hidden="false" outlineLevel="0" max="10244" min="10243" style="54" width="8.88"/>
    <col collapsed="false" customWidth="true" hidden="false" outlineLevel="0" max="10245" min="10245" style="54" width="9.44"/>
    <col collapsed="false" customWidth="true" hidden="false" outlineLevel="0" max="10246" min="10246" style="54" width="5.44"/>
    <col collapsed="false" customWidth="true" hidden="false" outlineLevel="0" max="10247" min="10247" style="54" width="6.56"/>
    <col collapsed="false" customWidth="true" hidden="false" outlineLevel="0" max="10248" min="10248" style="54" width="9.56"/>
    <col collapsed="false" customWidth="false" hidden="false" outlineLevel="0" max="10249" min="10249" style="54" width="8.88"/>
    <col collapsed="false" customWidth="true" hidden="false" outlineLevel="0" max="10250" min="10250" style="54" width="8"/>
    <col collapsed="false" customWidth="true" hidden="false" outlineLevel="0" max="10251" min="10251" style="54" width="5.44"/>
    <col collapsed="false" customWidth="false" hidden="false" outlineLevel="0" max="10252" min="10252" style="54" width="8.88"/>
    <col collapsed="false" customWidth="true" hidden="false" outlineLevel="0" max="10253" min="10253" style="54" width="5.44"/>
    <col collapsed="false" customWidth="true" hidden="false" outlineLevel="0" max="10254" min="10254" style="54" width="15"/>
    <col collapsed="false" customWidth="true" hidden="false" outlineLevel="0" max="10255" min="10255" style="54" width="23.11"/>
    <col collapsed="false" customWidth="true" hidden="false" outlineLevel="0" max="10256" min="10256" style="54" width="5"/>
    <col collapsed="false" customWidth="false" hidden="false" outlineLevel="0" max="10258" min="10257" style="54" width="8.88"/>
    <col collapsed="false" customWidth="true" hidden="false" outlineLevel="0" max="10259" min="10259" style="54" width="13.44"/>
    <col collapsed="false" customWidth="true" hidden="false" outlineLevel="0" max="10260" min="10260" style="54" width="10.56"/>
    <col collapsed="false" customWidth="false" hidden="false" outlineLevel="0" max="10261" min="10261" style="54" width="8.88"/>
    <col collapsed="false" customWidth="true" hidden="false" outlineLevel="0" max="10262" min="10262" style="54" width="17"/>
    <col collapsed="false" customWidth="false" hidden="false" outlineLevel="0" max="10263" min="10263" style="54" width="8.88"/>
    <col collapsed="false" customWidth="true" hidden="false" outlineLevel="0" max="10264" min="10264" style="54" width="14.56"/>
    <col collapsed="false" customWidth="false" hidden="false" outlineLevel="0" max="10265" min="10265" style="54" width="8.88"/>
    <col collapsed="false" customWidth="true" hidden="false" outlineLevel="0" max="10266" min="10266" style="54" width="15.44"/>
    <col collapsed="false" customWidth="false" hidden="false" outlineLevel="0" max="10497" min="10267" style="54" width="8.88"/>
    <col collapsed="false" customWidth="true" hidden="false" outlineLevel="0" max="10498" min="10498" style="54" width="6.56"/>
    <col collapsed="false" customWidth="false" hidden="false" outlineLevel="0" max="10500" min="10499" style="54" width="8.88"/>
    <col collapsed="false" customWidth="true" hidden="false" outlineLevel="0" max="10501" min="10501" style="54" width="9.44"/>
    <col collapsed="false" customWidth="true" hidden="false" outlineLevel="0" max="10502" min="10502" style="54" width="5.44"/>
    <col collapsed="false" customWidth="true" hidden="false" outlineLevel="0" max="10503" min="10503" style="54" width="6.56"/>
    <col collapsed="false" customWidth="true" hidden="false" outlineLevel="0" max="10504" min="10504" style="54" width="9.56"/>
    <col collapsed="false" customWidth="false" hidden="false" outlineLevel="0" max="10505" min="10505" style="54" width="8.88"/>
    <col collapsed="false" customWidth="true" hidden="false" outlineLevel="0" max="10506" min="10506" style="54" width="8"/>
    <col collapsed="false" customWidth="true" hidden="false" outlineLevel="0" max="10507" min="10507" style="54" width="5.44"/>
    <col collapsed="false" customWidth="false" hidden="false" outlineLevel="0" max="10508" min="10508" style="54" width="8.88"/>
    <col collapsed="false" customWidth="true" hidden="false" outlineLevel="0" max="10509" min="10509" style="54" width="5.44"/>
    <col collapsed="false" customWidth="true" hidden="false" outlineLevel="0" max="10510" min="10510" style="54" width="15"/>
    <col collapsed="false" customWidth="true" hidden="false" outlineLevel="0" max="10511" min="10511" style="54" width="23.11"/>
    <col collapsed="false" customWidth="true" hidden="false" outlineLevel="0" max="10512" min="10512" style="54" width="5"/>
    <col collapsed="false" customWidth="false" hidden="false" outlineLevel="0" max="10514" min="10513" style="54" width="8.88"/>
    <col collapsed="false" customWidth="true" hidden="false" outlineLevel="0" max="10515" min="10515" style="54" width="13.44"/>
    <col collapsed="false" customWidth="true" hidden="false" outlineLevel="0" max="10516" min="10516" style="54" width="10.56"/>
    <col collapsed="false" customWidth="false" hidden="false" outlineLevel="0" max="10517" min="10517" style="54" width="8.88"/>
    <col collapsed="false" customWidth="true" hidden="false" outlineLevel="0" max="10518" min="10518" style="54" width="17"/>
    <col collapsed="false" customWidth="false" hidden="false" outlineLevel="0" max="10519" min="10519" style="54" width="8.88"/>
    <col collapsed="false" customWidth="true" hidden="false" outlineLevel="0" max="10520" min="10520" style="54" width="14.56"/>
    <col collapsed="false" customWidth="false" hidden="false" outlineLevel="0" max="10521" min="10521" style="54" width="8.88"/>
    <col collapsed="false" customWidth="true" hidden="false" outlineLevel="0" max="10522" min="10522" style="54" width="15.44"/>
    <col collapsed="false" customWidth="false" hidden="false" outlineLevel="0" max="10753" min="10523" style="54" width="8.88"/>
    <col collapsed="false" customWidth="true" hidden="false" outlineLevel="0" max="10754" min="10754" style="54" width="6.56"/>
    <col collapsed="false" customWidth="false" hidden="false" outlineLevel="0" max="10756" min="10755" style="54" width="8.88"/>
    <col collapsed="false" customWidth="true" hidden="false" outlineLevel="0" max="10757" min="10757" style="54" width="9.44"/>
    <col collapsed="false" customWidth="true" hidden="false" outlineLevel="0" max="10758" min="10758" style="54" width="5.44"/>
    <col collapsed="false" customWidth="true" hidden="false" outlineLevel="0" max="10759" min="10759" style="54" width="6.56"/>
    <col collapsed="false" customWidth="true" hidden="false" outlineLevel="0" max="10760" min="10760" style="54" width="9.56"/>
    <col collapsed="false" customWidth="false" hidden="false" outlineLevel="0" max="10761" min="10761" style="54" width="8.88"/>
    <col collapsed="false" customWidth="true" hidden="false" outlineLevel="0" max="10762" min="10762" style="54" width="8"/>
    <col collapsed="false" customWidth="true" hidden="false" outlineLevel="0" max="10763" min="10763" style="54" width="5.44"/>
    <col collapsed="false" customWidth="false" hidden="false" outlineLevel="0" max="10764" min="10764" style="54" width="8.88"/>
    <col collapsed="false" customWidth="true" hidden="false" outlineLevel="0" max="10765" min="10765" style="54" width="5.44"/>
    <col collapsed="false" customWidth="true" hidden="false" outlineLevel="0" max="10766" min="10766" style="54" width="15"/>
    <col collapsed="false" customWidth="true" hidden="false" outlineLevel="0" max="10767" min="10767" style="54" width="23.11"/>
    <col collapsed="false" customWidth="true" hidden="false" outlineLevel="0" max="10768" min="10768" style="54" width="5"/>
    <col collapsed="false" customWidth="false" hidden="false" outlineLevel="0" max="10770" min="10769" style="54" width="8.88"/>
    <col collapsed="false" customWidth="true" hidden="false" outlineLevel="0" max="10771" min="10771" style="54" width="13.44"/>
    <col collapsed="false" customWidth="true" hidden="false" outlineLevel="0" max="10772" min="10772" style="54" width="10.56"/>
    <col collapsed="false" customWidth="false" hidden="false" outlineLevel="0" max="10773" min="10773" style="54" width="8.88"/>
    <col collapsed="false" customWidth="true" hidden="false" outlineLevel="0" max="10774" min="10774" style="54" width="17"/>
    <col collapsed="false" customWidth="false" hidden="false" outlineLevel="0" max="10775" min="10775" style="54" width="8.88"/>
    <col collapsed="false" customWidth="true" hidden="false" outlineLevel="0" max="10776" min="10776" style="54" width="14.56"/>
    <col collapsed="false" customWidth="false" hidden="false" outlineLevel="0" max="10777" min="10777" style="54" width="8.88"/>
    <col collapsed="false" customWidth="true" hidden="false" outlineLevel="0" max="10778" min="10778" style="54" width="15.44"/>
    <col collapsed="false" customWidth="false" hidden="false" outlineLevel="0" max="11009" min="10779" style="54" width="8.88"/>
    <col collapsed="false" customWidth="true" hidden="false" outlineLevel="0" max="11010" min="11010" style="54" width="6.56"/>
    <col collapsed="false" customWidth="false" hidden="false" outlineLevel="0" max="11012" min="11011" style="54" width="8.88"/>
    <col collapsed="false" customWidth="true" hidden="false" outlineLevel="0" max="11013" min="11013" style="54" width="9.44"/>
    <col collapsed="false" customWidth="true" hidden="false" outlineLevel="0" max="11014" min="11014" style="54" width="5.44"/>
    <col collapsed="false" customWidth="true" hidden="false" outlineLevel="0" max="11015" min="11015" style="54" width="6.56"/>
    <col collapsed="false" customWidth="true" hidden="false" outlineLevel="0" max="11016" min="11016" style="54" width="9.56"/>
    <col collapsed="false" customWidth="false" hidden="false" outlineLevel="0" max="11017" min="11017" style="54" width="8.88"/>
    <col collapsed="false" customWidth="true" hidden="false" outlineLevel="0" max="11018" min="11018" style="54" width="8"/>
    <col collapsed="false" customWidth="true" hidden="false" outlineLevel="0" max="11019" min="11019" style="54" width="5.44"/>
    <col collapsed="false" customWidth="false" hidden="false" outlineLevel="0" max="11020" min="11020" style="54" width="8.88"/>
    <col collapsed="false" customWidth="true" hidden="false" outlineLevel="0" max="11021" min="11021" style="54" width="5.44"/>
    <col collapsed="false" customWidth="true" hidden="false" outlineLevel="0" max="11022" min="11022" style="54" width="15"/>
    <col collapsed="false" customWidth="true" hidden="false" outlineLevel="0" max="11023" min="11023" style="54" width="23.11"/>
    <col collapsed="false" customWidth="true" hidden="false" outlineLevel="0" max="11024" min="11024" style="54" width="5"/>
    <col collapsed="false" customWidth="false" hidden="false" outlineLevel="0" max="11026" min="11025" style="54" width="8.88"/>
    <col collapsed="false" customWidth="true" hidden="false" outlineLevel="0" max="11027" min="11027" style="54" width="13.44"/>
    <col collapsed="false" customWidth="true" hidden="false" outlineLevel="0" max="11028" min="11028" style="54" width="10.56"/>
    <col collapsed="false" customWidth="false" hidden="false" outlineLevel="0" max="11029" min="11029" style="54" width="8.88"/>
    <col collapsed="false" customWidth="true" hidden="false" outlineLevel="0" max="11030" min="11030" style="54" width="17"/>
    <col collapsed="false" customWidth="false" hidden="false" outlineLevel="0" max="11031" min="11031" style="54" width="8.88"/>
    <col collapsed="false" customWidth="true" hidden="false" outlineLevel="0" max="11032" min="11032" style="54" width="14.56"/>
    <col collapsed="false" customWidth="false" hidden="false" outlineLevel="0" max="11033" min="11033" style="54" width="8.88"/>
    <col collapsed="false" customWidth="true" hidden="false" outlineLevel="0" max="11034" min="11034" style="54" width="15.44"/>
    <col collapsed="false" customWidth="false" hidden="false" outlineLevel="0" max="11265" min="11035" style="54" width="8.88"/>
    <col collapsed="false" customWidth="true" hidden="false" outlineLevel="0" max="11266" min="11266" style="54" width="6.56"/>
    <col collapsed="false" customWidth="false" hidden="false" outlineLevel="0" max="11268" min="11267" style="54" width="8.88"/>
    <col collapsed="false" customWidth="true" hidden="false" outlineLevel="0" max="11269" min="11269" style="54" width="9.44"/>
    <col collapsed="false" customWidth="true" hidden="false" outlineLevel="0" max="11270" min="11270" style="54" width="5.44"/>
    <col collapsed="false" customWidth="true" hidden="false" outlineLevel="0" max="11271" min="11271" style="54" width="6.56"/>
    <col collapsed="false" customWidth="true" hidden="false" outlineLevel="0" max="11272" min="11272" style="54" width="9.56"/>
    <col collapsed="false" customWidth="false" hidden="false" outlineLevel="0" max="11273" min="11273" style="54" width="8.88"/>
    <col collapsed="false" customWidth="true" hidden="false" outlineLevel="0" max="11274" min="11274" style="54" width="8"/>
    <col collapsed="false" customWidth="true" hidden="false" outlineLevel="0" max="11275" min="11275" style="54" width="5.44"/>
    <col collapsed="false" customWidth="false" hidden="false" outlineLevel="0" max="11276" min="11276" style="54" width="8.88"/>
    <col collapsed="false" customWidth="true" hidden="false" outlineLevel="0" max="11277" min="11277" style="54" width="5.44"/>
    <col collapsed="false" customWidth="true" hidden="false" outlineLevel="0" max="11278" min="11278" style="54" width="15"/>
    <col collapsed="false" customWidth="true" hidden="false" outlineLevel="0" max="11279" min="11279" style="54" width="23.11"/>
    <col collapsed="false" customWidth="true" hidden="false" outlineLevel="0" max="11280" min="11280" style="54" width="5"/>
    <col collapsed="false" customWidth="false" hidden="false" outlineLevel="0" max="11282" min="11281" style="54" width="8.88"/>
    <col collapsed="false" customWidth="true" hidden="false" outlineLevel="0" max="11283" min="11283" style="54" width="13.44"/>
    <col collapsed="false" customWidth="true" hidden="false" outlineLevel="0" max="11284" min="11284" style="54" width="10.56"/>
    <col collapsed="false" customWidth="false" hidden="false" outlineLevel="0" max="11285" min="11285" style="54" width="8.88"/>
    <col collapsed="false" customWidth="true" hidden="false" outlineLevel="0" max="11286" min="11286" style="54" width="17"/>
    <col collapsed="false" customWidth="false" hidden="false" outlineLevel="0" max="11287" min="11287" style="54" width="8.88"/>
    <col collapsed="false" customWidth="true" hidden="false" outlineLevel="0" max="11288" min="11288" style="54" width="14.56"/>
    <col collapsed="false" customWidth="false" hidden="false" outlineLevel="0" max="11289" min="11289" style="54" width="8.88"/>
    <col collapsed="false" customWidth="true" hidden="false" outlineLevel="0" max="11290" min="11290" style="54" width="15.44"/>
    <col collapsed="false" customWidth="false" hidden="false" outlineLevel="0" max="11521" min="11291" style="54" width="8.88"/>
    <col collapsed="false" customWidth="true" hidden="false" outlineLevel="0" max="11522" min="11522" style="54" width="6.56"/>
    <col collapsed="false" customWidth="false" hidden="false" outlineLevel="0" max="11524" min="11523" style="54" width="8.88"/>
    <col collapsed="false" customWidth="true" hidden="false" outlineLevel="0" max="11525" min="11525" style="54" width="9.44"/>
    <col collapsed="false" customWidth="true" hidden="false" outlineLevel="0" max="11526" min="11526" style="54" width="5.44"/>
    <col collapsed="false" customWidth="true" hidden="false" outlineLevel="0" max="11527" min="11527" style="54" width="6.56"/>
    <col collapsed="false" customWidth="true" hidden="false" outlineLevel="0" max="11528" min="11528" style="54" width="9.56"/>
    <col collapsed="false" customWidth="false" hidden="false" outlineLevel="0" max="11529" min="11529" style="54" width="8.88"/>
    <col collapsed="false" customWidth="true" hidden="false" outlineLevel="0" max="11530" min="11530" style="54" width="8"/>
    <col collapsed="false" customWidth="true" hidden="false" outlineLevel="0" max="11531" min="11531" style="54" width="5.44"/>
    <col collapsed="false" customWidth="false" hidden="false" outlineLevel="0" max="11532" min="11532" style="54" width="8.88"/>
    <col collapsed="false" customWidth="true" hidden="false" outlineLevel="0" max="11533" min="11533" style="54" width="5.44"/>
    <col collapsed="false" customWidth="true" hidden="false" outlineLevel="0" max="11534" min="11534" style="54" width="15"/>
    <col collapsed="false" customWidth="true" hidden="false" outlineLevel="0" max="11535" min="11535" style="54" width="23.11"/>
    <col collapsed="false" customWidth="true" hidden="false" outlineLevel="0" max="11536" min="11536" style="54" width="5"/>
    <col collapsed="false" customWidth="false" hidden="false" outlineLevel="0" max="11538" min="11537" style="54" width="8.88"/>
    <col collapsed="false" customWidth="true" hidden="false" outlineLevel="0" max="11539" min="11539" style="54" width="13.44"/>
    <col collapsed="false" customWidth="true" hidden="false" outlineLevel="0" max="11540" min="11540" style="54" width="10.56"/>
    <col collapsed="false" customWidth="false" hidden="false" outlineLevel="0" max="11541" min="11541" style="54" width="8.88"/>
    <col collapsed="false" customWidth="true" hidden="false" outlineLevel="0" max="11542" min="11542" style="54" width="17"/>
    <col collapsed="false" customWidth="false" hidden="false" outlineLevel="0" max="11543" min="11543" style="54" width="8.88"/>
    <col collapsed="false" customWidth="true" hidden="false" outlineLevel="0" max="11544" min="11544" style="54" width="14.56"/>
    <col collapsed="false" customWidth="false" hidden="false" outlineLevel="0" max="11545" min="11545" style="54" width="8.88"/>
    <col collapsed="false" customWidth="true" hidden="false" outlineLevel="0" max="11546" min="11546" style="54" width="15.44"/>
    <col collapsed="false" customWidth="false" hidden="false" outlineLevel="0" max="11777" min="11547" style="54" width="8.88"/>
    <col collapsed="false" customWidth="true" hidden="false" outlineLevel="0" max="11778" min="11778" style="54" width="6.56"/>
    <col collapsed="false" customWidth="false" hidden="false" outlineLevel="0" max="11780" min="11779" style="54" width="8.88"/>
    <col collapsed="false" customWidth="true" hidden="false" outlineLevel="0" max="11781" min="11781" style="54" width="9.44"/>
    <col collapsed="false" customWidth="true" hidden="false" outlineLevel="0" max="11782" min="11782" style="54" width="5.44"/>
    <col collapsed="false" customWidth="true" hidden="false" outlineLevel="0" max="11783" min="11783" style="54" width="6.56"/>
    <col collapsed="false" customWidth="true" hidden="false" outlineLevel="0" max="11784" min="11784" style="54" width="9.56"/>
    <col collapsed="false" customWidth="false" hidden="false" outlineLevel="0" max="11785" min="11785" style="54" width="8.88"/>
    <col collapsed="false" customWidth="true" hidden="false" outlineLevel="0" max="11786" min="11786" style="54" width="8"/>
    <col collapsed="false" customWidth="true" hidden="false" outlineLevel="0" max="11787" min="11787" style="54" width="5.44"/>
    <col collapsed="false" customWidth="false" hidden="false" outlineLevel="0" max="11788" min="11788" style="54" width="8.88"/>
    <col collapsed="false" customWidth="true" hidden="false" outlineLevel="0" max="11789" min="11789" style="54" width="5.44"/>
    <col collapsed="false" customWidth="true" hidden="false" outlineLevel="0" max="11790" min="11790" style="54" width="15"/>
    <col collapsed="false" customWidth="true" hidden="false" outlineLevel="0" max="11791" min="11791" style="54" width="23.11"/>
    <col collapsed="false" customWidth="true" hidden="false" outlineLevel="0" max="11792" min="11792" style="54" width="5"/>
    <col collapsed="false" customWidth="false" hidden="false" outlineLevel="0" max="11794" min="11793" style="54" width="8.88"/>
    <col collapsed="false" customWidth="true" hidden="false" outlineLevel="0" max="11795" min="11795" style="54" width="13.44"/>
    <col collapsed="false" customWidth="true" hidden="false" outlineLevel="0" max="11796" min="11796" style="54" width="10.56"/>
    <col collapsed="false" customWidth="false" hidden="false" outlineLevel="0" max="11797" min="11797" style="54" width="8.88"/>
    <col collapsed="false" customWidth="true" hidden="false" outlineLevel="0" max="11798" min="11798" style="54" width="17"/>
    <col collapsed="false" customWidth="false" hidden="false" outlineLevel="0" max="11799" min="11799" style="54" width="8.88"/>
    <col collapsed="false" customWidth="true" hidden="false" outlineLevel="0" max="11800" min="11800" style="54" width="14.56"/>
    <col collapsed="false" customWidth="false" hidden="false" outlineLevel="0" max="11801" min="11801" style="54" width="8.88"/>
    <col collapsed="false" customWidth="true" hidden="false" outlineLevel="0" max="11802" min="11802" style="54" width="15.44"/>
    <col collapsed="false" customWidth="false" hidden="false" outlineLevel="0" max="12033" min="11803" style="54" width="8.88"/>
    <col collapsed="false" customWidth="true" hidden="false" outlineLevel="0" max="12034" min="12034" style="54" width="6.56"/>
    <col collapsed="false" customWidth="false" hidden="false" outlineLevel="0" max="12036" min="12035" style="54" width="8.88"/>
    <col collapsed="false" customWidth="true" hidden="false" outlineLevel="0" max="12037" min="12037" style="54" width="9.44"/>
    <col collapsed="false" customWidth="true" hidden="false" outlineLevel="0" max="12038" min="12038" style="54" width="5.44"/>
    <col collapsed="false" customWidth="true" hidden="false" outlineLevel="0" max="12039" min="12039" style="54" width="6.56"/>
    <col collapsed="false" customWidth="true" hidden="false" outlineLevel="0" max="12040" min="12040" style="54" width="9.56"/>
    <col collapsed="false" customWidth="false" hidden="false" outlineLevel="0" max="12041" min="12041" style="54" width="8.88"/>
    <col collapsed="false" customWidth="true" hidden="false" outlineLevel="0" max="12042" min="12042" style="54" width="8"/>
    <col collapsed="false" customWidth="true" hidden="false" outlineLevel="0" max="12043" min="12043" style="54" width="5.44"/>
    <col collapsed="false" customWidth="false" hidden="false" outlineLevel="0" max="12044" min="12044" style="54" width="8.88"/>
    <col collapsed="false" customWidth="true" hidden="false" outlineLevel="0" max="12045" min="12045" style="54" width="5.44"/>
    <col collapsed="false" customWidth="true" hidden="false" outlineLevel="0" max="12046" min="12046" style="54" width="15"/>
    <col collapsed="false" customWidth="true" hidden="false" outlineLevel="0" max="12047" min="12047" style="54" width="23.11"/>
    <col collapsed="false" customWidth="true" hidden="false" outlineLevel="0" max="12048" min="12048" style="54" width="5"/>
    <col collapsed="false" customWidth="false" hidden="false" outlineLevel="0" max="12050" min="12049" style="54" width="8.88"/>
    <col collapsed="false" customWidth="true" hidden="false" outlineLevel="0" max="12051" min="12051" style="54" width="13.44"/>
    <col collapsed="false" customWidth="true" hidden="false" outlineLevel="0" max="12052" min="12052" style="54" width="10.56"/>
    <col collapsed="false" customWidth="false" hidden="false" outlineLevel="0" max="12053" min="12053" style="54" width="8.88"/>
    <col collapsed="false" customWidth="true" hidden="false" outlineLevel="0" max="12054" min="12054" style="54" width="17"/>
    <col collapsed="false" customWidth="false" hidden="false" outlineLevel="0" max="12055" min="12055" style="54" width="8.88"/>
    <col collapsed="false" customWidth="true" hidden="false" outlineLevel="0" max="12056" min="12056" style="54" width="14.56"/>
    <col collapsed="false" customWidth="false" hidden="false" outlineLevel="0" max="12057" min="12057" style="54" width="8.88"/>
    <col collapsed="false" customWidth="true" hidden="false" outlineLevel="0" max="12058" min="12058" style="54" width="15.44"/>
    <col collapsed="false" customWidth="false" hidden="false" outlineLevel="0" max="12289" min="12059" style="54" width="8.88"/>
    <col collapsed="false" customWidth="true" hidden="false" outlineLevel="0" max="12290" min="12290" style="54" width="6.56"/>
    <col collapsed="false" customWidth="false" hidden="false" outlineLevel="0" max="12292" min="12291" style="54" width="8.88"/>
    <col collapsed="false" customWidth="true" hidden="false" outlineLevel="0" max="12293" min="12293" style="54" width="9.44"/>
    <col collapsed="false" customWidth="true" hidden="false" outlineLevel="0" max="12294" min="12294" style="54" width="5.44"/>
    <col collapsed="false" customWidth="true" hidden="false" outlineLevel="0" max="12295" min="12295" style="54" width="6.56"/>
    <col collapsed="false" customWidth="true" hidden="false" outlineLevel="0" max="12296" min="12296" style="54" width="9.56"/>
    <col collapsed="false" customWidth="false" hidden="false" outlineLevel="0" max="12297" min="12297" style="54" width="8.88"/>
    <col collapsed="false" customWidth="true" hidden="false" outlineLevel="0" max="12298" min="12298" style="54" width="8"/>
    <col collapsed="false" customWidth="true" hidden="false" outlineLevel="0" max="12299" min="12299" style="54" width="5.44"/>
    <col collapsed="false" customWidth="false" hidden="false" outlineLevel="0" max="12300" min="12300" style="54" width="8.88"/>
    <col collapsed="false" customWidth="true" hidden="false" outlineLevel="0" max="12301" min="12301" style="54" width="5.44"/>
    <col collapsed="false" customWidth="true" hidden="false" outlineLevel="0" max="12302" min="12302" style="54" width="15"/>
    <col collapsed="false" customWidth="true" hidden="false" outlineLevel="0" max="12303" min="12303" style="54" width="23.11"/>
    <col collapsed="false" customWidth="true" hidden="false" outlineLevel="0" max="12304" min="12304" style="54" width="5"/>
    <col collapsed="false" customWidth="false" hidden="false" outlineLevel="0" max="12306" min="12305" style="54" width="8.88"/>
    <col collapsed="false" customWidth="true" hidden="false" outlineLevel="0" max="12307" min="12307" style="54" width="13.44"/>
    <col collapsed="false" customWidth="true" hidden="false" outlineLevel="0" max="12308" min="12308" style="54" width="10.56"/>
    <col collapsed="false" customWidth="false" hidden="false" outlineLevel="0" max="12309" min="12309" style="54" width="8.88"/>
    <col collapsed="false" customWidth="true" hidden="false" outlineLevel="0" max="12310" min="12310" style="54" width="17"/>
    <col collapsed="false" customWidth="false" hidden="false" outlineLevel="0" max="12311" min="12311" style="54" width="8.88"/>
    <col collapsed="false" customWidth="true" hidden="false" outlineLevel="0" max="12312" min="12312" style="54" width="14.56"/>
    <col collapsed="false" customWidth="false" hidden="false" outlineLevel="0" max="12313" min="12313" style="54" width="8.88"/>
    <col collapsed="false" customWidth="true" hidden="false" outlineLevel="0" max="12314" min="12314" style="54" width="15.44"/>
    <col collapsed="false" customWidth="false" hidden="false" outlineLevel="0" max="12545" min="12315" style="54" width="8.88"/>
    <col collapsed="false" customWidth="true" hidden="false" outlineLevel="0" max="12546" min="12546" style="54" width="6.56"/>
    <col collapsed="false" customWidth="false" hidden="false" outlineLevel="0" max="12548" min="12547" style="54" width="8.88"/>
    <col collapsed="false" customWidth="true" hidden="false" outlineLevel="0" max="12549" min="12549" style="54" width="9.44"/>
    <col collapsed="false" customWidth="true" hidden="false" outlineLevel="0" max="12550" min="12550" style="54" width="5.44"/>
    <col collapsed="false" customWidth="true" hidden="false" outlineLevel="0" max="12551" min="12551" style="54" width="6.56"/>
    <col collapsed="false" customWidth="true" hidden="false" outlineLevel="0" max="12552" min="12552" style="54" width="9.56"/>
    <col collapsed="false" customWidth="false" hidden="false" outlineLevel="0" max="12553" min="12553" style="54" width="8.88"/>
    <col collapsed="false" customWidth="true" hidden="false" outlineLevel="0" max="12554" min="12554" style="54" width="8"/>
    <col collapsed="false" customWidth="true" hidden="false" outlineLevel="0" max="12555" min="12555" style="54" width="5.44"/>
    <col collapsed="false" customWidth="false" hidden="false" outlineLevel="0" max="12556" min="12556" style="54" width="8.88"/>
    <col collapsed="false" customWidth="true" hidden="false" outlineLevel="0" max="12557" min="12557" style="54" width="5.44"/>
    <col collapsed="false" customWidth="true" hidden="false" outlineLevel="0" max="12558" min="12558" style="54" width="15"/>
    <col collapsed="false" customWidth="true" hidden="false" outlineLevel="0" max="12559" min="12559" style="54" width="23.11"/>
    <col collapsed="false" customWidth="true" hidden="false" outlineLevel="0" max="12560" min="12560" style="54" width="5"/>
    <col collapsed="false" customWidth="false" hidden="false" outlineLevel="0" max="12562" min="12561" style="54" width="8.88"/>
    <col collapsed="false" customWidth="true" hidden="false" outlineLevel="0" max="12563" min="12563" style="54" width="13.44"/>
    <col collapsed="false" customWidth="true" hidden="false" outlineLevel="0" max="12564" min="12564" style="54" width="10.56"/>
    <col collapsed="false" customWidth="false" hidden="false" outlineLevel="0" max="12565" min="12565" style="54" width="8.88"/>
    <col collapsed="false" customWidth="true" hidden="false" outlineLevel="0" max="12566" min="12566" style="54" width="17"/>
    <col collapsed="false" customWidth="false" hidden="false" outlineLevel="0" max="12567" min="12567" style="54" width="8.88"/>
    <col collapsed="false" customWidth="true" hidden="false" outlineLevel="0" max="12568" min="12568" style="54" width="14.56"/>
    <col collapsed="false" customWidth="false" hidden="false" outlineLevel="0" max="12569" min="12569" style="54" width="8.88"/>
    <col collapsed="false" customWidth="true" hidden="false" outlineLevel="0" max="12570" min="12570" style="54" width="15.44"/>
    <col collapsed="false" customWidth="false" hidden="false" outlineLevel="0" max="12801" min="12571" style="54" width="8.88"/>
    <col collapsed="false" customWidth="true" hidden="false" outlineLevel="0" max="12802" min="12802" style="54" width="6.56"/>
    <col collapsed="false" customWidth="false" hidden="false" outlineLevel="0" max="12804" min="12803" style="54" width="8.88"/>
    <col collapsed="false" customWidth="true" hidden="false" outlineLevel="0" max="12805" min="12805" style="54" width="9.44"/>
    <col collapsed="false" customWidth="true" hidden="false" outlineLevel="0" max="12806" min="12806" style="54" width="5.44"/>
    <col collapsed="false" customWidth="true" hidden="false" outlineLevel="0" max="12807" min="12807" style="54" width="6.56"/>
    <col collapsed="false" customWidth="true" hidden="false" outlineLevel="0" max="12808" min="12808" style="54" width="9.56"/>
    <col collapsed="false" customWidth="false" hidden="false" outlineLevel="0" max="12809" min="12809" style="54" width="8.88"/>
    <col collapsed="false" customWidth="true" hidden="false" outlineLevel="0" max="12810" min="12810" style="54" width="8"/>
    <col collapsed="false" customWidth="true" hidden="false" outlineLevel="0" max="12811" min="12811" style="54" width="5.44"/>
    <col collapsed="false" customWidth="false" hidden="false" outlineLevel="0" max="12812" min="12812" style="54" width="8.88"/>
    <col collapsed="false" customWidth="true" hidden="false" outlineLevel="0" max="12813" min="12813" style="54" width="5.44"/>
    <col collapsed="false" customWidth="true" hidden="false" outlineLevel="0" max="12814" min="12814" style="54" width="15"/>
    <col collapsed="false" customWidth="true" hidden="false" outlineLevel="0" max="12815" min="12815" style="54" width="23.11"/>
    <col collapsed="false" customWidth="true" hidden="false" outlineLevel="0" max="12816" min="12816" style="54" width="5"/>
    <col collapsed="false" customWidth="false" hidden="false" outlineLevel="0" max="12818" min="12817" style="54" width="8.88"/>
    <col collapsed="false" customWidth="true" hidden="false" outlineLevel="0" max="12819" min="12819" style="54" width="13.44"/>
    <col collapsed="false" customWidth="true" hidden="false" outlineLevel="0" max="12820" min="12820" style="54" width="10.56"/>
    <col collapsed="false" customWidth="false" hidden="false" outlineLevel="0" max="12821" min="12821" style="54" width="8.88"/>
    <col collapsed="false" customWidth="true" hidden="false" outlineLevel="0" max="12822" min="12822" style="54" width="17"/>
    <col collapsed="false" customWidth="false" hidden="false" outlineLevel="0" max="12823" min="12823" style="54" width="8.88"/>
    <col collapsed="false" customWidth="true" hidden="false" outlineLevel="0" max="12824" min="12824" style="54" width="14.56"/>
    <col collapsed="false" customWidth="false" hidden="false" outlineLevel="0" max="12825" min="12825" style="54" width="8.88"/>
    <col collapsed="false" customWidth="true" hidden="false" outlineLevel="0" max="12826" min="12826" style="54" width="15.44"/>
    <col collapsed="false" customWidth="false" hidden="false" outlineLevel="0" max="13057" min="12827" style="54" width="8.88"/>
    <col collapsed="false" customWidth="true" hidden="false" outlineLevel="0" max="13058" min="13058" style="54" width="6.56"/>
    <col collapsed="false" customWidth="false" hidden="false" outlineLevel="0" max="13060" min="13059" style="54" width="8.88"/>
    <col collapsed="false" customWidth="true" hidden="false" outlineLevel="0" max="13061" min="13061" style="54" width="9.44"/>
    <col collapsed="false" customWidth="true" hidden="false" outlineLevel="0" max="13062" min="13062" style="54" width="5.44"/>
    <col collapsed="false" customWidth="true" hidden="false" outlineLevel="0" max="13063" min="13063" style="54" width="6.56"/>
    <col collapsed="false" customWidth="true" hidden="false" outlineLevel="0" max="13064" min="13064" style="54" width="9.56"/>
    <col collapsed="false" customWidth="false" hidden="false" outlineLevel="0" max="13065" min="13065" style="54" width="8.88"/>
    <col collapsed="false" customWidth="true" hidden="false" outlineLevel="0" max="13066" min="13066" style="54" width="8"/>
    <col collapsed="false" customWidth="true" hidden="false" outlineLevel="0" max="13067" min="13067" style="54" width="5.44"/>
    <col collapsed="false" customWidth="false" hidden="false" outlineLevel="0" max="13068" min="13068" style="54" width="8.88"/>
    <col collapsed="false" customWidth="true" hidden="false" outlineLevel="0" max="13069" min="13069" style="54" width="5.44"/>
    <col collapsed="false" customWidth="true" hidden="false" outlineLevel="0" max="13070" min="13070" style="54" width="15"/>
    <col collapsed="false" customWidth="true" hidden="false" outlineLevel="0" max="13071" min="13071" style="54" width="23.11"/>
    <col collapsed="false" customWidth="true" hidden="false" outlineLevel="0" max="13072" min="13072" style="54" width="5"/>
    <col collapsed="false" customWidth="false" hidden="false" outlineLevel="0" max="13074" min="13073" style="54" width="8.88"/>
    <col collapsed="false" customWidth="true" hidden="false" outlineLevel="0" max="13075" min="13075" style="54" width="13.44"/>
    <col collapsed="false" customWidth="true" hidden="false" outlineLevel="0" max="13076" min="13076" style="54" width="10.56"/>
    <col collapsed="false" customWidth="false" hidden="false" outlineLevel="0" max="13077" min="13077" style="54" width="8.88"/>
    <col collapsed="false" customWidth="true" hidden="false" outlineLevel="0" max="13078" min="13078" style="54" width="17"/>
    <col collapsed="false" customWidth="false" hidden="false" outlineLevel="0" max="13079" min="13079" style="54" width="8.88"/>
    <col collapsed="false" customWidth="true" hidden="false" outlineLevel="0" max="13080" min="13080" style="54" width="14.56"/>
    <col collapsed="false" customWidth="false" hidden="false" outlineLevel="0" max="13081" min="13081" style="54" width="8.88"/>
    <col collapsed="false" customWidth="true" hidden="false" outlineLevel="0" max="13082" min="13082" style="54" width="15.44"/>
    <col collapsed="false" customWidth="false" hidden="false" outlineLevel="0" max="13313" min="13083" style="54" width="8.88"/>
    <col collapsed="false" customWidth="true" hidden="false" outlineLevel="0" max="13314" min="13314" style="54" width="6.56"/>
    <col collapsed="false" customWidth="false" hidden="false" outlineLevel="0" max="13316" min="13315" style="54" width="8.88"/>
    <col collapsed="false" customWidth="true" hidden="false" outlineLevel="0" max="13317" min="13317" style="54" width="9.44"/>
    <col collapsed="false" customWidth="true" hidden="false" outlineLevel="0" max="13318" min="13318" style="54" width="5.44"/>
    <col collapsed="false" customWidth="true" hidden="false" outlineLevel="0" max="13319" min="13319" style="54" width="6.56"/>
    <col collapsed="false" customWidth="true" hidden="false" outlineLevel="0" max="13320" min="13320" style="54" width="9.56"/>
    <col collapsed="false" customWidth="false" hidden="false" outlineLevel="0" max="13321" min="13321" style="54" width="8.88"/>
    <col collapsed="false" customWidth="true" hidden="false" outlineLevel="0" max="13322" min="13322" style="54" width="8"/>
    <col collapsed="false" customWidth="true" hidden="false" outlineLevel="0" max="13323" min="13323" style="54" width="5.44"/>
    <col collapsed="false" customWidth="false" hidden="false" outlineLevel="0" max="13324" min="13324" style="54" width="8.88"/>
    <col collapsed="false" customWidth="true" hidden="false" outlineLevel="0" max="13325" min="13325" style="54" width="5.44"/>
    <col collapsed="false" customWidth="true" hidden="false" outlineLevel="0" max="13326" min="13326" style="54" width="15"/>
    <col collapsed="false" customWidth="true" hidden="false" outlineLevel="0" max="13327" min="13327" style="54" width="23.11"/>
    <col collapsed="false" customWidth="true" hidden="false" outlineLevel="0" max="13328" min="13328" style="54" width="5"/>
    <col collapsed="false" customWidth="false" hidden="false" outlineLevel="0" max="13330" min="13329" style="54" width="8.88"/>
    <col collapsed="false" customWidth="true" hidden="false" outlineLevel="0" max="13331" min="13331" style="54" width="13.44"/>
    <col collapsed="false" customWidth="true" hidden="false" outlineLevel="0" max="13332" min="13332" style="54" width="10.56"/>
    <col collapsed="false" customWidth="false" hidden="false" outlineLevel="0" max="13333" min="13333" style="54" width="8.88"/>
    <col collapsed="false" customWidth="true" hidden="false" outlineLevel="0" max="13334" min="13334" style="54" width="17"/>
    <col collapsed="false" customWidth="false" hidden="false" outlineLevel="0" max="13335" min="13335" style="54" width="8.88"/>
    <col collapsed="false" customWidth="true" hidden="false" outlineLevel="0" max="13336" min="13336" style="54" width="14.56"/>
    <col collapsed="false" customWidth="false" hidden="false" outlineLevel="0" max="13337" min="13337" style="54" width="8.88"/>
    <col collapsed="false" customWidth="true" hidden="false" outlineLevel="0" max="13338" min="13338" style="54" width="15.44"/>
    <col collapsed="false" customWidth="false" hidden="false" outlineLevel="0" max="13569" min="13339" style="54" width="8.88"/>
    <col collapsed="false" customWidth="true" hidden="false" outlineLevel="0" max="13570" min="13570" style="54" width="6.56"/>
    <col collapsed="false" customWidth="false" hidden="false" outlineLevel="0" max="13572" min="13571" style="54" width="8.88"/>
    <col collapsed="false" customWidth="true" hidden="false" outlineLevel="0" max="13573" min="13573" style="54" width="9.44"/>
    <col collapsed="false" customWidth="true" hidden="false" outlineLevel="0" max="13574" min="13574" style="54" width="5.44"/>
    <col collapsed="false" customWidth="true" hidden="false" outlineLevel="0" max="13575" min="13575" style="54" width="6.56"/>
    <col collapsed="false" customWidth="true" hidden="false" outlineLevel="0" max="13576" min="13576" style="54" width="9.56"/>
    <col collapsed="false" customWidth="false" hidden="false" outlineLevel="0" max="13577" min="13577" style="54" width="8.88"/>
    <col collapsed="false" customWidth="true" hidden="false" outlineLevel="0" max="13578" min="13578" style="54" width="8"/>
    <col collapsed="false" customWidth="true" hidden="false" outlineLevel="0" max="13579" min="13579" style="54" width="5.44"/>
    <col collapsed="false" customWidth="false" hidden="false" outlineLevel="0" max="13580" min="13580" style="54" width="8.88"/>
    <col collapsed="false" customWidth="true" hidden="false" outlineLevel="0" max="13581" min="13581" style="54" width="5.44"/>
    <col collapsed="false" customWidth="true" hidden="false" outlineLevel="0" max="13582" min="13582" style="54" width="15"/>
    <col collapsed="false" customWidth="true" hidden="false" outlineLevel="0" max="13583" min="13583" style="54" width="23.11"/>
    <col collapsed="false" customWidth="true" hidden="false" outlineLevel="0" max="13584" min="13584" style="54" width="5"/>
    <col collapsed="false" customWidth="false" hidden="false" outlineLevel="0" max="13586" min="13585" style="54" width="8.88"/>
    <col collapsed="false" customWidth="true" hidden="false" outlineLevel="0" max="13587" min="13587" style="54" width="13.44"/>
    <col collapsed="false" customWidth="true" hidden="false" outlineLevel="0" max="13588" min="13588" style="54" width="10.56"/>
    <col collapsed="false" customWidth="false" hidden="false" outlineLevel="0" max="13589" min="13589" style="54" width="8.88"/>
    <col collapsed="false" customWidth="true" hidden="false" outlineLevel="0" max="13590" min="13590" style="54" width="17"/>
    <col collapsed="false" customWidth="false" hidden="false" outlineLevel="0" max="13591" min="13591" style="54" width="8.88"/>
    <col collapsed="false" customWidth="true" hidden="false" outlineLevel="0" max="13592" min="13592" style="54" width="14.56"/>
    <col collapsed="false" customWidth="false" hidden="false" outlineLevel="0" max="13593" min="13593" style="54" width="8.88"/>
    <col collapsed="false" customWidth="true" hidden="false" outlineLevel="0" max="13594" min="13594" style="54" width="15.44"/>
    <col collapsed="false" customWidth="false" hidden="false" outlineLevel="0" max="13825" min="13595" style="54" width="8.88"/>
    <col collapsed="false" customWidth="true" hidden="false" outlineLevel="0" max="13826" min="13826" style="54" width="6.56"/>
    <col collapsed="false" customWidth="false" hidden="false" outlineLevel="0" max="13828" min="13827" style="54" width="8.88"/>
    <col collapsed="false" customWidth="true" hidden="false" outlineLevel="0" max="13829" min="13829" style="54" width="9.44"/>
    <col collapsed="false" customWidth="true" hidden="false" outlineLevel="0" max="13830" min="13830" style="54" width="5.44"/>
    <col collapsed="false" customWidth="true" hidden="false" outlineLevel="0" max="13831" min="13831" style="54" width="6.56"/>
    <col collapsed="false" customWidth="true" hidden="false" outlineLevel="0" max="13832" min="13832" style="54" width="9.56"/>
    <col collapsed="false" customWidth="false" hidden="false" outlineLevel="0" max="13833" min="13833" style="54" width="8.88"/>
    <col collapsed="false" customWidth="true" hidden="false" outlineLevel="0" max="13834" min="13834" style="54" width="8"/>
    <col collapsed="false" customWidth="true" hidden="false" outlineLevel="0" max="13835" min="13835" style="54" width="5.44"/>
    <col collapsed="false" customWidth="false" hidden="false" outlineLevel="0" max="13836" min="13836" style="54" width="8.88"/>
    <col collapsed="false" customWidth="true" hidden="false" outlineLevel="0" max="13837" min="13837" style="54" width="5.44"/>
    <col collapsed="false" customWidth="true" hidden="false" outlineLevel="0" max="13838" min="13838" style="54" width="15"/>
    <col collapsed="false" customWidth="true" hidden="false" outlineLevel="0" max="13839" min="13839" style="54" width="23.11"/>
    <col collapsed="false" customWidth="true" hidden="false" outlineLevel="0" max="13840" min="13840" style="54" width="5"/>
    <col collapsed="false" customWidth="false" hidden="false" outlineLevel="0" max="13842" min="13841" style="54" width="8.88"/>
    <col collapsed="false" customWidth="true" hidden="false" outlineLevel="0" max="13843" min="13843" style="54" width="13.44"/>
    <col collapsed="false" customWidth="true" hidden="false" outlineLevel="0" max="13844" min="13844" style="54" width="10.56"/>
    <col collapsed="false" customWidth="false" hidden="false" outlineLevel="0" max="13845" min="13845" style="54" width="8.88"/>
    <col collapsed="false" customWidth="true" hidden="false" outlineLevel="0" max="13846" min="13846" style="54" width="17"/>
    <col collapsed="false" customWidth="false" hidden="false" outlineLevel="0" max="13847" min="13847" style="54" width="8.88"/>
    <col collapsed="false" customWidth="true" hidden="false" outlineLevel="0" max="13848" min="13848" style="54" width="14.56"/>
    <col collapsed="false" customWidth="false" hidden="false" outlineLevel="0" max="13849" min="13849" style="54" width="8.88"/>
    <col collapsed="false" customWidth="true" hidden="false" outlineLevel="0" max="13850" min="13850" style="54" width="15.44"/>
    <col collapsed="false" customWidth="false" hidden="false" outlineLevel="0" max="14081" min="13851" style="54" width="8.88"/>
    <col collapsed="false" customWidth="true" hidden="false" outlineLevel="0" max="14082" min="14082" style="54" width="6.56"/>
    <col collapsed="false" customWidth="false" hidden="false" outlineLevel="0" max="14084" min="14083" style="54" width="8.88"/>
    <col collapsed="false" customWidth="true" hidden="false" outlineLevel="0" max="14085" min="14085" style="54" width="9.44"/>
    <col collapsed="false" customWidth="true" hidden="false" outlineLevel="0" max="14086" min="14086" style="54" width="5.44"/>
    <col collapsed="false" customWidth="true" hidden="false" outlineLevel="0" max="14087" min="14087" style="54" width="6.56"/>
    <col collapsed="false" customWidth="true" hidden="false" outlineLevel="0" max="14088" min="14088" style="54" width="9.56"/>
    <col collapsed="false" customWidth="false" hidden="false" outlineLevel="0" max="14089" min="14089" style="54" width="8.88"/>
    <col collapsed="false" customWidth="true" hidden="false" outlineLevel="0" max="14090" min="14090" style="54" width="8"/>
    <col collapsed="false" customWidth="true" hidden="false" outlineLevel="0" max="14091" min="14091" style="54" width="5.44"/>
    <col collapsed="false" customWidth="false" hidden="false" outlineLevel="0" max="14092" min="14092" style="54" width="8.88"/>
    <col collapsed="false" customWidth="true" hidden="false" outlineLevel="0" max="14093" min="14093" style="54" width="5.44"/>
    <col collapsed="false" customWidth="true" hidden="false" outlineLevel="0" max="14094" min="14094" style="54" width="15"/>
    <col collapsed="false" customWidth="true" hidden="false" outlineLevel="0" max="14095" min="14095" style="54" width="23.11"/>
    <col collapsed="false" customWidth="true" hidden="false" outlineLevel="0" max="14096" min="14096" style="54" width="5"/>
    <col collapsed="false" customWidth="false" hidden="false" outlineLevel="0" max="14098" min="14097" style="54" width="8.88"/>
    <col collapsed="false" customWidth="true" hidden="false" outlineLevel="0" max="14099" min="14099" style="54" width="13.44"/>
    <col collapsed="false" customWidth="true" hidden="false" outlineLevel="0" max="14100" min="14100" style="54" width="10.56"/>
    <col collapsed="false" customWidth="false" hidden="false" outlineLevel="0" max="14101" min="14101" style="54" width="8.88"/>
    <col collapsed="false" customWidth="true" hidden="false" outlineLevel="0" max="14102" min="14102" style="54" width="17"/>
    <col collapsed="false" customWidth="false" hidden="false" outlineLevel="0" max="14103" min="14103" style="54" width="8.88"/>
    <col collapsed="false" customWidth="true" hidden="false" outlineLevel="0" max="14104" min="14104" style="54" width="14.56"/>
    <col collapsed="false" customWidth="false" hidden="false" outlineLevel="0" max="14105" min="14105" style="54" width="8.88"/>
    <col collapsed="false" customWidth="true" hidden="false" outlineLevel="0" max="14106" min="14106" style="54" width="15.44"/>
    <col collapsed="false" customWidth="false" hidden="false" outlineLevel="0" max="14337" min="14107" style="54" width="8.88"/>
    <col collapsed="false" customWidth="true" hidden="false" outlineLevel="0" max="14338" min="14338" style="54" width="6.56"/>
    <col collapsed="false" customWidth="false" hidden="false" outlineLevel="0" max="14340" min="14339" style="54" width="8.88"/>
    <col collapsed="false" customWidth="true" hidden="false" outlineLevel="0" max="14341" min="14341" style="54" width="9.44"/>
    <col collapsed="false" customWidth="true" hidden="false" outlineLevel="0" max="14342" min="14342" style="54" width="5.44"/>
    <col collapsed="false" customWidth="true" hidden="false" outlineLevel="0" max="14343" min="14343" style="54" width="6.56"/>
    <col collapsed="false" customWidth="true" hidden="false" outlineLevel="0" max="14344" min="14344" style="54" width="9.56"/>
    <col collapsed="false" customWidth="false" hidden="false" outlineLevel="0" max="14345" min="14345" style="54" width="8.88"/>
    <col collapsed="false" customWidth="true" hidden="false" outlineLevel="0" max="14346" min="14346" style="54" width="8"/>
    <col collapsed="false" customWidth="true" hidden="false" outlineLevel="0" max="14347" min="14347" style="54" width="5.44"/>
    <col collapsed="false" customWidth="false" hidden="false" outlineLevel="0" max="14348" min="14348" style="54" width="8.88"/>
    <col collapsed="false" customWidth="true" hidden="false" outlineLevel="0" max="14349" min="14349" style="54" width="5.44"/>
    <col collapsed="false" customWidth="true" hidden="false" outlineLevel="0" max="14350" min="14350" style="54" width="15"/>
    <col collapsed="false" customWidth="true" hidden="false" outlineLevel="0" max="14351" min="14351" style="54" width="23.11"/>
    <col collapsed="false" customWidth="true" hidden="false" outlineLevel="0" max="14352" min="14352" style="54" width="5"/>
    <col collapsed="false" customWidth="false" hidden="false" outlineLevel="0" max="14354" min="14353" style="54" width="8.88"/>
    <col collapsed="false" customWidth="true" hidden="false" outlineLevel="0" max="14355" min="14355" style="54" width="13.44"/>
    <col collapsed="false" customWidth="true" hidden="false" outlineLevel="0" max="14356" min="14356" style="54" width="10.56"/>
    <col collapsed="false" customWidth="false" hidden="false" outlineLevel="0" max="14357" min="14357" style="54" width="8.88"/>
    <col collapsed="false" customWidth="true" hidden="false" outlineLevel="0" max="14358" min="14358" style="54" width="17"/>
    <col collapsed="false" customWidth="false" hidden="false" outlineLevel="0" max="14359" min="14359" style="54" width="8.88"/>
    <col collapsed="false" customWidth="true" hidden="false" outlineLevel="0" max="14360" min="14360" style="54" width="14.56"/>
    <col collapsed="false" customWidth="false" hidden="false" outlineLevel="0" max="14361" min="14361" style="54" width="8.88"/>
    <col collapsed="false" customWidth="true" hidden="false" outlineLevel="0" max="14362" min="14362" style="54" width="15.44"/>
    <col collapsed="false" customWidth="false" hidden="false" outlineLevel="0" max="14593" min="14363" style="54" width="8.88"/>
    <col collapsed="false" customWidth="true" hidden="false" outlineLevel="0" max="14594" min="14594" style="54" width="6.56"/>
    <col collapsed="false" customWidth="false" hidden="false" outlineLevel="0" max="14596" min="14595" style="54" width="8.88"/>
    <col collapsed="false" customWidth="true" hidden="false" outlineLevel="0" max="14597" min="14597" style="54" width="9.44"/>
    <col collapsed="false" customWidth="true" hidden="false" outlineLevel="0" max="14598" min="14598" style="54" width="5.44"/>
    <col collapsed="false" customWidth="true" hidden="false" outlineLevel="0" max="14599" min="14599" style="54" width="6.56"/>
    <col collapsed="false" customWidth="true" hidden="false" outlineLevel="0" max="14600" min="14600" style="54" width="9.56"/>
    <col collapsed="false" customWidth="false" hidden="false" outlineLevel="0" max="14601" min="14601" style="54" width="8.88"/>
    <col collapsed="false" customWidth="true" hidden="false" outlineLevel="0" max="14602" min="14602" style="54" width="8"/>
    <col collapsed="false" customWidth="true" hidden="false" outlineLevel="0" max="14603" min="14603" style="54" width="5.44"/>
    <col collapsed="false" customWidth="false" hidden="false" outlineLevel="0" max="14604" min="14604" style="54" width="8.88"/>
    <col collapsed="false" customWidth="true" hidden="false" outlineLevel="0" max="14605" min="14605" style="54" width="5.44"/>
    <col collapsed="false" customWidth="true" hidden="false" outlineLevel="0" max="14606" min="14606" style="54" width="15"/>
    <col collapsed="false" customWidth="true" hidden="false" outlineLevel="0" max="14607" min="14607" style="54" width="23.11"/>
    <col collapsed="false" customWidth="true" hidden="false" outlineLevel="0" max="14608" min="14608" style="54" width="5"/>
    <col collapsed="false" customWidth="false" hidden="false" outlineLevel="0" max="14610" min="14609" style="54" width="8.88"/>
    <col collapsed="false" customWidth="true" hidden="false" outlineLevel="0" max="14611" min="14611" style="54" width="13.44"/>
    <col collapsed="false" customWidth="true" hidden="false" outlineLevel="0" max="14612" min="14612" style="54" width="10.56"/>
    <col collapsed="false" customWidth="false" hidden="false" outlineLevel="0" max="14613" min="14613" style="54" width="8.88"/>
    <col collapsed="false" customWidth="true" hidden="false" outlineLevel="0" max="14614" min="14614" style="54" width="17"/>
    <col collapsed="false" customWidth="false" hidden="false" outlineLevel="0" max="14615" min="14615" style="54" width="8.88"/>
    <col collapsed="false" customWidth="true" hidden="false" outlineLevel="0" max="14616" min="14616" style="54" width="14.56"/>
    <col collapsed="false" customWidth="false" hidden="false" outlineLevel="0" max="14617" min="14617" style="54" width="8.88"/>
    <col collapsed="false" customWidth="true" hidden="false" outlineLevel="0" max="14618" min="14618" style="54" width="15.44"/>
    <col collapsed="false" customWidth="false" hidden="false" outlineLevel="0" max="14849" min="14619" style="54" width="8.88"/>
    <col collapsed="false" customWidth="true" hidden="false" outlineLevel="0" max="14850" min="14850" style="54" width="6.56"/>
    <col collapsed="false" customWidth="false" hidden="false" outlineLevel="0" max="14852" min="14851" style="54" width="8.88"/>
    <col collapsed="false" customWidth="true" hidden="false" outlineLevel="0" max="14853" min="14853" style="54" width="9.44"/>
    <col collapsed="false" customWidth="true" hidden="false" outlineLevel="0" max="14854" min="14854" style="54" width="5.44"/>
    <col collapsed="false" customWidth="true" hidden="false" outlineLevel="0" max="14855" min="14855" style="54" width="6.56"/>
    <col collapsed="false" customWidth="true" hidden="false" outlineLevel="0" max="14856" min="14856" style="54" width="9.56"/>
    <col collapsed="false" customWidth="false" hidden="false" outlineLevel="0" max="14857" min="14857" style="54" width="8.88"/>
    <col collapsed="false" customWidth="true" hidden="false" outlineLevel="0" max="14858" min="14858" style="54" width="8"/>
    <col collapsed="false" customWidth="true" hidden="false" outlineLevel="0" max="14859" min="14859" style="54" width="5.44"/>
    <col collapsed="false" customWidth="false" hidden="false" outlineLevel="0" max="14860" min="14860" style="54" width="8.88"/>
    <col collapsed="false" customWidth="true" hidden="false" outlineLevel="0" max="14861" min="14861" style="54" width="5.44"/>
    <col collapsed="false" customWidth="true" hidden="false" outlineLevel="0" max="14862" min="14862" style="54" width="15"/>
    <col collapsed="false" customWidth="true" hidden="false" outlineLevel="0" max="14863" min="14863" style="54" width="23.11"/>
    <col collapsed="false" customWidth="true" hidden="false" outlineLevel="0" max="14864" min="14864" style="54" width="5"/>
    <col collapsed="false" customWidth="false" hidden="false" outlineLevel="0" max="14866" min="14865" style="54" width="8.88"/>
    <col collapsed="false" customWidth="true" hidden="false" outlineLevel="0" max="14867" min="14867" style="54" width="13.44"/>
    <col collapsed="false" customWidth="true" hidden="false" outlineLevel="0" max="14868" min="14868" style="54" width="10.56"/>
    <col collapsed="false" customWidth="false" hidden="false" outlineLevel="0" max="14869" min="14869" style="54" width="8.88"/>
    <col collapsed="false" customWidth="true" hidden="false" outlineLevel="0" max="14870" min="14870" style="54" width="17"/>
    <col collapsed="false" customWidth="false" hidden="false" outlineLevel="0" max="14871" min="14871" style="54" width="8.88"/>
    <col collapsed="false" customWidth="true" hidden="false" outlineLevel="0" max="14872" min="14872" style="54" width="14.56"/>
    <col collapsed="false" customWidth="false" hidden="false" outlineLevel="0" max="14873" min="14873" style="54" width="8.88"/>
    <col collapsed="false" customWidth="true" hidden="false" outlineLevel="0" max="14874" min="14874" style="54" width="15.44"/>
    <col collapsed="false" customWidth="false" hidden="false" outlineLevel="0" max="15105" min="14875" style="54" width="8.88"/>
    <col collapsed="false" customWidth="true" hidden="false" outlineLevel="0" max="15106" min="15106" style="54" width="6.56"/>
    <col collapsed="false" customWidth="false" hidden="false" outlineLevel="0" max="15108" min="15107" style="54" width="8.88"/>
    <col collapsed="false" customWidth="true" hidden="false" outlineLevel="0" max="15109" min="15109" style="54" width="9.44"/>
    <col collapsed="false" customWidth="true" hidden="false" outlineLevel="0" max="15110" min="15110" style="54" width="5.44"/>
    <col collapsed="false" customWidth="true" hidden="false" outlineLevel="0" max="15111" min="15111" style="54" width="6.56"/>
    <col collapsed="false" customWidth="true" hidden="false" outlineLevel="0" max="15112" min="15112" style="54" width="9.56"/>
    <col collapsed="false" customWidth="false" hidden="false" outlineLevel="0" max="15113" min="15113" style="54" width="8.88"/>
    <col collapsed="false" customWidth="true" hidden="false" outlineLevel="0" max="15114" min="15114" style="54" width="8"/>
    <col collapsed="false" customWidth="true" hidden="false" outlineLevel="0" max="15115" min="15115" style="54" width="5.44"/>
    <col collapsed="false" customWidth="false" hidden="false" outlineLevel="0" max="15116" min="15116" style="54" width="8.88"/>
    <col collapsed="false" customWidth="true" hidden="false" outlineLevel="0" max="15117" min="15117" style="54" width="5.44"/>
    <col collapsed="false" customWidth="true" hidden="false" outlineLevel="0" max="15118" min="15118" style="54" width="15"/>
    <col collapsed="false" customWidth="true" hidden="false" outlineLevel="0" max="15119" min="15119" style="54" width="23.11"/>
    <col collapsed="false" customWidth="true" hidden="false" outlineLevel="0" max="15120" min="15120" style="54" width="5"/>
    <col collapsed="false" customWidth="false" hidden="false" outlineLevel="0" max="15122" min="15121" style="54" width="8.88"/>
    <col collapsed="false" customWidth="true" hidden="false" outlineLevel="0" max="15123" min="15123" style="54" width="13.44"/>
    <col collapsed="false" customWidth="true" hidden="false" outlineLevel="0" max="15124" min="15124" style="54" width="10.56"/>
    <col collapsed="false" customWidth="false" hidden="false" outlineLevel="0" max="15125" min="15125" style="54" width="8.88"/>
    <col collapsed="false" customWidth="true" hidden="false" outlineLevel="0" max="15126" min="15126" style="54" width="17"/>
    <col collapsed="false" customWidth="false" hidden="false" outlineLevel="0" max="15127" min="15127" style="54" width="8.88"/>
    <col collapsed="false" customWidth="true" hidden="false" outlineLevel="0" max="15128" min="15128" style="54" width="14.56"/>
    <col collapsed="false" customWidth="false" hidden="false" outlineLevel="0" max="15129" min="15129" style="54" width="8.88"/>
    <col collapsed="false" customWidth="true" hidden="false" outlineLevel="0" max="15130" min="15130" style="54" width="15.44"/>
    <col collapsed="false" customWidth="false" hidden="false" outlineLevel="0" max="15361" min="15131" style="54" width="8.88"/>
    <col collapsed="false" customWidth="true" hidden="false" outlineLevel="0" max="15362" min="15362" style="54" width="6.56"/>
    <col collapsed="false" customWidth="false" hidden="false" outlineLevel="0" max="15364" min="15363" style="54" width="8.88"/>
    <col collapsed="false" customWidth="true" hidden="false" outlineLevel="0" max="15365" min="15365" style="54" width="9.44"/>
    <col collapsed="false" customWidth="true" hidden="false" outlineLevel="0" max="15366" min="15366" style="54" width="5.44"/>
    <col collapsed="false" customWidth="true" hidden="false" outlineLevel="0" max="15367" min="15367" style="54" width="6.56"/>
    <col collapsed="false" customWidth="true" hidden="false" outlineLevel="0" max="15368" min="15368" style="54" width="9.56"/>
    <col collapsed="false" customWidth="false" hidden="false" outlineLevel="0" max="15369" min="15369" style="54" width="8.88"/>
    <col collapsed="false" customWidth="true" hidden="false" outlineLevel="0" max="15370" min="15370" style="54" width="8"/>
    <col collapsed="false" customWidth="true" hidden="false" outlineLevel="0" max="15371" min="15371" style="54" width="5.44"/>
    <col collapsed="false" customWidth="false" hidden="false" outlineLevel="0" max="15372" min="15372" style="54" width="8.88"/>
    <col collapsed="false" customWidth="true" hidden="false" outlineLevel="0" max="15373" min="15373" style="54" width="5.44"/>
    <col collapsed="false" customWidth="true" hidden="false" outlineLevel="0" max="15374" min="15374" style="54" width="15"/>
    <col collapsed="false" customWidth="true" hidden="false" outlineLevel="0" max="15375" min="15375" style="54" width="23.11"/>
    <col collapsed="false" customWidth="true" hidden="false" outlineLevel="0" max="15376" min="15376" style="54" width="5"/>
    <col collapsed="false" customWidth="false" hidden="false" outlineLevel="0" max="15378" min="15377" style="54" width="8.88"/>
    <col collapsed="false" customWidth="true" hidden="false" outlineLevel="0" max="15379" min="15379" style="54" width="13.44"/>
    <col collapsed="false" customWidth="true" hidden="false" outlineLevel="0" max="15380" min="15380" style="54" width="10.56"/>
    <col collapsed="false" customWidth="false" hidden="false" outlineLevel="0" max="15381" min="15381" style="54" width="8.88"/>
    <col collapsed="false" customWidth="true" hidden="false" outlineLevel="0" max="15382" min="15382" style="54" width="17"/>
    <col collapsed="false" customWidth="false" hidden="false" outlineLevel="0" max="15383" min="15383" style="54" width="8.88"/>
    <col collapsed="false" customWidth="true" hidden="false" outlineLevel="0" max="15384" min="15384" style="54" width="14.56"/>
    <col collapsed="false" customWidth="false" hidden="false" outlineLevel="0" max="15385" min="15385" style="54" width="8.88"/>
    <col collapsed="false" customWidth="true" hidden="false" outlineLevel="0" max="15386" min="15386" style="54" width="15.44"/>
    <col collapsed="false" customWidth="false" hidden="false" outlineLevel="0" max="15617" min="15387" style="54" width="8.88"/>
    <col collapsed="false" customWidth="true" hidden="false" outlineLevel="0" max="15618" min="15618" style="54" width="6.56"/>
    <col collapsed="false" customWidth="false" hidden="false" outlineLevel="0" max="15620" min="15619" style="54" width="8.88"/>
    <col collapsed="false" customWidth="true" hidden="false" outlineLevel="0" max="15621" min="15621" style="54" width="9.44"/>
    <col collapsed="false" customWidth="true" hidden="false" outlineLevel="0" max="15622" min="15622" style="54" width="5.44"/>
    <col collapsed="false" customWidth="true" hidden="false" outlineLevel="0" max="15623" min="15623" style="54" width="6.56"/>
    <col collapsed="false" customWidth="true" hidden="false" outlineLevel="0" max="15624" min="15624" style="54" width="9.56"/>
    <col collapsed="false" customWidth="false" hidden="false" outlineLevel="0" max="15625" min="15625" style="54" width="8.88"/>
    <col collapsed="false" customWidth="true" hidden="false" outlineLevel="0" max="15626" min="15626" style="54" width="8"/>
    <col collapsed="false" customWidth="true" hidden="false" outlineLevel="0" max="15627" min="15627" style="54" width="5.44"/>
    <col collapsed="false" customWidth="false" hidden="false" outlineLevel="0" max="15628" min="15628" style="54" width="8.88"/>
    <col collapsed="false" customWidth="true" hidden="false" outlineLevel="0" max="15629" min="15629" style="54" width="5.44"/>
    <col collapsed="false" customWidth="true" hidden="false" outlineLevel="0" max="15630" min="15630" style="54" width="15"/>
    <col collapsed="false" customWidth="true" hidden="false" outlineLevel="0" max="15631" min="15631" style="54" width="23.11"/>
    <col collapsed="false" customWidth="true" hidden="false" outlineLevel="0" max="15632" min="15632" style="54" width="5"/>
    <col collapsed="false" customWidth="false" hidden="false" outlineLevel="0" max="15634" min="15633" style="54" width="8.88"/>
    <col collapsed="false" customWidth="true" hidden="false" outlineLevel="0" max="15635" min="15635" style="54" width="13.44"/>
    <col collapsed="false" customWidth="true" hidden="false" outlineLevel="0" max="15636" min="15636" style="54" width="10.56"/>
    <col collapsed="false" customWidth="false" hidden="false" outlineLevel="0" max="15637" min="15637" style="54" width="8.88"/>
    <col collapsed="false" customWidth="true" hidden="false" outlineLevel="0" max="15638" min="15638" style="54" width="17"/>
    <col collapsed="false" customWidth="false" hidden="false" outlineLevel="0" max="15639" min="15639" style="54" width="8.88"/>
    <col collapsed="false" customWidth="true" hidden="false" outlineLevel="0" max="15640" min="15640" style="54" width="14.56"/>
    <col collapsed="false" customWidth="false" hidden="false" outlineLevel="0" max="15641" min="15641" style="54" width="8.88"/>
    <col collapsed="false" customWidth="true" hidden="false" outlineLevel="0" max="15642" min="15642" style="54" width="15.44"/>
    <col collapsed="false" customWidth="false" hidden="false" outlineLevel="0" max="15873" min="15643" style="54" width="8.88"/>
    <col collapsed="false" customWidth="true" hidden="false" outlineLevel="0" max="15874" min="15874" style="54" width="6.56"/>
    <col collapsed="false" customWidth="false" hidden="false" outlineLevel="0" max="15876" min="15875" style="54" width="8.88"/>
    <col collapsed="false" customWidth="true" hidden="false" outlineLevel="0" max="15877" min="15877" style="54" width="9.44"/>
    <col collapsed="false" customWidth="true" hidden="false" outlineLevel="0" max="15878" min="15878" style="54" width="5.44"/>
    <col collapsed="false" customWidth="true" hidden="false" outlineLevel="0" max="15879" min="15879" style="54" width="6.56"/>
    <col collapsed="false" customWidth="true" hidden="false" outlineLevel="0" max="15880" min="15880" style="54" width="9.56"/>
    <col collapsed="false" customWidth="false" hidden="false" outlineLevel="0" max="15881" min="15881" style="54" width="8.88"/>
    <col collapsed="false" customWidth="true" hidden="false" outlineLevel="0" max="15882" min="15882" style="54" width="8"/>
    <col collapsed="false" customWidth="true" hidden="false" outlineLevel="0" max="15883" min="15883" style="54" width="5.44"/>
    <col collapsed="false" customWidth="false" hidden="false" outlineLevel="0" max="15884" min="15884" style="54" width="8.88"/>
    <col collapsed="false" customWidth="true" hidden="false" outlineLevel="0" max="15885" min="15885" style="54" width="5.44"/>
    <col collapsed="false" customWidth="true" hidden="false" outlineLevel="0" max="15886" min="15886" style="54" width="15"/>
    <col collapsed="false" customWidth="true" hidden="false" outlineLevel="0" max="15887" min="15887" style="54" width="23.11"/>
    <col collapsed="false" customWidth="true" hidden="false" outlineLevel="0" max="15888" min="15888" style="54" width="5"/>
    <col collapsed="false" customWidth="false" hidden="false" outlineLevel="0" max="15890" min="15889" style="54" width="8.88"/>
    <col collapsed="false" customWidth="true" hidden="false" outlineLevel="0" max="15891" min="15891" style="54" width="13.44"/>
    <col collapsed="false" customWidth="true" hidden="false" outlineLevel="0" max="15892" min="15892" style="54" width="10.56"/>
    <col collapsed="false" customWidth="false" hidden="false" outlineLevel="0" max="15893" min="15893" style="54" width="8.88"/>
    <col collapsed="false" customWidth="true" hidden="false" outlineLevel="0" max="15894" min="15894" style="54" width="17"/>
    <col collapsed="false" customWidth="false" hidden="false" outlineLevel="0" max="15895" min="15895" style="54" width="8.88"/>
    <col collapsed="false" customWidth="true" hidden="false" outlineLevel="0" max="15896" min="15896" style="54" width="14.56"/>
    <col collapsed="false" customWidth="false" hidden="false" outlineLevel="0" max="15897" min="15897" style="54" width="8.88"/>
    <col collapsed="false" customWidth="true" hidden="false" outlineLevel="0" max="15898" min="15898" style="54" width="15.44"/>
    <col collapsed="false" customWidth="false" hidden="false" outlineLevel="0" max="16129" min="15899" style="54" width="8.88"/>
    <col collapsed="false" customWidth="true" hidden="false" outlineLevel="0" max="16130" min="16130" style="54" width="6.56"/>
    <col collapsed="false" customWidth="false" hidden="false" outlineLevel="0" max="16132" min="16131" style="54" width="8.88"/>
    <col collapsed="false" customWidth="true" hidden="false" outlineLevel="0" max="16133" min="16133" style="54" width="9.44"/>
    <col collapsed="false" customWidth="true" hidden="false" outlineLevel="0" max="16134" min="16134" style="54" width="5.44"/>
    <col collapsed="false" customWidth="true" hidden="false" outlineLevel="0" max="16135" min="16135" style="54" width="6.56"/>
    <col collapsed="false" customWidth="true" hidden="false" outlineLevel="0" max="16136" min="16136" style="54" width="9.56"/>
    <col collapsed="false" customWidth="false" hidden="false" outlineLevel="0" max="16137" min="16137" style="54" width="8.88"/>
    <col collapsed="false" customWidth="true" hidden="false" outlineLevel="0" max="16138" min="16138" style="54" width="8"/>
    <col collapsed="false" customWidth="true" hidden="false" outlineLevel="0" max="16139" min="16139" style="54" width="5.44"/>
    <col collapsed="false" customWidth="false" hidden="false" outlineLevel="0" max="16140" min="16140" style="54" width="8.88"/>
    <col collapsed="false" customWidth="true" hidden="false" outlineLevel="0" max="16141" min="16141" style="54" width="5.44"/>
    <col collapsed="false" customWidth="true" hidden="false" outlineLevel="0" max="16142" min="16142" style="54" width="15"/>
    <col collapsed="false" customWidth="true" hidden="false" outlineLevel="0" max="16143" min="16143" style="54" width="23.11"/>
    <col collapsed="false" customWidth="true" hidden="false" outlineLevel="0" max="16144" min="16144" style="54" width="5"/>
    <col collapsed="false" customWidth="false" hidden="false" outlineLevel="0" max="16146" min="16145" style="54" width="8.88"/>
    <col collapsed="false" customWidth="true" hidden="false" outlineLevel="0" max="16147" min="16147" style="54" width="13.44"/>
    <col collapsed="false" customWidth="true" hidden="false" outlineLevel="0" max="16148" min="16148" style="54" width="10.56"/>
    <col collapsed="false" customWidth="false" hidden="false" outlineLevel="0" max="16149" min="16149" style="54" width="8.88"/>
    <col collapsed="false" customWidth="true" hidden="false" outlineLevel="0" max="16150" min="16150" style="54" width="17"/>
    <col collapsed="false" customWidth="false" hidden="false" outlineLevel="0" max="16151" min="16151" style="54" width="8.88"/>
    <col collapsed="false" customWidth="true" hidden="false" outlineLevel="0" max="16152" min="16152" style="54" width="14.56"/>
    <col collapsed="false" customWidth="false" hidden="false" outlineLevel="0" max="16153" min="16153" style="54" width="8.88"/>
    <col collapsed="false" customWidth="true" hidden="false" outlineLevel="0" max="16154" min="16154" style="54" width="15.44"/>
    <col collapsed="false" customWidth="false" hidden="false" outlineLevel="0" max="16384" min="16155" style="54" width="8.88"/>
  </cols>
  <sheetData>
    <row r="2" customFormat="false" ht="17.35" hidden="false" customHeight="false" outlineLevel="0" collapsed="false">
      <c r="B2" s="211" t="s">
        <v>414</v>
      </c>
      <c r="C2" s="211"/>
      <c r="D2" s="211"/>
      <c r="E2" s="211"/>
      <c r="F2" s="211"/>
      <c r="G2" s="211"/>
      <c r="H2" s="211"/>
      <c r="I2" s="211"/>
      <c r="J2" s="211"/>
      <c r="K2" s="211"/>
      <c r="L2" s="211"/>
      <c r="M2" s="211"/>
      <c r="N2" s="211"/>
      <c r="O2" s="211"/>
    </row>
    <row r="3" customFormat="false" ht="17.35" hidden="false" customHeight="false" outlineLevel="0" collapsed="false">
      <c r="B3" s="211" t="s">
        <v>415</v>
      </c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211"/>
      <c r="N3" s="211"/>
      <c r="O3" s="211"/>
    </row>
    <row r="6" customFormat="false" ht="17.35" hidden="false" customHeight="false" outlineLevel="0" collapsed="false">
      <c r="B6" s="212" t="s">
        <v>416</v>
      </c>
      <c r="C6" s="212"/>
      <c r="D6" s="212"/>
      <c r="E6" s="212"/>
      <c r="F6" s="212"/>
      <c r="G6" s="212"/>
      <c r="H6" s="212"/>
      <c r="I6" s="212"/>
      <c r="J6" s="212"/>
      <c r="K6" s="212"/>
      <c r="L6" s="212"/>
      <c r="M6" s="212"/>
      <c r="N6" s="212"/>
      <c r="O6" s="212"/>
      <c r="P6" s="212"/>
    </row>
    <row r="8" customFormat="false" ht="12.75" hidden="false" customHeight="false" outlineLevel="0" collapsed="false">
      <c r="C8" s="54" t="s">
        <v>417</v>
      </c>
      <c r="G8" s="213" t="s">
        <v>418</v>
      </c>
      <c r="H8" s="213"/>
      <c r="I8" s="213"/>
      <c r="J8" s="58"/>
    </row>
    <row r="9" customFormat="false" ht="6" hidden="false" customHeight="true" outlineLevel="0" collapsed="false"/>
    <row r="10" customFormat="false" ht="12.75" hidden="false" customHeight="false" outlineLevel="0" collapsed="false">
      <c r="C10" s="54" t="s">
        <v>419</v>
      </c>
      <c r="G10" s="214" t="str">
        <f aca="false">+CCF!A2</f>
        <v>AL SERVICIOS MULTIPLES EMPRESARIALES SA DE CV</v>
      </c>
      <c r="H10" s="215"/>
      <c r="I10" s="215"/>
      <c r="J10" s="215"/>
      <c r="K10" s="215"/>
      <c r="L10" s="215"/>
      <c r="M10" s="215"/>
      <c r="N10" s="216"/>
    </row>
    <row r="12" s="217" customFormat="true" ht="17.35" hidden="false" customHeight="false" outlineLevel="0" collapsed="false">
      <c r="B12" s="212" t="s">
        <v>420</v>
      </c>
      <c r="C12" s="212"/>
      <c r="D12" s="212"/>
      <c r="E12" s="212"/>
      <c r="F12" s="212"/>
      <c r="G12" s="212"/>
      <c r="H12" s="212"/>
      <c r="I12" s="212"/>
      <c r="J12" s="212"/>
      <c r="K12" s="212"/>
      <c r="L12" s="212"/>
      <c r="M12" s="212"/>
      <c r="N12" s="212"/>
      <c r="O12" s="212"/>
      <c r="P12" s="212"/>
    </row>
    <row r="14" customFormat="false" ht="12.75" hidden="false" customHeight="false" outlineLevel="0" collapsed="false">
      <c r="C14" s="54" t="s">
        <v>421</v>
      </c>
      <c r="G14" s="218" t="s">
        <v>422</v>
      </c>
      <c r="H14" s="218"/>
      <c r="I14" s="218"/>
      <c r="J14" s="219"/>
      <c r="L14" s="54" t="s">
        <v>423</v>
      </c>
      <c r="O14" s="220"/>
    </row>
    <row r="15" customFormat="false" ht="8.25" hidden="false" customHeight="true" outlineLevel="0" collapsed="false"/>
    <row r="16" customFormat="false" ht="12.75" hidden="false" customHeight="false" outlineLevel="0" collapsed="false">
      <c r="C16" s="54" t="s">
        <v>424</v>
      </c>
      <c r="G16" s="218" t="s">
        <v>425</v>
      </c>
      <c r="H16" s="218"/>
      <c r="I16" s="218"/>
      <c r="J16" s="219"/>
      <c r="L16" s="54" t="s">
        <v>426</v>
      </c>
      <c r="O16" s="220" t="n">
        <v>2024</v>
      </c>
    </row>
    <row r="17" customFormat="false" ht="9" hidden="false" customHeight="true" outlineLevel="0" collapsed="false"/>
    <row r="18" customFormat="false" ht="12.75" hidden="false" customHeight="false" outlineLevel="0" collapsed="false">
      <c r="C18" s="54" t="s">
        <v>427</v>
      </c>
      <c r="K18" s="220" t="s">
        <v>428</v>
      </c>
    </row>
    <row r="20" s="217" customFormat="true" ht="17.35" hidden="true" customHeight="false" outlineLevel="0" collapsed="false">
      <c r="B20" s="212" t="s">
        <v>429</v>
      </c>
      <c r="C20" s="212"/>
      <c r="D20" s="212"/>
      <c r="E20" s="212"/>
      <c r="F20" s="212"/>
      <c r="G20" s="212"/>
      <c r="H20" s="212"/>
      <c r="I20" s="212"/>
      <c r="J20" s="212"/>
      <c r="K20" s="212"/>
      <c r="L20" s="212"/>
      <c r="M20" s="212"/>
      <c r="N20" s="212"/>
      <c r="O20" s="212"/>
      <c r="P20" s="212"/>
    </row>
    <row r="21" customFormat="false" ht="12.75" hidden="true" customHeight="false" outlineLevel="0" collapsed="false"/>
    <row r="22" customFormat="false" ht="12.75" hidden="true" customHeight="false" outlineLevel="0" collapsed="false">
      <c r="C22" s="54" t="s">
        <v>430</v>
      </c>
      <c r="E22" s="221"/>
      <c r="F22" s="215"/>
      <c r="G22" s="215"/>
      <c r="H22" s="215"/>
      <c r="I22" s="215"/>
      <c r="J22" s="215"/>
      <c r="K22" s="215"/>
      <c r="L22" s="216"/>
      <c r="N22" s="54" t="s">
        <v>431</v>
      </c>
      <c r="O22" s="222"/>
    </row>
    <row r="23" customFormat="false" ht="7.5" hidden="true" customHeight="true" outlineLevel="0" collapsed="false"/>
    <row r="24" customFormat="false" ht="12.75" hidden="true" customHeight="false" outlineLevel="0" collapsed="false">
      <c r="C24" s="54" t="s">
        <v>432</v>
      </c>
      <c r="E24" s="221"/>
      <c r="F24" s="216"/>
      <c r="H24" s="54" t="s">
        <v>433</v>
      </c>
      <c r="I24" s="221"/>
      <c r="J24" s="215"/>
      <c r="K24" s="215"/>
      <c r="L24" s="215"/>
      <c r="M24" s="215"/>
      <c r="N24" s="215"/>
      <c r="O24" s="216"/>
    </row>
    <row r="25" customFormat="false" ht="9" hidden="true" customHeight="true" outlineLevel="0" collapsed="false"/>
    <row r="26" customFormat="false" ht="12.75" hidden="true" customHeight="false" outlineLevel="0" collapsed="false">
      <c r="C26" s="54" t="s">
        <v>434</v>
      </c>
      <c r="E26" s="220"/>
      <c r="F26" s="220"/>
      <c r="H26" s="54" t="s">
        <v>435</v>
      </c>
      <c r="I26" s="218" t="s">
        <v>436</v>
      </c>
      <c r="J26" s="218"/>
      <c r="K26" s="218"/>
      <c r="L26" s="218"/>
      <c r="M26" s="218"/>
      <c r="N26" s="58" t="s">
        <v>437</v>
      </c>
      <c r="O26" s="218" t="s">
        <v>436</v>
      </c>
    </row>
    <row r="27" customFormat="false" ht="12.75" hidden="true" customHeight="false" outlineLevel="0" collapsed="false"/>
    <row r="28" customFormat="false" ht="12.75" hidden="true" customHeight="false" outlineLevel="0" collapsed="false">
      <c r="C28" s="54" t="s">
        <v>438</v>
      </c>
      <c r="D28" s="213"/>
      <c r="E28" s="213"/>
      <c r="F28" s="213"/>
      <c r="H28" s="54" t="s">
        <v>439</v>
      </c>
      <c r="I28" s="220"/>
      <c r="J28" s="220"/>
      <c r="K28" s="220"/>
      <c r="L28" s="220"/>
      <c r="M28" s="220"/>
    </row>
    <row r="29" customFormat="false" ht="12.75" hidden="true" customHeight="false" outlineLevel="0" collapsed="false"/>
    <row r="30" customFormat="false" ht="13.4" hidden="true" customHeight="false" outlineLevel="0" collapsed="false">
      <c r="B30" s="223" t="s">
        <v>440</v>
      </c>
    </row>
    <row r="31" customFormat="false" ht="12.75" hidden="true" customHeight="false" outlineLevel="0" collapsed="false"/>
    <row r="32" s="217" customFormat="true" ht="17.35" hidden="false" customHeight="false" outlineLevel="0" collapsed="false">
      <c r="B32" s="212" t="s">
        <v>441</v>
      </c>
      <c r="C32" s="212"/>
      <c r="D32" s="212"/>
      <c r="E32" s="212"/>
      <c r="F32" s="212"/>
      <c r="G32" s="212"/>
      <c r="H32" s="212"/>
      <c r="I32" s="212"/>
      <c r="J32" s="212"/>
      <c r="K32" s="212"/>
      <c r="L32" s="212"/>
      <c r="M32" s="212"/>
      <c r="N32" s="212"/>
      <c r="O32" s="212"/>
      <c r="P32" s="212"/>
    </row>
    <row r="34" customFormat="false" ht="16.5" hidden="true" customHeight="true" outlineLevel="0" collapsed="false">
      <c r="C34" s="224" t="s">
        <v>442</v>
      </c>
      <c r="D34" s="225"/>
      <c r="E34" s="225"/>
      <c r="F34" s="225"/>
      <c r="G34" s="226" t="n">
        <v>0</v>
      </c>
      <c r="H34" s="226"/>
      <c r="I34" s="226"/>
      <c r="J34" s="227"/>
      <c r="K34" s="54" t="s">
        <v>443</v>
      </c>
      <c r="O34" s="226" t="n">
        <v>0</v>
      </c>
      <c r="V34" s="228"/>
    </row>
    <row r="35" customFormat="false" ht="13.8" hidden="true" customHeight="false" outlineLevel="0" collapsed="false">
      <c r="C35" s="224"/>
      <c r="D35" s="225"/>
      <c r="E35" s="225"/>
      <c r="F35" s="225"/>
      <c r="G35" s="225"/>
      <c r="O35" s="225"/>
    </row>
    <row r="36" customFormat="false" ht="16.5" hidden="true" customHeight="true" outlineLevel="0" collapsed="false">
      <c r="C36" s="54" t="s">
        <v>444</v>
      </c>
      <c r="D36" s="225"/>
      <c r="E36" s="225"/>
      <c r="F36" s="225"/>
      <c r="G36" s="226" t="n">
        <f aca="false">+[16]CCF!B8</f>
        <v>1194204.73</v>
      </c>
      <c r="H36" s="226"/>
      <c r="I36" s="226"/>
      <c r="J36" s="227"/>
      <c r="K36" s="54" t="s">
        <v>445</v>
      </c>
      <c r="O36" s="226" t="n">
        <f aca="false">+[16]CCF!D78</f>
        <v>340083.72</v>
      </c>
      <c r="V36" s="228"/>
    </row>
    <row r="37" customFormat="false" ht="13.8" hidden="true" customHeight="false" outlineLevel="0" collapsed="false">
      <c r="C37" s="224"/>
      <c r="D37" s="225"/>
      <c r="E37" s="225"/>
      <c r="F37" s="225"/>
      <c r="G37" s="227"/>
      <c r="O37" s="227"/>
    </row>
    <row r="38" customFormat="false" ht="16.5" hidden="true" customHeight="true" outlineLevel="0" collapsed="false">
      <c r="C38" s="54" t="s">
        <v>446</v>
      </c>
      <c r="D38" s="225"/>
      <c r="E38" s="225"/>
      <c r="F38" s="225"/>
      <c r="G38" s="226" t="n">
        <f aca="false">+G36-G34</f>
        <v>1194204.73</v>
      </c>
      <c r="H38" s="226"/>
      <c r="I38" s="226"/>
      <c r="J38" s="184" t="e">
        <f aca="false">+G38/G34*100%</f>
        <v>#DIV/0!</v>
      </c>
      <c r="K38" s="54" t="s">
        <v>447</v>
      </c>
      <c r="O38" s="226" t="n">
        <f aca="false">+O36-O34</f>
        <v>340083.72</v>
      </c>
      <c r="P38" s="184" t="e">
        <f aca="false">+O38/O34*100%</f>
        <v>#DIV/0!</v>
      </c>
      <c r="X38" s="229"/>
      <c r="Z38" s="229"/>
    </row>
    <row r="39" customFormat="false" ht="16.5" hidden="true" customHeight="true" outlineLevel="0" collapsed="false">
      <c r="C39" s="224"/>
      <c r="D39" s="225"/>
      <c r="E39" s="225"/>
      <c r="F39" s="225"/>
      <c r="G39" s="225"/>
      <c r="H39" s="225"/>
      <c r="K39" s="224"/>
      <c r="L39" s="225"/>
      <c r="M39" s="225"/>
      <c r="N39" s="225"/>
      <c r="O39" s="227"/>
    </row>
    <row r="40" customFormat="false" ht="6" hidden="true" customHeight="true" outlineLevel="0" collapsed="false">
      <c r="C40" s="224"/>
      <c r="D40" s="225"/>
      <c r="E40" s="225"/>
      <c r="F40" s="225"/>
      <c r="G40" s="225"/>
      <c r="H40" s="225"/>
      <c r="K40" s="224"/>
      <c r="L40" s="225"/>
      <c r="M40" s="225"/>
      <c r="N40" s="225"/>
      <c r="O40" s="227"/>
    </row>
    <row r="41" customFormat="false" ht="16.5" hidden="true" customHeight="true" outlineLevel="0" collapsed="false">
      <c r="C41" s="54" t="s">
        <v>448</v>
      </c>
      <c r="D41" s="225"/>
      <c r="E41" s="225"/>
      <c r="F41" s="225"/>
      <c r="G41" s="226" t="n">
        <f aca="false">+G38-O38</f>
        <v>854121.01</v>
      </c>
      <c r="H41" s="226"/>
      <c r="I41" s="226"/>
      <c r="K41" s="224" t="s">
        <v>449</v>
      </c>
      <c r="L41" s="225"/>
      <c r="M41" s="225"/>
      <c r="N41" s="225"/>
      <c r="O41" s="226" t="n">
        <f aca="false">+G41*0.3</f>
        <v>256236.303</v>
      </c>
      <c r="V41" s="230"/>
      <c r="X41" s="229"/>
      <c r="Z41" s="229"/>
    </row>
    <row r="42" customFormat="false" ht="13.8" hidden="true" customHeight="false" outlineLevel="0" collapsed="false">
      <c r="C42" s="224"/>
      <c r="D42" s="225"/>
      <c r="E42" s="225"/>
      <c r="F42" s="225"/>
      <c r="G42" s="225"/>
      <c r="H42" s="225"/>
      <c r="K42" s="224"/>
      <c r="L42" s="225"/>
      <c r="M42" s="225"/>
      <c r="N42" s="225"/>
      <c r="O42" s="227"/>
      <c r="S42" s="160"/>
    </row>
    <row r="43" customFormat="false" ht="16.5" hidden="true" customHeight="true" outlineLevel="0" collapsed="false">
      <c r="C43" s="54" t="s">
        <v>450</v>
      </c>
      <c r="D43" s="225"/>
      <c r="E43" s="225"/>
      <c r="F43" s="225"/>
      <c r="G43" s="226" t="n">
        <v>0</v>
      </c>
      <c r="H43" s="226"/>
      <c r="I43" s="226"/>
      <c r="K43" s="224" t="s">
        <v>451</v>
      </c>
      <c r="L43" s="225"/>
      <c r="M43" s="225"/>
      <c r="N43" s="225"/>
      <c r="O43" s="226" t="n">
        <f aca="false">+G43+O41</f>
        <v>256236.303</v>
      </c>
      <c r="V43" s="229"/>
      <c r="X43" s="229"/>
    </row>
    <row r="44" customFormat="false" ht="13.8" hidden="true" customHeight="false" outlineLevel="0" collapsed="false">
      <c r="C44" s="224"/>
      <c r="D44" s="225"/>
      <c r="E44" s="225"/>
      <c r="F44" s="225"/>
      <c r="G44" s="225"/>
      <c r="H44" s="225"/>
      <c r="K44" s="224"/>
      <c r="L44" s="225"/>
      <c r="M44" s="225"/>
      <c r="N44" s="225"/>
      <c r="O44" s="227"/>
    </row>
    <row r="45" customFormat="false" ht="16.5" hidden="true" customHeight="true" outlineLevel="0" collapsed="false">
      <c r="C45" s="224" t="s">
        <v>452</v>
      </c>
      <c r="D45" s="225"/>
      <c r="E45" s="225"/>
      <c r="F45" s="225"/>
      <c r="G45" s="226" t="e">
        <f aca="false">+O49-G43</f>
        <v>#NAME?</v>
      </c>
      <c r="H45" s="226"/>
      <c r="I45" s="226"/>
      <c r="K45" s="224"/>
      <c r="L45" s="225"/>
      <c r="M45" s="225"/>
      <c r="N45" s="225"/>
      <c r="O45" s="227"/>
    </row>
    <row r="46" customFormat="false" ht="16.5" hidden="true" customHeight="true" outlineLevel="0" collapsed="false">
      <c r="C46" s="231"/>
      <c r="D46" s="232"/>
      <c r="E46" s="232"/>
      <c r="F46" s="232"/>
      <c r="G46" s="232"/>
      <c r="H46" s="232"/>
      <c r="I46" s="233"/>
      <c r="J46" s="233"/>
      <c r="K46" s="231"/>
      <c r="L46" s="232"/>
      <c r="M46" s="232"/>
      <c r="N46" s="232"/>
      <c r="O46" s="234"/>
    </row>
    <row r="47" customFormat="false" ht="16.5" hidden="true" customHeight="true" outlineLevel="0" collapsed="false">
      <c r="C47" s="224"/>
      <c r="D47" s="225"/>
      <c r="E47" s="225"/>
      <c r="F47" s="225"/>
      <c r="G47" s="225"/>
      <c r="H47" s="225"/>
      <c r="K47" s="224"/>
      <c r="L47" s="225"/>
      <c r="M47" s="225"/>
      <c r="N47" s="225"/>
      <c r="O47" s="227"/>
    </row>
    <row r="48" customFormat="false" ht="13.8" hidden="false" customHeight="false" outlineLevel="0" collapsed="false">
      <c r="C48" s="224"/>
      <c r="D48" s="225"/>
      <c r="E48" s="225"/>
      <c r="F48" s="225"/>
      <c r="G48" s="225"/>
      <c r="H48" s="225"/>
      <c r="K48" s="224"/>
      <c r="L48" s="225"/>
      <c r="M48" s="225"/>
      <c r="N48" s="225"/>
      <c r="O48" s="227"/>
    </row>
    <row r="49" customFormat="false" ht="19.5" hidden="false" customHeight="true" outlineLevel="0" collapsed="false">
      <c r="C49" s="224" t="s">
        <v>453</v>
      </c>
      <c r="D49" s="235"/>
      <c r="E49" s="235"/>
      <c r="F49" s="235"/>
      <c r="G49" s="226" t="n">
        <v>11850829</v>
      </c>
      <c r="H49" s="226"/>
      <c r="I49" s="226"/>
      <c r="K49" s="224" t="s">
        <v>454</v>
      </c>
      <c r="L49" s="225"/>
      <c r="M49" s="225"/>
      <c r="N49" s="225"/>
      <c r="O49" s="226" t="e">
        <f aca="false">+CCF!D87*1</f>
        <v>#NAME?</v>
      </c>
    </row>
    <row r="50" customFormat="false" ht="11.25" hidden="false" customHeight="true" outlineLevel="0" collapsed="false">
      <c r="C50" s="235"/>
      <c r="D50" s="235"/>
      <c r="E50" s="235"/>
      <c r="F50" s="236"/>
      <c r="K50" s="224"/>
      <c r="L50" s="225"/>
      <c r="M50" s="225"/>
      <c r="N50" s="225"/>
      <c r="O50" s="225"/>
    </row>
    <row r="51" customFormat="false" ht="19.5" hidden="false" customHeight="true" outlineLevel="0" collapsed="false">
      <c r="C51" s="224" t="s">
        <v>455</v>
      </c>
      <c r="D51" s="225"/>
      <c r="E51" s="225"/>
      <c r="F51" s="225"/>
      <c r="G51" s="226" t="e">
        <f aca="false">+CCF!D36</f>
        <v>#NAME?</v>
      </c>
      <c r="H51" s="226"/>
      <c r="I51" s="226"/>
      <c r="K51" s="224" t="s">
        <v>456</v>
      </c>
      <c r="L51" s="225"/>
      <c r="M51" s="225"/>
      <c r="N51" s="225"/>
      <c r="O51" s="226" t="e">
        <f aca="false">+CCF!D91*0</f>
        <v>#NAME?</v>
      </c>
      <c r="R51" s="237" t="e">
        <f aca="false">+G51-G49</f>
        <v>#NAME?</v>
      </c>
    </row>
    <row r="52" customFormat="false" ht="13.8" hidden="false" customHeight="false" outlineLevel="0" collapsed="false">
      <c r="C52" s="224"/>
      <c r="D52" s="225"/>
      <c r="E52" s="225"/>
      <c r="F52" s="225"/>
      <c r="G52" s="225"/>
      <c r="H52" s="225"/>
      <c r="K52" s="224"/>
      <c r="L52" s="225"/>
      <c r="M52" s="225"/>
      <c r="N52" s="225"/>
      <c r="O52" s="227"/>
    </row>
    <row r="53" customFormat="false" ht="18" hidden="false" customHeight="true" outlineLevel="0" collapsed="false">
      <c r="C53" s="224" t="s">
        <v>457</v>
      </c>
      <c r="D53" s="225"/>
      <c r="E53" s="225"/>
      <c r="F53" s="225"/>
      <c r="G53" s="225"/>
      <c r="H53" s="225"/>
      <c r="K53" s="224" t="s">
        <v>458</v>
      </c>
      <c r="L53" s="225"/>
      <c r="M53" s="225"/>
      <c r="N53" s="225"/>
      <c r="O53" s="238" t="e">
        <f aca="false">O49/G60</f>
        <v>#NAME?</v>
      </c>
    </row>
    <row r="54" customFormat="false" ht="15" hidden="false" customHeight="true" outlineLevel="0" collapsed="false">
      <c r="C54" s="224"/>
      <c r="E54" s="239" t="s">
        <v>459</v>
      </c>
      <c r="F54" s="225"/>
      <c r="G54" s="226" t="e">
        <f aca="false">+CCF!D80*1</f>
        <v>#NAME?</v>
      </c>
      <c r="H54" s="226"/>
      <c r="I54" s="226"/>
      <c r="J54" s="227"/>
      <c r="K54" s="224"/>
      <c r="L54" s="225"/>
      <c r="M54" s="225"/>
      <c r="N54" s="225"/>
      <c r="O54" s="227"/>
    </row>
    <row r="55" customFormat="false" ht="6.75" hidden="false" customHeight="true" outlineLevel="0" collapsed="false">
      <c r="C55" s="224"/>
      <c r="E55" s="225"/>
      <c r="F55" s="225"/>
      <c r="G55" s="227"/>
      <c r="H55" s="227"/>
      <c r="I55" s="227"/>
      <c r="J55" s="227"/>
      <c r="K55" s="224"/>
      <c r="L55" s="225"/>
      <c r="M55" s="225"/>
      <c r="N55" s="225"/>
      <c r="O55" s="227"/>
    </row>
    <row r="56" customFormat="false" ht="15" hidden="false" customHeight="true" outlineLevel="0" collapsed="false">
      <c r="C56" s="224"/>
      <c r="E56" s="239" t="s">
        <v>460</v>
      </c>
      <c r="F56" s="225"/>
      <c r="G56" s="226" t="n">
        <f aca="false">+CCF!D4</f>
        <v>-2792291.314609</v>
      </c>
      <c r="H56" s="226"/>
      <c r="I56" s="226"/>
      <c r="J56" s="227"/>
      <c r="K56" s="224" t="s">
        <v>461</v>
      </c>
      <c r="O56" s="238" t="n">
        <f aca="false">IFERROR(O49/G54,0)</f>
        <v>0</v>
      </c>
    </row>
    <row r="57" customFormat="false" ht="13.8" hidden="false" customHeight="false" outlineLevel="0" collapsed="false">
      <c r="C57" s="224"/>
      <c r="D57" s="225"/>
      <c r="E57" s="225"/>
      <c r="F57" s="225"/>
      <c r="G57" s="225"/>
      <c r="H57" s="225"/>
    </row>
    <row r="58" customFormat="false" ht="13.8" hidden="false" customHeight="false" outlineLevel="0" collapsed="false">
      <c r="C58" s="224"/>
      <c r="D58" s="225"/>
      <c r="E58" s="239" t="s">
        <v>462</v>
      </c>
      <c r="F58" s="225"/>
      <c r="G58" s="226" t="e">
        <f aca="false">+CCF!D84*1</f>
        <v>#NAME?</v>
      </c>
      <c r="H58" s="226"/>
      <c r="I58" s="226"/>
      <c r="K58" s="224" t="s">
        <v>463</v>
      </c>
      <c r="O58" s="238" t="n">
        <f aca="false">IFERROR(O49/G56,0)</f>
        <v>0</v>
      </c>
    </row>
    <row r="59" customFormat="false" ht="13.8" hidden="false" customHeight="false" outlineLevel="0" collapsed="false">
      <c r="C59" s="224"/>
      <c r="D59" s="225"/>
      <c r="E59" s="225"/>
      <c r="F59" s="225"/>
      <c r="G59" s="225"/>
      <c r="H59" s="225"/>
    </row>
    <row r="60" customFormat="false" ht="13.8" hidden="false" customHeight="false" outlineLevel="0" collapsed="false">
      <c r="C60" s="224" t="s">
        <v>464</v>
      </c>
      <c r="D60" s="225"/>
      <c r="E60" s="225"/>
      <c r="F60" s="225"/>
      <c r="G60" s="226" t="e">
        <f aca="false">+G51</f>
        <v>#NAME?</v>
      </c>
      <c r="H60" s="226"/>
      <c r="I60" s="226"/>
      <c r="J60" s="227"/>
      <c r="K60" s="224" t="s">
        <v>465</v>
      </c>
      <c r="L60" s="225"/>
      <c r="M60" s="225"/>
      <c r="N60" s="225"/>
      <c r="O60" s="226" t="e">
        <f aca="false">-CCF!D91*1</f>
        <v>#NAME?</v>
      </c>
    </row>
    <row r="61" customFormat="false" ht="13.8" hidden="false" customHeight="false" outlineLevel="0" collapsed="false">
      <c r="C61" s="224"/>
      <c r="D61" s="225"/>
      <c r="E61" s="225"/>
      <c r="F61" s="225"/>
      <c r="G61" s="225"/>
      <c r="H61" s="225"/>
      <c r="I61" s="224"/>
      <c r="J61" s="224"/>
    </row>
    <row r="62" customFormat="false" ht="13.8" hidden="false" customHeight="false" outlineLevel="0" collapsed="false">
      <c r="C62" s="224" t="s">
        <v>466</v>
      </c>
      <c r="D62" s="225"/>
      <c r="E62" s="225"/>
      <c r="F62" s="225"/>
      <c r="H62" s="240" t="n">
        <v>0.0304</v>
      </c>
      <c r="I62" s="241" t="n">
        <f aca="false">+H62</f>
        <v>0.0304</v>
      </c>
      <c r="J62" s="241"/>
      <c r="K62" s="224" t="s">
        <v>467</v>
      </c>
      <c r="L62" s="225"/>
      <c r="M62" s="225"/>
      <c r="N62" s="225"/>
      <c r="O62" s="226" t="n">
        <v>2275</v>
      </c>
    </row>
    <row r="63" customFormat="false" ht="13.8" hidden="false" customHeight="false" outlineLevel="0" collapsed="false">
      <c r="C63" s="224" t="s">
        <v>468</v>
      </c>
      <c r="D63" s="225"/>
      <c r="E63" s="225"/>
      <c r="F63" s="225"/>
      <c r="H63" s="242" t="n">
        <f aca="false">IF((CCF!E84&lt;0),H62,CCF!E84)</f>
        <v>0.0257</v>
      </c>
      <c r="I63" s="243" t="n">
        <f aca="false">+H63</f>
        <v>0.0257</v>
      </c>
      <c r="J63" s="241"/>
    </row>
    <row r="64" customFormat="false" ht="13.8" hidden="false" customHeight="false" outlineLevel="0" collapsed="false">
      <c r="C64" s="224" t="s">
        <v>469</v>
      </c>
      <c r="D64" s="225"/>
      <c r="E64" s="225"/>
      <c r="F64" s="225"/>
      <c r="H64" s="240" t="n">
        <f aca="false">+H63-H62</f>
        <v>-0.0047</v>
      </c>
      <c r="I64" s="241" t="n">
        <f aca="false">+I63-I62</f>
        <v>-0.0047</v>
      </c>
      <c r="J64" s="241"/>
      <c r="K64" s="224" t="s">
        <v>470</v>
      </c>
      <c r="L64" s="225"/>
      <c r="M64" s="225"/>
      <c r="N64" s="225"/>
      <c r="O64" s="226" t="n">
        <v>1200449</v>
      </c>
      <c r="S64" s="160"/>
    </row>
    <row r="65" customFormat="false" ht="12.75" hidden="false" customHeight="false" outlineLevel="0" collapsed="false">
      <c r="S65" s="230"/>
    </row>
    <row r="66" customFormat="false" ht="12.75" hidden="true" customHeight="false" outlineLevel="0" collapsed="false"/>
    <row r="67" customFormat="false" ht="13.8" hidden="true" customHeight="false" outlineLevel="0" collapsed="false">
      <c r="C67" s="244"/>
      <c r="D67" s="245"/>
      <c r="E67" s="244"/>
      <c r="F67" s="244"/>
      <c r="G67" s="244"/>
      <c r="H67" s="244"/>
      <c r="I67" s="246"/>
      <c r="J67" s="247"/>
      <c r="K67" s="247"/>
      <c r="L67" s="247"/>
      <c r="N67" s="246"/>
      <c r="O67" s="245"/>
    </row>
    <row r="68" customFormat="false" ht="13.8" hidden="true" customHeight="false" outlineLevel="0" collapsed="false">
      <c r="C68" s="248" t="s">
        <v>471</v>
      </c>
      <c r="D68" s="248"/>
      <c r="E68" s="248" t="s">
        <v>472</v>
      </c>
      <c r="F68" s="248"/>
      <c r="G68" s="248"/>
      <c r="H68" s="248"/>
      <c r="I68" s="248" t="s">
        <v>473</v>
      </c>
      <c r="J68" s="248"/>
      <c r="K68" s="248"/>
      <c r="L68" s="248"/>
      <c r="M68" s="248"/>
      <c r="N68" s="248" t="s">
        <v>474</v>
      </c>
      <c r="O68" s="248"/>
    </row>
    <row r="69" customFormat="false" ht="12.75" hidden="true" customHeight="false" outlineLevel="0" collapsed="false">
      <c r="B69" s="249"/>
      <c r="C69" s="249"/>
      <c r="D69" s="249"/>
      <c r="E69" s="249"/>
      <c r="F69" s="249"/>
      <c r="G69" s="249"/>
      <c r="H69" s="249"/>
      <c r="I69" s="249"/>
      <c r="J69" s="249"/>
    </row>
    <row r="70" customFormat="false" ht="13.8" hidden="true" customHeight="false" outlineLevel="0" collapsed="false">
      <c r="C70" s="54" t="s">
        <v>475</v>
      </c>
      <c r="G70" s="244"/>
      <c r="H70" s="244"/>
      <c r="I70" s="244"/>
      <c r="J70" s="250" t="s">
        <v>476</v>
      </c>
      <c r="K70" s="250"/>
      <c r="L70" s="250"/>
      <c r="M70" s="250"/>
      <c r="N70" s="246"/>
      <c r="O70" s="245"/>
    </row>
    <row r="71" customFormat="false" ht="12.75" hidden="true" customHeight="false" outlineLevel="0" collapsed="false"/>
    <row r="73" customFormat="false" ht="12.75" hidden="false" customHeight="false" outlineLevel="0" collapsed="false">
      <c r="G73" s="251" t="s">
        <v>477</v>
      </c>
      <c r="H73" s="251"/>
      <c r="J73" s="251" t="s">
        <v>478</v>
      </c>
      <c r="K73" s="251"/>
    </row>
    <row r="74" customFormat="false" ht="12.75" hidden="false" customHeight="false" outlineLevel="0" collapsed="false">
      <c r="C74" s="54" t="s">
        <v>479</v>
      </c>
      <c r="G74" s="252" t="n">
        <f aca="false">+ER!M28</f>
        <v>0</v>
      </c>
      <c r="H74" s="252"/>
      <c r="J74" s="252" t="n">
        <v>75993</v>
      </c>
      <c r="K74" s="252"/>
    </row>
    <row r="75" customFormat="false" ht="12.75" hidden="false" customHeight="false" outlineLevel="0" collapsed="false">
      <c r="G75" s="253"/>
      <c r="H75" s="253"/>
    </row>
    <row r="76" customFormat="false" ht="12.75" hidden="false" customHeight="false" outlineLevel="0" collapsed="false">
      <c r="C76" s="54" t="s">
        <v>480</v>
      </c>
      <c r="G76" s="254" t="n">
        <f aca="false">+ER!H28</f>
        <v>1783936.94</v>
      </c>
      <c r="H76" s="254"/>
      <c r="J76" s="254" t="n">
        <v>75993</v>
      </c>
      <c r="K76" s="254"/>
    </row>
    <row r="78" customFormat="false" ht="12.75" hidden="false" customHeight="false" outlineLevel="0" collapsed="false">
      <c r="C78" s="54" t="s">
        <v>481</v>
      </c>
      <c r="G78" s="252" t="n">
        <f aca="false">+G74-G76</f>
        <v>-1783936.94</v>
      </c>
      <c r="H78" s="252"/>
      <c r="J78" s="252" t="n">
        <f aca="false">+J74-J76</f>
        <v>0</v>
      </c>
      <c r="K78" s="252"/>
    </row>
  </sheetData>
  <mergeCells count="40">
    <mergeCell ref="B2:O2"/>
    <mergeCell ref="B3:O3"/>
    <mergeCell ref="B6:P6"/>
    <mergeCell ref="G8:I8"/>
    <mergeCell ref="B12:P12"/>
    <mergeCell ref="G14:I14"/>
    <mergeCell ref="G16:I16"/>
    <mergeCell ref="B20:P20"/>
    <mergeCell ref="E26:F26"/>
    <mergeCell ref="I26:M26"/>
    <mergeCell ref="D28:F28"/>
    <mergeCell ref="I28:M28"/>
    <mergeCell ref="B32:P32"/>
    <mergeCell ref="G34:I34"/>
    <mergeCell ref="G36:I36"/>
    <mergeCell ref="G38:I38"/>
    <mergeCell ref="G41:I41"/>
    <mergeCell ref="G43:I43"/>
    <mergeCell ref="G45:I45"/>
    <mergeCell ref="G49:I49"/>
    <mergeCell ref="G51:I51"/>
    <mergeCell ref="G54:I54"/>
    <mergeCell ref="G56:I56"/>
    <mergeCell ref="G58:I58"/>
    <mergeCell ref="G60:I60"/>
    <mergeCell ref="E67:H67"/>
    <mergeCell ref="C68:D68"/>
    <mergeCell ref="E68:H68"/>
    <mergeCell ref="I68:M68"/>
    <mergeCell ref="N68:O68"/>
    <mergeCell ref="G70:I70"/>
    <mergeCell ref="J70:M70"/>
    <mergeCell ref="G73:H73"/>
    <mergeCell ref="J73:K73"/>
    <mergeCell ref="G74:H74"/>
    <mergeCell ref="J74:K74"/>
    <mergeCell ref="G76:H76"/>
    <mergeCell ref="J76:K76"/>
    <mergeCell ref="G78:H78"/>
    <mergeCell ref="J78:K7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10.6796875" defaultRowHeight="12.75" customHeight="false" zeroHeight="false" outlineLevelRow="0" outlineLevelCol="0"/>
  <cols>
    <col collapsed="false" customWidth="true" hidden="false" outlineLevel="0" max="3" min="3" style="0" width="13"/>
    <col collapsed="false" customWidth="true" hidden="false" outlineLevel="0" max="4" min="4" style="0" width="14.67"/>
    <col collapsed="false" customWidth="true" hidden="false" outlineLevel="0" max="5" min="5" style="0" width="14.56"/>
  </cols>
  <sheetData>
    <row r="1" customFormat="false" ht="12.75" hidden="false" customHeight="false" outlineLevel="0" collapsed="false">
      <c r="D1" s="1"/>
      <c r="E1" s="1"/>
      <c r="F1" s="51"/>
    </row>
    <row r="4" customFormat="false" ht="12.75" hidden="false" customHeight="false" outlineLevel="0" collapsed="false">
      <c r="C4" s="0" t="s">
        <v>482</v>
      </c>
      <c r="D4" s="2" t="s">
        <v>483</v>
      </c>
    </row>
    <row r="5" customFormat="false" ht="12.75" hidden="false" customHeight="false" outlineLevel="0" collapsed="false">
      <c r="B5" s="0" t="s">
        <v>484</v>
      </c>
      <c r="C5" s="1"/>
    </row>
    <row r="6" customFormat="false" ht="12.75" hidden="false" customHeight="false" outlineLevel="0" collapsed="false">
      <c r="B6" s="0" t="s">
        <v>485</v>
      </c>
      <c r="C6" s="1"/>
    </row>
    <row r="7" customFormat="false" ht="12.75" hidden="false" customHeight="false" outlineLevel="0" collapsed="false">
      <c r="B7" s="0" t="s">
        <v>486</v>
      </c>
      <c r="C7" s="1"/>
    </row>
    <row r="8" customFormat="false" ht="12.75" hidden="false" customHeight="false" outlineLevel="0" collapsed="false">
      <c r="B8" s="0" t="s">
        <v>487</v>
      </c>
    </row>
    <row r="9" customFormat="false" ht="12.75" hidden="false" customHeight="false" outlineLevel="0" collapsed="false">
      <c r="B9" s="0" t="s">
        <v>488</v>
      </c>
    </row>
    <row r="10" customFormat="false" ht="12.75" hidden="false" customHeight="false" outlineLevel="0" collapsed="false">
      <c r="B10" s="0" t="s">
        <v>489</v>
      </c>
    </row>
    <row r="11" customFormat="false" ht="12.75" hidden="false" customHeight="false" outlineLevel="0" collapsed="false">
      <c r="B11" s="0" t="s">
        <v>490</v>
      </c>
    </row>
    <row r="12" customFormat="false" ht="12.75" hidden="false" customHeight="false" outlineLevel="0" collapsed="false">
      <c r="B12" s="0" t="s">
        <v>491</v>
      </c>
    </row>
    <row r="13" customFormat="false" ht="12.75" hidden="false" customHeight="false" outlineLevel="0" collapsed="false">
      <c r="B13" s="0" t="s">
        <v>492</v>
      </c>
    </row>
    <row r="14" customFormat="false" ht="12.75" hidden="false" customHeight="false" outlineLevel="0" collapsed="false">
      <c r="B14" s="0" t="s">
        <v>493</v>
      </c>
      <c r="D14" s="255"/>
      <c r="E14" s="255"/>
    </row>
    <row r="15" customFormat="false" ht="12.75" hidden="false" customHeight="false" outlineLevel="0" collapsed="false">
      <c r="B15" s="0" t="s">
        <v>494</v>
      </c>
      <c r="D15" s="255"/>
      <c r="E15" s="255"/>
    </row>
    <row r="16" customFormat="false" ht="12.75" hidden="false" customHeight="false" outlineLevel="0" collapsed="false">
      <c r="B16" s="0" t="s">
        <v>495</v>
      </c>
      <c r="C16" s="256"/>
      <c r="D16" s="257"/>
      <c r="E16" s="255"/>
    </row>
    <row r="17" customFormat="false" ht="12.75" hidden="false" customHeight="false" outlineLevel="0" collapsed="false">
      <c r="C17" s="258" t="n">
        <f aca="false">SUM(C5:C16)</f>
        <v>0</v>
      </c>
      <c r="D17" s="258" t="n">
        <f aca="false">SUM(D5:D16)</f>
        <v>0</v>
      </c>
    </row>
    <row r="19" customFormat="false" ht="12.75" hidden="false" customHeight="false" outlineLevel="0" collapsed="false">
      <c r="B19" s="259" t="s">
        <v>496</v>
      </c>
      <c r="C19" s="256"/>
      <c r="D19" s="256"/>
    </row>
    <row r="20" customFormat="false" ht="12.75" hidden="false" customHeight="false" outlineLevel="0" collapsed="false">
      <c r="C20" s="258" t="n">
        <f aca="false">+C17-C19</f>
        <v>0</v>
      </c>
      <c r="D20" s="258" t="n">
        <f aca="false">+D17-D19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2022-03-26T00:34:57Z</dcterms:created>
  <dc:creator>Alma L. Chavez Najera</dc:creator>
  <dc:description/>
  <dc:language>es-MX</dc:language>
  <cp:lastModifiedBy/>
  <cp:lastPrinted>2026-07-06T18:58:34Z</cp:lastPrinted>
  <dcterms:modified xsi:type="dcterms:W3CDTF">2026-07-16T11:55:11Z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