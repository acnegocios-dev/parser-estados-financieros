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_-* #,##0.00_-;\-* #,##0.00_-;_-* &quot;-&quot;??_-;_-@_-"/>
    <numFmt numFmtId="165" formatCode="#,##0.00_ ;[Red]\-#,##0.00\ "/>
    <numFmt numFmtId="166" formatCode="_-&quot;$&quot;* #,##0.00_-;\-&quot;$&quot;* #,##0.00_-;_-&quot;$&quot;* &quot;-&quot;??_-;_-@_-"/>
    <numFmt numFmtId="167" formatCode="&quot;$&quot;#,##0.00;[Red]\(\-&quot;$&quot;#,##0.00\)"/>
    <numFmt numFmtId="168" formatCode="&quot;$&quot;#,##0.00;[Red]\-&quot;$&quot;#,##0.00"/>
  </numFmts>
  <fonts count="9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sz val="10"/>
    </font>
    <font>
      <name val="Arial"/>
      <family val="2"/>
      <sz val="12"/>
    </font>
    <font>
      <name val="Arial"/>
      <family val="2"/>
      <b val="1"/>
      <sz val="10"/>
    </font>
    <font>
      <name val="Arial"/>
      <family val="2"/>
      <b val="1"/>
      <i val="1"/>
      <sz val="10"/>
    </font>
    <font>
      <name val="Arial"/>
      <family val="2"/>
      <i val="1"/>
      <sz val="10"/>
    </font>
    <font>
      <name val="Arial"/>
      <family val="2"/>
      <sz val="10"/>
      <u val="singleAccounting"/>
    </font>
    <font>
      <name val="Arial"/>
      <family val="2"/>
      <color theme="1"/>
      <sz val="10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7" fontId="1" fillId="2" borderId="0" applyAlignment="1" pivotButton="0" quotePrefix="0" xfId="0">
      <alignment horizontal="center"/>
    </xf>
    <xf numFmtId="17" fontId="2" fillId="2" borderId="0" applyAlignment="1" pivotButton="0" quotePrefix="0" xfId="0">
      <alignment horizontal="center"/>
    </xf>
    <xf numFmtId="164" fontId="1" fillId="2" borderId="0" applyAlignment="1" pivotButton="0" quotePrefix="0" xfId="0">
      <alignment horizont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164" fontId="4" fillId="2" borderId="0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6" fillId="2" borderId="0" applyAlignment="1" pivotButton="0" quotePrefix="0" xfId="0">
      <alignment horizontal="center"/>
    </xf>
    <xf numFmtId="164" fontId="1" fillId="2" borderId="1" pivotButton="0" quotePrefix="0" xfId="0"/>
    <xf numFmtId="164" fontId="1" fillId="2" borderId="0" pivotButton="0" quotePrefix="0" xfId="0"/>
    <xf numFmtId="9" fontId="1" fillId="2" borderId="0" applyAlignment="1" pivotButton="0" quotePrefix="0" xfId="0">
      <alignment horizontal="center"/>
    </xf>
    <xf numFmtId="165" fontId="1" fillId="2" borderId="0" pivotButton="0" quotePrefix="0" xfId="0"/>
    <xf numFmtId="0" fontId="6" fillId="2" borderId="0" pivotButton="0" quotePrefix="0" xfId="0"/>
    <xf numFmtId="165" fontId="1" fillId="2" borderId="1" pivotButton="0" quotePrefix="0" xfId="0"/>
    <xf numFmtId="10" fontId="1" fillId="2" borderId="0" applyAlignment="1" pivotButton="0" quotePrefix="0" xfId="0">
      <alignment horizontal="center"/>
    </xf>
    <xf numFmtId="0" fontId="5" fillId="2" borderId="0" pivotButton="0" quotePrefix="0" xfId="0"/>
    <xf numFmtId="4" fontId="1" fillId="2" borderId="1" pivotButton="0" quotePrefix="0" xfId="0"/>
    <xf numFmtId="4" fontId="1" fillId="2" borderId="0" pivotButton="0" quotePrefix="0" xfId="0"/>
    <xf numFmtId="166" fontId="1" fillId="2" borderId="0" pivotButton="0" quotePrefix="0" xfId="0"/>
    <xf numFmtId="166" fontId="7" fillId="2" borderId="0" pivotButton="0" quotePrefix="0" xfId="0"/>
    <xf numFmtId="164" fontId="2" fillId="2" borderId="0" pivotButton="0" quotePrefix="0" xfId="0"/>
    <xf numFmtId="166" fontId="4" fillId="2" borderId="0" pivotButton="0" quotePrefix="0" xfId="0"/>
    <xf numFmtId="10" fontId="1" fillId="2" borderId="0" pivotButton="0" quotePrefix="0" xfId="0"/>
    <xf numFmtId="167" fontId="8" fillId="2" borderId="0" pivotButton="0" quotePrefix="0" xfId="0"/>
    <xf numFmtId="164" fontId="7" fillId="2" borderId="0" pivotButton="0" quotePrefix="0" xfId="0"/>
    <xf numFmtId="167" fontId="1" fillId="2" borderId="0" pivotButton="0" quotePrefix="0" xfId="0"/>
    <xf numFmtId="168" fontId="1" fillId="2" borderId="0" pivotButton="0" quotePrefix="0" xfId="0"/>
    <xf numFmtId="164" fontId="1" fillId="2" borderId="2" pivotButton="0" quotePrefix="0" xfId="0"/>
    <xf numFmtId="167" fontId="1" fillId="2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9:K84"/>
  <sheetViews>
    <sheetView topLeftCell="A4" workbookViewId="0">
      <selection activeCell="A1" sqref="A1"/>
    </sheetView>
  </sheetViews>
  <sheetFormatPr baseColWidth="10" defaultColWidth="9.109375" defaultRowHeight="13.2"/>
  <cols>
    <col width="4.33203125" customWidth="1" min="1" max="1"/>
    <col width="13" customWidth="1" min="2" max="2"/>
    <col width="24.88671875" customWidth="1" min="3" max="3"/>
    <col width="18.6640625" customWidth="1" min="4" max="4"/>
    <col width="2.6640625" customWidth="1" min="5" max="5"/>
    <col width="1.88671875" customWidth="1" min="6" max="6"/>
    <col width="2.6640625" customWidth="1" min="7" max="7"/>
    <col width="18.6640625" customWidth="1" min="8" max="8"/>
    <col width="2.6640625" customWidth="1" min="9" max="9"/>
    <col width="11.6640625" customWidth="1" min="10" max="10"/>
  </cols>
  <sheetData>
    <row r="1" hidden="1" ht="12.75" customHeight="1"/>
    <row r="2" hidden="1" ht="12.75" customHeight="1"/>
    <row r="3" hidden="1" ht="12.75" customHeight="1"/>
    <row r="4" ht="12.75" customHeight="1"/>
    <row r="5" ht="12.75" customHeight="1"/>
    <row r="6" ht="12.75" customHeight="1"/>
    <row r="7" ht="12.75" customHeight="1"/>
    <row r="8" ht="12.75" customHeight="1"/>
    <row r="9" ht="22.2" customHeight="1">
      <c r="B9" s="1" t="inlineStr">
        <is>
          <t>AL SERVICIOS MULTIPLES EMPRESARIALES SA DE CV</t>
        </is>
      </c>
      <c r="C9" s="2" t="n"/>
      <c r="D9" s="2" t="n"/>
      <c r="E9" s="2" t="n"/>
      <c r="F9" s="2" t="n"/>
      <c r="G9" s="2" t="n"/>
      <c r="H9" s="2" t="n"/>
      <c r="I9" s="2" t="n"/>
      <c r="J9" s="2" t="n"/>
    </row>
    <row r="10" ht="14.4" customHeight="1">
      <c r="B10" s="3" t="inlineStr">
        <is>
          <t>Estado de Resultados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</row>
    <row r="11" ht="12.75" customHeight="1">
      <c r="B11" s="4" t="inlineStr">
        <is>
          <t>Del 1ro de Enero al 31 de Julio 2026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</row>
    <row r="12" ht="12.75" customHeight="1">
      <c r="B12" s="4" t="inlineStr">
        <is>
          <t>(Importes expresados en pesos)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</row>
    <row r="13" ht="12.75" customHeight="1">
      <c r="B13" s="5" t="n"/>
      <c r="C13" s="5" t="n"/>
      <c r="D13" s="5" t="n"/>
      <c r="E13" s="5" t="n"/>
      <c r="F13" s="5" t="n"/>
      <c r="G13" s="5" t="n"/>
      <c r="H13" s="6" t="n"/>
      <c r="I13" s="5" t="n"/>
      <c r="J13" s="5" t="n"/>
    </row>
    <row r="14" ht="12.75" customHeight="1">
      <c r="B14" s="5" t="n"/>
      <c r="C14" s="5" t="n"/>
      <c r="D14" s="5" t="n"/>
      <c r="E14" s="5" t="n"/>
      <c r="F14" s="5" t="n"/>
      <c r="G14" s="5" t="n"/>
      <c r="H14" s="6" t="n"/>
      <c r="I14" s="5" t="n"/>
      <c r="J14" s="5" t="n"/>
    </row>
    <row r="15" ht="12.75" customHeight="1">
      <c r="B15" s="7" t="n"/>
      <c r="C15" s="8" t="n"/>
      <c r="D15" s="8" t="inlineStr">
        <is>
          <t xml:space="preserve">Del Período </t>
        </is>
      </c>
      <c r="E15" s="8" t="n"/>
      <c r="F15" s="8" t="inlineStr">
        <is>
          <t>%</t>
        </is>
      </c>
      <c r="G15" s="9" t="n"/>
      <c r="H15" s="10" t="inlineStr">
        <is>
          <t>Acumulado</t>
        </is>
      </c>
      <c r="I15" s="2" t="n"/>
      <c r="J15" s="8" t="inlineStr">
        <is>
          <t>%</t>
        </is>
      </c>
    </row>
    <row r="16" ht="12.75" customHeight="1"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 ht="13.5" customHeight="1">
      <c r="B17" s="11" t="inlineStr">
        <is>
          <t>I N G R E S O S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</row>
    <row r="18" ht="13.5" customHeight="1">
      <c r="B18" s="12" t="inlineStr">
        <is>
          <t>Ingresos por servicios</t>
        </is>
      </c>
      <c r="C18" s="2" t="n"/>
      <c r="D18" s="13" t="n"/>
      <c r="E18" s="14" t="n"/>
      <c r="F18" s="15" t="n"/>
      <c r="G18" s="2" t="n"/>
      <c r="H18" s="16" t="n">
        <v>1977920.26</v>
      </c>
      <c r="I18" s="2" t="n"/>
      <c r="J18" s="15">
        <f>IF($H$18=0,0,H18/$H$18)</f>
        <v/>
      </c>
    </row>
    <row r="19" ht="13.5" customHeight="1">
      <c r="B19" s="12" t="inlineStr">
        <is>
          <t>Descuentos o bonificaciones</t>
        </is>
      </c>
      <c r="C19" s="2" t="n"/>
      <c r="D19" s="17" t="n"/>
      <c r="E19" s="14" t="n"/>
      <c r="F19" s="15" t="n"/>
      <c r="G19" s="2" t="n"/>
      <c r="H19" s="18" t="n">
        <v>0</v>
      </c>
      <c r="I19" s="2" t="n"/>
      <c r="J19" s="19">
        <f>IF($H$18=0,0,H19/$H$18)</f>
        <v/>
      </c>
    </row>
    <row r="20" ht="13.5" customHeight="1">
      <c r="B20" s="11" t="inlineStr">
        <is>
          <t>INGRESOS NETOS</t>
        </is>
      </c>
      <c r="C20" s="2" t="n"/>
      <c r="D20" s="17" t="n"/>
      <c r="E20" s="14" t="n"/>
      <c r="F20" s="15" t="n"/>
      <c r="G20" s="2" t="n"/>
      <c r="H20" s="16">
        <f>SUM(H18:H19)</f>
        <v/>
      </c>
      <c r="I20" s="2" t="n"/>
      <c r="J20" s="19">
        <f>IF($H$18=0,0,H20/$H$18)</f>
        <v/>
      </c>
    </row>
    <row r="21" ht="13.5" customHeight="1">
      <c r="B21" s="20" t="n"/>
      <c r="C21" s="2" t="n"/>
      <c r="D21" s="14" t="n"/>
      <c r="E21" s="14" t="n"/>
      <c r="F21" s="14" t="n"/>
      <c r="G21" s="14" t="n"/>
      <c r="H21" s="14" t="n"/>
      <c r="I21" s="2" t="n"/>
      <c r="J21" s="2" t="n"/>
    </row>
    <row r="22" ht="13.5" customHeight="1">
      <c r="B22" s="11" t="inlineStr">
        <is>
          <t>C O S T O S</t>
        </is>
      </c>
      <c r="C22" s="2" t="n"/>
      <c r="D22" s="14" t="n"/>
      <c r="E22" s="14" t="n"/>
      <c r="F22" s="14" t="n"/>
      <c r="G22" s="14" t="n"/>
      <c r="H22" s="14" t="n"/>
      <c r="I22" s="2" t="n"/>
      <c r="J22" s="2" t="n"/>
    </row>
    <row r="23" ht="13.5" customHeight="1">
      <c r="B23" s="17" t="inlineStr">
        <is>
          <t>Costo de Ventas</t>
        </is>
      </c>
      <c r="C23" s="2" t="n"/>
      <c r="D23" s="13" t="n"/>
      <c r="E23" s="14" t="n"/>
      <c r="F23" s="19" t="n"/>
      <c r="G23" s="2" t="n"/>
      <c r="H23" s="21" t="n">
        <v>1654681.76</v>
      </c>
      <c r="I23" s="2" t="n"/>
      <c r="J23" s="19">
        <f>IF($H$18=0,0,H23/$H$18)</f>
        <v/>
      </c>
    </row>
    <row r="24" ht="13.5" customHeight="1">
      <c r="B24" s="20" t="n"/>
      <c r="C24" s="2" t="n"/>
      <c r="D24" s="14" t="n"/>
      <c r="E24" s="14" t="n"/>
      <c r="F24" s="14" t="n"/>
      <c r="G24" s="14" t="n"/>
      <c r="H24" s="22" t="n"/>
      <c r="I24" s="2" t="n"/>
      <c r="J24" s="2" t="n"/>
    </row>
    <row r="25" ht="13.5" customHeight="1">
      <c r="B25" s="11" t="inlineStr">
        <is>
          <t>UTILIDAD BRUTA</t>
        </is>
      </c>
      <c r="C25" s="2" t="n"/>
      <c r="D25" s="14" t="n"/>
      <c r="E25" s="14" t="n"/>
      <c r="F25" s="19" t="n"/>
      <c r="G25" s="14" t="n"/>
      <c r="H25" s="16">
        <f>H20-H23</f>
        <v/>
      </c>
      <c r="I25" s="2" t="n"/>
      <c r="J25" s="19">
        <f>IF($H$18=0,0,H25/$H$18)</f>
        <v/>
      </c>
    </row>
    <row r="26" ht="13.5" customHeight="1">
      <c r="B26" s="2" t="n"/>
      <c r="C26" s="2" t="n"/>
      <c r="D26" s="14" t="n"/>
      <c r="E26" s="14" t="n"/>
      <c r="F26" s="14" t="n"/>
      <c r="G26" s="2" t="n"/>
      <c r="H26" s="22" t="n"/>
      <c r="I26" s="2" t="n"/>
      <c r="J26" s="2" t="n"/>
    </row>
    <row r="27" ht="13.2" customHeight="1">
      <c r="B27" s="11" t="inlineStr">
        <is>
          <t>Gastos de Operacion</t>
        </is>
      </c>
      <c r="C27" s="2" t="n"/>
      <c r="D27" s="14" t="n"/>
      <c r="E27" s="14" t="n"/>
      <c r="F27" s="14" t="n"/>
      <c r="G27" s="2" t="n"/>
      <c r="H27" s="22" t="n"/>
      <c r="I27" s="2" t="n"/>
      <c r="J27" s="2" t="n"/>
    </row>
    <row r="28" ht="13.5" customHeight="1">
      <c r="B28" s="17" t="inlineStr">
        <is>
          <t>Sueldos y Salarios</t>
        </is>
      </c>
      <c r="C28" s="23" t="n"/>
      <c r="D28" s="14" t="n"/>
      <c r="E28" s="14" t="n"/>
      <c r="F28" s="19" t="n"/>
      <c r="G28" s="14" t="n"/>
      <c r="H28" s="22" t="n">
        <v>1783936.94</v>
      </c>
      <c r="I28" s="2" t="n"/>
      <c r="J28" s="19">
        <f>IF($H$18=0,0,H28/$H$18)</f>
        <v/>
      </c>
    </row>
    <row r="29" ht="13.5" customHeight="1">
      <c r="B29" s="17" t="inlineStr">
        <is>
          <t>Impuestos y Derechos</t>
        </is>
      </c>
      <c r="C29" s="23" t="n"/>
      <c r="D29" s="14" t="n"/>
      <c r="E29" s="14" t="n"/>
      <c r="F29" s="19" t="n"/>
      <c r="G29" s="14" t="n"/>
      <c r="H29" s="22" t="n">
        <v>318566.65</v>
      </c>
      <c r="I29" s="2" t="n"/>
      <c r="J29" s="19">
        <f>IF($H$18=0,0,H29/$H$18)</f>
        <v/>
      </c>
    </row>
    <row r="30" ht="16.2" customHeight="1">
      <c r="B30" s="17" t="inlineStr">
        <is>
          <t>Honorarios</t>
        </is>
      </c>
      <c r="C30" s="24" t="n"/>
      <c r="D30" s="14" t="n"/>
      <c r="E30" s="14" t="n"/>
      <c r="F30" s="19" t="n"/>
      <c r="G30" s="25" t="n"/>
      <c r="H30" s="22" t="n">
        <v>39400</v>
      </c>
      <c r="I30" s="2" t="n"/>
      <c r="J30" s="19">
        <f>IF($H$18=0,0,H30/$H$18)</f>
        <v/>
      </c>
    </row>
    <row r="31" ht="16.2" customHeight="1">
      <c r="B31" s="17" t="inlineStr">
        <is>
          <t>Arrendamiento</t>
        </is>
      </c>
      <c r="C31" s="24" t="n"/>
      <c r="D31" s="14" t="n"/>
      <c r="E31" s="14" t="n"/>
      <c r="F31" s="19" t="n"/>
      <c r="G31" s="25" t="n"/>
      <c r="H31" s="22" t="n">
        <v>125426.32</v>
      </c>
      <c r="I31" s="2" t="n"/>
      <c r="J31" s="19">
        <f>IF($H$18=0,0,H31/$H$18)</f>
        <v/>
      </c>
    </row>
    <row r="32" ht="13.5" customHeight="1">
      <c r="B32" s="17" t="inlineStr">
        <is>
          <t>Seguros y Fianzas</t>
        </is>
      </c>
      <c r="C32" s="26" t="n"/>
      <c r="D32" s="14" t="n"/>
      <c r="E32" s="14" t="n"/>
      <c r="F32" s="19" t="n"/>
      <c r="G32" s="2" t="n"/>
      <c r="H32" s="22" t="n">
        <v>12288.78</v>
      </c>
      <c r="I32" s="2" t="n"/>
      <c r="J32" s="19">
        <f>IF($H$18=0,0,H32/$H$18)</f>
        <v/>
      </c>
    </row>
    <row r="33" ht="13.5" customHeight="1">
      <c r="B33" s="17" t="inlineStr">
        <is>
          <t>Servicios</t>
        </is>
      </c>
      <c r="C33" s="26" t="n"/>
      <c r="D33" s="14" t="n"/>
      <c r="E33" s="14" t="n"/>
      <c r="F33" s="19" t="n"/>
      <c r="G33" s="2" t="n"/>
      <c r="H33" s="22" t="n">
        <v>29358.7</v>
      </c>
      <c r="I33" s="2" t="n"/>
      <c r="J33" s="19">
        <f>IF($H$18=0,0,H33/$H$18)</f>
        <v/>
      </c>
    </row>
    <row r="34" ht="13.5" customHeight="1">
      <c r="B34" s="17" t="inlineStr">
        <is>
          <t>Capacitacion al Personal</t>
        </is>
      </c>
      <c r="C34" s="26" t="n"/>
      <c r="D34" s="14" t="n"/>
      <c r="E34" s="14" t="n"/>
      <c r="F34" s="19" t="n"/>
      <c r="G34" s="2" t="n"/>
      <c r="H34" s="22" t="n">
        <v>19480</v>
      </c>
      <c r="I34" s="2" t="n"/>
      <c r="J34" s="19">
        <f>IF($H$18=0,0,H34/$H$18)</f>
        <v/>
      </c>
    </row>
    <row r="35" ht="13.5" customHeight="1">
      <c r="B35" s="17" t="inlineStr">
        <is>
          <t>Fletes y/o Mensajeria</t>
        </is>
      </c>
      <c r="C35" s="26" t="n"/>
      <c r="D35" s="14" t="n"/>
      <c r="E35" s="14" t="n"/>
      <c r="F35" s="19" t="n"/>
      <c r="G35" s="2" t="n"/>
      <c r="H35" s="22" t="n">
        <v>141745.19</v>
      </c>
      <c r="I35" s="2" t="n"/>
      <c r="J35" s="19">
        <f>IF($H$18=0,0,H35/$H$18)</f>
        <v/>
      </c>
    </row>
    <row r="36" ht="13.5" customHeight="1">
      <c r="B36" s="17" t="inlineStr">
        <is>
          <t>Seguridad e higiene</t>
        </is>
      </c>
      <c r="C36" s="26" t="n"/>
      <c r="D36" s="14" t="n"/>
      <c r="E36" s="14" t="n"/>
      <c r="F36" s="19" t="n"/>
      <c r="G36" s="2" t="n"/>
      <c r="H36" s="22" t="n">
        <v>0</v>
      </c>
      <c r="I36" s="2" t="n"/>
      <c r="J36" s="19">
        <f>IF($H$18=0,0,H36/$H$18)</f>
        <v/>
      </c>
    </row>
    <row r="37" ht="13.5" customHeight="1">
      <c r="B37" s="17" t="inlineStr">
        <is>
          <t>Mantenimiento</t>
        </is>
      </c>
      <c r="C37" s="26" t="n"/>
      <c r="D37" s="14" t="n"/>
      <c r="E37" s="14" t="n"/>
      <c r="F37" s="19" t="n"/>
      <c r="G37" s="2" t="n"/>
      <c r="H37" s="22" t="n">
        <v>72756.35000000001</v>
      </c>
      <c r="I37" s="2" t="n"/>
      <c r="J37" s="19">
        <f>IF($H$18=0,0,H37/$H$18)</f>
        <v/>
      </c>
    </row>
    <row r="38" ht="13.5" customHeight="1">
      <c r="B38" s="17" t="inlineStr">
        <is>
          <t>Combustibles</t>
        </is>
      </c>
      <c r="C38" s="26" t="n"/>
      <c r="D38" s="14" t="n"/>
      <c r="E38" s="14" t="n"/>
      <c r="F38" s="19" t="n"/>
      <c r="G38" s="2" t="n"/>
      <c r="H38" s="22" t="n">
        <v>55597.44</v>
      </c>
      <c r="I38" s="2" t="n"/>
      <c r="J38" s="19">
        <f>IF($H$18=0,0,H38/$H$18)</f>
        <v/>
      </c>
    </row>
    <row r="39" ht="13.5" customHeight="1">
      <c r="B39" s="17" t="inlineStr">
        <is>
          <t>Propaganda y Publicidad</t>
        </is>
      </c>
      <c r="C39" s="26" t="n"/>
      <c r="D39" s="14" t="n"/>
      <c r="E39" s="14" t="n"/>
      <c r="F39" s="19" t="n"/>
      <c r="G39" s="2" t="n"/>
      <c r="H39" s="22" t="n">
        <v>2165.75</v>
      </c>
      <c r="I39" s="2" t="n"/>
      <c r="J39" s="19">
        <f>IF($H$18=0,0,H39/$H$18)</f>
        <v/>
      </c>
    </row>
    <row r="40" ht="13.5" customHeight="1">
      <c r="B40" s="17" t="inlineStr">
        <is>
          <t>Cuotas y Suscripciones</t>
        </is>
      </c>
      <c r="C40" s="2" t="n"/>
      <c r="D40" s="14" t="n"/>
      <c r="E40" s="14" t="n"/>
      <c r="F40" s="19" t="n"/>
      <c r="G40" s="2" t="n"/>
      <c r="H40" s="22" t="n">
        <v>0</v>
      </c>
      <c r="I40" s="2" t="n"/>
      <c r="J40" s="19">
        <f>IF($H$18=0,0,H40/$H$18)</f>
        <v/>
      </c>
    </row>
    <row r="41" ht="13.5" customHeight="1">
      <c r="B41" s="17" t="inlineStr">
        <is>
          <t>Gastos de Viaje</t>
        </is>
      </c>
      <c r="C41" s="2" t="n"/>
      <c r="D41" s="14" t="n"/>
      <c r="E41" s="14" t="n"/>
      <c r="F41" s="19" t="n"/>
      <c r="G41" s="14" t="n"/>
      <c r="H41" s="22" t="n">
        <v>84055.23</v>
      </c>
      <c r="I41" s="2" t="n"/>
      <c r="J41" s="19">
        <f>IF($H$18=0,0,H41/$H$18)</f>
        <v/>
      </c>
    </row>
    <row r="42" ht="13.5" customHeight="1">
      <c r="B42" s="17" t="inlineStr">
        <is>
          <t>Herrajes y Herramientas</t>
        </is>
      </c>
      <c r="C42" s="2" t="n"/>
      <c r="D42" s="14" t="n"/>
      <c r="E42" s="14" t="n"/>
      <c r="F42" s="19" t="n"/>
      <c r="G42" s="14" t="n"/>
      <c r="H42" s="22" t="n">
        <v>114777.61</v>
      </c>
      <c r="I42" s="2" t="n"/>
      <c r="J42" s="19">
        <f>IF($H$18=0,0,H42/$H$18)</f>
        <v/>
      </c>
    </row>
    <row r="43" ht="13.5" customHeight="1">
      <c r="B43" s="17" t="inlineStr">
        <is>
          <t>Papeleria y Art. de Oficina</t>
        </is>
      </c>
      <c r="C43" s="2" t="n"/>
      <c r="D43" s="14" t="n"/>
      <c r="E43" s="14" t="n"/>
      <c r="F43" s="19" t="n"/>
      <c r="G43" s="14" t="n"/>
      <c r="H43" s="22" t="n">
        <v>6328.27</v>
      </c>
      <c r="I43" s="2" t="n"/>
      <c r="J43" s="19">
        <f>IF($H$18=0,0,H43/$H$18)</f>
        <v/>
      </c>
    </row>
    <row r="44" ht="13.5" customHeight="1">
      <c r="B44" s="17" t="inlineStr">
        <is>
          <t>Depreciaciones</t>
        </is>
      </c>
      <c r="C44" s="2" t="n"/>
      <c r="D44" s="14" t="n"/>
      <c r="E44" s="14" t="n"/>
      <c r="F44" s="19" t="n"/>
      <c r="G44" s="14" t="n"/>
      <c r="H44" s="22" t="n">
        <v>0</v>
      </c>
      <c r="I44" s="2" t="n"/>
      <c r="J44" s="19">
        <f>IF($H$18=0,0,H44/$H$18)</f>
        <v/>
      </c>
    </row>
    <row r="45" ht="13.5" customHeight="1">
      <c r="B45" s="17" t="inlineStr">
        <is>
          <t>Recargos</t>
        </is>
      </c>
      <c r="C45" s="2" t="n"/>
      <c r="D45" s="14" t="n"/>
      <c r="E45" s="14" t="n"/>
      <c r="F45" s="19" t="n"/>
      <c r="G45" s="14" t="n"/>
      <c r="H45" s="22" t="n">
        <v>1408</v>
      </c>
      <c r="I45" s="2" t="n"/>
      <c r="J45" s="19">
        <f>IF($H$18=0,0,H45/$H$18)</f>
        <v/>
      </c>
    </row>
    <row r="46" ht="13.5" customHeight="1">
      <c r="B46" s="17" t="inlineStr">
        <is>
          <t>Varios</t>
        </is>
      </c>
      <c r="C46" s="2" t="n"/>
      <c r="D46" s="14" t="n"/>
      <c r="E46" s="14" t="n"/>
      <c r="F46" s="19" t="n"/>
      <c r="G46" s="14" t="n"/>
      <c r="H46" s="22" t="n">
        <v>39614.91</v>
      </c>
      <c r="I46" s="2" t="n"/>
      <c r="J46" s="19">
        <f>IF($H$18=0,0,H46/$H$18)</f>
        <v/>
      </c>
    </row>
    <row r="47" ht="13.5" customHeight="1">
      <c r="B47" s="17" t="inlineStr">
        <is>
          <t>Uniformes</t>
        </is>
      </c>
      <c r="C47" s="2" t="n"/>
      <c r="D47" s="14" t="n"/>
      <c r="E47" s="14" t="n"/>
      <c r="F47" s="19" t="n"/>
      <c r="G47" s="14" t="n"/>
      <c r="H47" s="22" t="n">
        <v>0</v>
      </c>
      <c r="I47" s="2" t="n"/>
      <c r="J47" s="19">
        <f>IF($H$18=0,0,H47/$H$18)</f>
        <v/>
      </c>
    </row>
    <row r="48" hidden="1" ht="13.5" customHeight="1">
      <c r="B48" s="17" t="n"/>
      <c r="C48" s="2" t="n"/>
      <c r="D48" s="14" t="n"/>
      <c r="E48" s="14" t="n"/>
      <c r="F48" s="19" t="n"/>
      <c r="G48" s="14" t="n"/>
      <c r="H48" s="22" t="n"/>
      <c r="I48" s="2" t="n"/>
      <c r="J48" s="19" t="n"/>
    </row>
    <row r="49" hidden="1" ht="13.5" customHeight="1">
      <c r="B49" s="17" t="n"/>
      <c r="C49" s="2" t="n"/>
      <c r="D49" s="14" t="n"/>
      <c r="E49" s="14" t="n"/>
      <c r="F49" s="19" t="n"/>
      <c r="G49" s="2" t="n"/>
      <c r="H49" s="22" t="n"/>
      <c r="I49" s="2" t="n"/>
      <c r="J49" s="19" t="n"/>
    </row>
    <row r="50" ht="13.5" customHeight="1">
      <c r="B50" s="17" t="inlineStr">
        <is>
          <t>No deducibles</t>
        </is>
      </c>
      <c r="C50" s="2" t="n"/>
      <c r="D50" s="13" t="n"/>
      <c r="E50" s="13" t="n"/>
      <c r="F50" s="19" t="n"/>
      <c r="G50" s="2" t="n"/>
      <c r="H50" s="21" t="n">
        <v>43318.29</v>
      </c>
      <c r="I50" s="2" t="n"/>
      <c r="J50" s="19">
        <f>IF($H$18=0,0,H50/$H$18)</f>
        <v/>
      </c>
    </row>
    <row r="51" ht="13.5" customHeight="1">
      <c r="B51" s="11" t="inlineStr">
        <is>
          <t>GASTOS DE OPERACION</t>
        </is>
      </c>
      <c r="C51" s="2" t="n"/>
      <c r="D51" s="14" t="n"/>
      <c r="E51" s="14" t="n"/>
      <c r="F51" s="19" t="n"/>
      <c r="G51" s="2" t="n"/>
      <c r="H51" s="22">
        <f>SUM(H28:H50)</f>
        <v/>
      </c>
      <c r="I51" s="2" t="n"/>
      <c r="J51" s="19">
        <f>IF($H$18=0,0,H51/$H$18)</f>
        <v/>
      </c>
    </row>
    <row r="52" ht="13.5" customHeight="1">
      <c r="B52" s="20" t="n"/>
      <c r="C52" s="2" t="n"/>
      <c r="D52" s="14" t="n"/>
      <c r="E52" s="14" t="n"/>
      <c r="F52" s="27" t="n"/>
      <c r="G52" s="2" t="n"/>
      <c r="H52" s="22" t="n"/>
      <c r="I52" s="2" t="n"/>
      <c r="J52" s="27" t="n"/>
    </row>
    <row r="53" ht="13.5" customHeight="1">
      <c r="B53" s="11" t="inlineStr">
        <is>
          <t>UTILIDAD O (PERDIDA) DE OPERACION</t>
        </is>
      </c>
      <c r="C53" s="2" t="n"/>
      <c r="D53" s="14" t="n"/>
      <c r="E53" s="14" t="n"/>
      <c r="F53" s="19" t="n"/>
      <c r="G53" s="14" t="n"/>
      <c r="H53" s="28">
        <f>H25-H51</f>
        <v/>
      </c>
      <c r="I53" s="2" t="n"/>
      <c r="J53" s="19">
        <f>IF($H$18=0,0,H53/$H$18)</f>
        <v/>
      </c>
    </row>
    <row r="54" ht="13.5" customHeight="1">
      <c r="B54" s="2" t="n"/>
      <c r="C54" s="2" t="n"/>
      <c r="D54" s="2" t="n"/>
      <c r="E54" s="2" t="n"/>
      <c r="F54" s="27" t="n"/>
      <c r="G54" s="2" t="n"/>
      <c r="H54" s="22" t="n"/>
      <c r="I54" s="2" t="n"/>
      <c r="J54" s="27" t="n"/>
    </row>
    <row r="55" ht="13.5" customHeight="1">
      <c r="B55" s="11" t="inlineStr">
        <is>
          <t>OTROS INGRESOS Y GASTOS</t>
        </is>
      </c>
      <c r="C55" s="2" t="n"/>
      <c r="D55" s="2" t="n"/>
      <c r="E55" s="2" t="n"/>
      <c r="F55" s="27" t="n"/>
      <c r="G55" s="2" t="n"/>
      <c r="H55" s="22" t="n"/>
      <c r="I55" s="2" t="n"/>
      <c r="J55" s="27" t="n"/>
    </row>
    <row r="56" ht="13.5" customHeight="1">
      <c r="B56" s="17" t="inlineStr">
        <is>
          <t>Otros Productos</t>
        </is>
      </c>
      <c r="C56" s="2" t="n"/>
      <c r="D56" s="14" t="n"/>
      <c r="E56" s="14" t="n"/>
      <c r="F56" s="19" t="n"/>
      <c r="G56" s="2" t="n"/>
      <c r="H56" s="22" t="n">
        <v>98.92</v>
      </c>
      <c r="I56" s="2" t="n"/>
      <c r="J56" s="19">
        <f>IF($H$18=0,0,H56/$H$18)</f>
        <v/>
      </c>
    </row>
    <row r="57" ht="13.5" customHeight="1">
      <c r="B57" s="17" t="inlineStr">
        <is>
          <t>Otros Gastos</t>
        </is>
      </c>
      <c r="C57" s="2" t="n"/>
      <c r="D57" s="29" t="n"/>
      <c r="E57" s="29" t="n"/>
      <c r="F57" s="19" t="n"/>
      <c r="G57" s="2" t="n"/>
      <c r="H57" s="21" t="n">
        <v>0</v>
      </c>
      <c r="I57" s="2" t="n"/>
      <c r="J57" s="19">
        <f>IF($H$18=0,0,H57/$H$18)</f>
        <v/>
      </c>
    </row>
    <row r="58" ht="13.5" customHeight="1">
      <c r="B58" s="11" t="inlineStr">
        <is>
          <t>TOTAL OTROS INGRESOS</t>
        </is>
      </c>
      <c r="C58" s="2" t="n"/>
      <c r="D58" s="14" t="n"/>
      <c r="E58" s="14" t="n"/>
      <c r="F58" s="19" t="n"/>
      <c r="G58" s="2" t="n"/>
      <c r="H58" s="22">
        <f>SUM(H56:H57)</f>
        <v/>
      </c>
      <c r="I58" s="2" t="n"/>
      <c r="J58" s="19">
        <f>IF($H$18=0,0,H58/$H$18)</f>
        <v/>
      </c>
    </row>
    <row r="59" ht="13.5" customHeight="1">
      <c r="B59" s="2" t="n"/>
      <c r="C59" s="2" t="n"/>
      <c r="D59" s="2" t="n"/>
      <c r="E59" s="2" t="n"/>
      <c r="F59" s="27" t="n"/>
      <c r="G59" s="2" t="n"/>
      <c r="H59" s="22" t="n"/>
      <c r="I59" s="2" t="n"/>
      <c r="J59" s="27" t="n"/>
    </row>
    <row r="60" ht="13.5" customHeight="1">
      <c r="B60" s="11" t="inlineStr">
        <is>
          <t>RES. INT. DE FINANCIAMIENTO</t>
        </is>
      </c>
      <c r="C60" s="2" t="n"/>
      <c r="D60" s="2" t="n"/>
      <c r="E60" s="2" t="n"/>
      <c r="F60" s="27" t="n"/>
      <c r="G60" s="2" t="n"/>
      <c r="H60" s="22" t="n"/>
      <c r="I60" s="2" t="n"/>
      <c r="J60" s="27" t="n"/>
    </row>
    <row r="61" ht="13.5" customHeight="1">
      <c r="B61" s="17" t="inlineStr">
        <is>
          <t>Productos Financieros</t>
        </is>
      </c>
      <c r="C61" s="2" t="n"/>
      <c r="D61" s="14" t="n"/>
      <c r="E61" s="14" t="n"/>
      <c r="F61" s="19" t="n"/>
      <c r="G61" s="2" t="n"/>
      <c r="H61" s="22" t="n">
        <v>4574.35</v>
      </c>
      <c r="I61" s="2" t="n"/>
      <c r="J61" s="19">
        <f>IF($H$18=0,0,H61/$H$18)</f>
        <v/>
      </c>
    </row>
    <row r="62" ht="13.5" customHeight="1">
      <c r="B62" s="17" t="inlineStr">
        <is>
          <t>Gastos Financieros</t>
        </is>
      </c>
      <c r="C62" s="2" t="n"/>
      <c r="D62" s="29" t="n"/>
      <c r="E62" s="29" t="n"/>
      <c r="F62" s="19" t="n"/>
      <c r="G62" s="2" t="n"/>
      <c r="H62" s="21" t="n">
        <v>-229978.65</v>
      </c>
      <c r="I62" s="2" t="n"/>
      <c r="J62" s="19">
        <f>IF($H$18=0,0,H62/$H$18)</f>
        <v/>
      </c>
    </row>
    <row r="63" ht="13.5" customHeight="1">
      <c r="B63" s="11" t="inlineStr">
        <is>
          <t>TOTAL R. I. F.</t>
        </is>
      </c>
      <c r="C63" s="2" t="n"/>
      <c r="D63" s="14" t="n"/>
      <c r="E63" s="14" t="n"/>
      <c r="F63" s="19" t="n"/>
      <c r="G63" s="2" t="n"/>
      <c r="H63" s="22">
        <f>SUM(H61:H62)</f>
        <v/>
      </c>
      <c r="I63" s="2" t="n"/>
      <c r="J63" s="19">
        <f>IF($H$18=0,0,H63/$H$18)</f>
        <v/>
      </c>
    </row>
    <row r="64" ht="13.5" customHeight="1">
      <c r="B64" s="17" t="n"/>
      <c r="C64" s="2" t="n"/>
      <c r="D64" s="2" t="n"/>
      <c r="E64" s="2" t="n"/>
      <c r="F64" s="27" t="n"/>
      <c r="G64" s="2" t="n"/>
      <c r="H64" s="2" t="n"/>
      <c r="I64" s="2" t="n"/>
      <c r="J64" s="27" t="n"/>
    </row>
    <row r="65" ht="13.5" customHeight="1">
      <c r="B65" s="11" t="inlineStr">
        <is>
          <t>RESULTADO ANTES DE IMPUESTOS</t>
        </is>
      </c>
      <c r="C65" s="2" t="n"/>
      <c r="D65" s="14" t="n"/>
      <c r="E65" s="14" t="n"/>
      <c r="F65" s="19" t="n"/>
      <c r="G65" s="2" t="n"/>
      <c r="H65" s="30">
        <f>H53+H58+H63</f>
        <v/>
      </c>
      <c r="I65" s="2" t="n"/>
      <c r="J65" s="19">
        <f>IF($H$18=0,0,H65/$H$18)</f>
        <v/>
      </c>
    </row>
    <row r="66" ht="13.5" customHeight="1">
      <c r="B66" s="17" t="n"/>
      <c r="C66" s="2" t="n"/>
      <c r="D66" s="2" t="n"/>
      <c r="E66" s="2" t="n"/>
      <c r="F66" s="27" t="n"/>
      <c r="G66" s="2" t="n"/>
      <c r="H66" s="2" t="n"/>
      <c r="I66" s="2" t="n"/>
      <c r="J66" s="27" t="n"/>
    </row>
    <row r="67" ht="12.75" customHeight="1">
      <c r="B67" s="11" t="inlineStr">
        <is>
          <t>ISR DEL EJERCICIO</t>
        </is>
      </c>
      <c r="C67" s="2" t="n"/>
      <c r="D67" s="14" t="n"/>
      <c r="E67" s="14" t="n"/>
      <c r="F67" s="19" t="n"/>
      <c r="G67" s="2" t="n"/>
      <c r="H67" s="31" t="n">
        <v>0</v>
      </c>
      <c r="I67" s="2" t="n"/>
      <c r="J67" s="19">
        <f>IF($H$18=0,0,H67/$H$18)</f>
        <v/>
      </c>
    </row>
    <row r="68">
      <c r="B68" s="11" t="inlineStr">
        <is>
          <t>PTU DEL EJERCICIO</t>
        </is>
      </c>
      <c r="C68" s="2" t="n"/>
      <c r="D68" s="14" t="n"/>
      <c r="E68" s="14" t="n"/>
      <c r="F68" s="19" t="n"/>
      <c r="G68" s="2" t="n"/>
      <c r="H68" s="31" t="n">
        <v>0</v>
      </c>
      <c r="I68" s="2" t="n"/>
      <c r="J68" s="19">
        <f>IF($H$18=0,0,H68/$H$18)</f>
        <v/>
      </c>
    </row>
    <row r="69" ht="13.5" customHeight="1">
      <c r="B69" s="17" t="n"/>
      <c r="C69" s="2" t="n"/>
      <c r="D69" s="2" t="n"/>
      <c r="E69" s="2" t="n"/>
      <c r="F69" s="27" t="n"/>
      <c r="G69" s="2" t="n"/>
      <c r="H69" s="2" t="n"/>
      <c r="I69" s="2" t="n"/>
      <c r="J69" s="27" t="n"/>
    </row>
    <row r="70" ht="13.5" customHeight="1">
      <c r="B70" s="11" t="inlineStr">
        <is>
          <t>RESULTADO DEL EJERCICIO</t>
        </is>
      </c>
      <c r="C70" s="2" t="n"/>
      <c r="D70" s="32" t="n"/>
      <c r="E70" s="14" t="n"/>
      <c r="F70" s="19" t="n"/>
      <c r="G70" s="2" t="n"/>
      <c r="H70" s="33">
        <f>H65-H67-H68</f>
        <v/>
      </c>
      <c r="I70" s="2" t="n"/>
      <c r="J70" s="19">
        <f>IF($H$18=0,0,H70/$H$18)</f>
        <v/>
      </c>
    </row>
    <row r="71" ht="13.5" customHeight="1"/>
    <row r="72" ht="12.75" customHeight="1"/>
    <row r="73" hidden="1" ht="12.75" customHeight="1"/>
    <row r="74" hidden="1" ht="12.75" customHeight="1"/>
    <row r="75" hidden="1" ht="12.75" customHeight="1"/>
    <row r="76" hidden="1" ht="12.75" customHeight="1"/>
    <row r="77" hidden="1" ht="12.75" customHeight="1"/>
    <row r="78" hidden="1" ht="12.75" customHeight="1"/>
    <row r="79" hidden="1" ht="18" customHeight="1"/>
    <row r="80" hidden="1" ht="12.75" customHeight="1"/>
    <row r="81" hidden="1" ht="12.75" customHeight="1"/>
    <row r="82" hidden="1" ht="12.75" customHeight="1"/>
    <row r="83" hidden="1" ht="12.75" customHeight="1"/>
    <row r="84" hidden="1" ht="12.75" customHeight="1"/>
    <row r="85" hidden="1" ht="12.75" customHeight="1"/>
    <row r="86" hidden="1" ht="12.75" customHeight="1"/>
    <row r="87" hidden="1" ht="12.75" customHeight="1"/>
  </sheetData>
  <mergeCells count="25">
    <mergeCell ref="B11:J11"/>
    <mergeCell ref="B25:C25"/>
    <mergeCell ref="B22:C22"/>
    <mergeCell ref="B27:C27"/>
    <mergeCell ref="B18:C18"/>
    <mergeCell ref="B58:C58"/>
    <mergeCell ref="B70:C70"/>
    <mergeCell ref="B10:J10"/>
    <mergeCell ref="A83:D83"/>
    <mergeCell ref="B67:C67"/>
    <mergeCell ref="A73:K79"/>
    <mergeCell ref="A82:D82"/>
    <mergeCell ref="B60:C60"/>
    <mergeCell ref="B9:J9"/>
    <mergeCell ref="B17:C17"/>
    <mergeCell ref="B53:C53"/>
    <mergeCell ref="B19:C19"/>
    <mergeCell ref="A84:D84"/>
    <mergeCell ref="B65:C65"/>
    <mergeCell ref="B55:C55"/>
    <mergeCell ref="B68:C68"/>
    <mergeCell ref="B51:C51"/>
    <mergeCell ref="B20:C20"/>
    <mergeCell ref="B63:C63"/>
    <mergeCell ref="B12:J12"/>
  </mergeCells>
  <pageMargins left="0.7" right="0.7" top="0.75" bottom="0.75" header="0.3" footer="0.3"/>
  <pageSetup orientation="portrait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2026-07-13T18:33:31Z</dcterms:created>
  <dcterms:modified xsi:type="dcterms:W3CDTF">2026-07-13T18:33:31Z</dcterms:modified>
</cp:coreProperties>
</file>