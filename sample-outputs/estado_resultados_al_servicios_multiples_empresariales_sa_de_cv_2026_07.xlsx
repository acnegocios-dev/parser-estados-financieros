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&quot;-&quot;"/>
  </numFmts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1"/>
    </font>
    <font>
      <name val="Calibri"/>
      <i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DEDE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10" fontId="0" fillId="0" borderId="0" pivotButton="0" quotePrefix="0" xfId="0"/>
    <xf numFmtId="0" fontId="4" fillId="4" borderId="1" applyAlignment="1" pivotButton="0" quotePrefix="0" xfId="0">
      <alignment horizontal="left"/>
    </xf>
    <xf numFmtId="0" fontId="4" fillId="4" borderId="1" pivotButton="0" quotePrefix="0" xfId="0"/>
    <xf numFmtId="164" fontId="4" fillId="4" borderId="1" pivotButton="0" quotePrefix="0" xfId="0"/>
    <xf numFmtId="10" fontId="4" fillId="4" borderId="1" pivotButton="0" quotePrefix="0" xfId="0"/>
    <xf numFmtId="164" fontId="4" fillId="3" borderId="0" pivotButton="0" quotePrefix="0" xfId="0"/>
    <xf numFmtId="1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9:J70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" customWidth="1" min="1" max="1"/>
    <col width="36" customWidth="1" min="2" max="2"/>
    <col width="3" customWidth="1" min="3" max="3"/>
    <col width="15" customWidth="1" min="4" max="4"/>
    <col width="3" customWidth="1" min="5" max="5"/>
    <col width="10" customWidth="1" min="6" max="6"/>
    <col width="3" customWidth="1" min="7" max="7"/>
    <col width="15" customWidth="1" min="8" max="8"/>
    <col width="3" customWidth="1" min="9" max="9"/>
    <col width="10" customWidth="1" min="10" max="10"/>
  </cols>
  <sheetData>
    <row r="1" ht="18" customHeight="1"/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>
      <c r="B9" s="1" t="inlineStr">
        <is>
          <t>AL SERVICIOS MULTIPLES EMPRESARIALES SA DE CV</t>
        </is>
      </c>
    </row>
    <row r="10" ht="18" customHeight="1">
      <c r="B10" s="1" t="inlineStr">
        <is>
          <t>Estado de Resultados</t>
        </is>
      </c>
    </row>
    <row r="11" ht="18" customHeight="1">
      <c r="B11" s="2" t="inlineStr">
        <is>
          <t>Del 1ro de Enero al 31 de Julio 2026</t>
        </is>
      </c>
    </row>
    <row r="12" ht="18" customHeight="1">
      <c r="B12" s="3" t="inlineStr">
        <is>
          <t>(Importes expresados en pesos)</t>
        </is>
      </c>
    </row>
    <row r="13" ht="18" customHeight="1"/>
    <row r="14" ht="18" customHeight="1"/>
    <row r="15" ht="18" customHeight="1">
      <c r="D15" s="4" t="inlineStr">
        <is>
          <t>Del Periodo</t>
        </is>
      </c>
      <c r="F15" s="4" t="inlineStr">
        <is>
          <t>%</t>
        </is>
      </c>
      <c r="H15" s="4" t="inlineStr">
        <is>
          <t>Acumulado</t>
        </is>
      </c>
      <c r="J15" s="4" t="inlineStr">
        <is>
          <t>%</t>
        </is>
      </c>
    </row>
    <row r="16" ht="18" customHeight="1"/>
    <row r="17" ht="18" customHeight="1">
      <c r="B17" s="5" t="inlineStr">
        <is>
          <t>I N G R E S O S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8" customHeight="1">
      <c r="B18" s="7" t="inlineStr">
        <is>
          <t>Ingresos por servicios</t>
        </is>
      </c>
      <c r="D18" s="8" t="n">
        <v>1977920.26</v>
      </c>
      <c r="F18" s="9">
        <f>IF($D$18=0,0,D18/$D$18)</f>
        <v/>
      </c>
      <c r="H18" s="8" t="n">
        <v>1977920.26</v>
      </c>
      <c r="J18" s="9">
        <f>IF($H$18=0,0,H18/$H$18)</f>
        <v/>
      </c>
    </row>
    <row r="19" ht="18" customHeight="1">
      <c r="B19" s="7" t="inlineStr">
        <is>
          <t>Descuentos o bonificaciones</t>
        </is>
      </c>
      <c r="D19" s="8" t="n">
        <v>0</v>
      </c>
      <c r="F19" s="9">
        <f>IF($D$18=0,0,D19/$D$18)</f>
        <v/>
      </c>
      <c r="H19" s="8" t="n">
        <v>0</v>
      </c>
      <c r="J19" s="9">
        <f>IF($H$18=0,0,H19/$H$18)</f>
        <v/>
      </c>
    </row>
    <row r="20" ht="18" customHeight="1">
      <c r="B20" s="10" t="inlineStr">
        <is>
          <t>INGRESOS NETOS</t>
        </is>
      </c>
      <c r="C20" s="11" t="n"/>
      <c r="D20" s="12">
        <f>SUM(D18:D19)</f>
        <v/>
      </c>
      <c r="E20" s="11" t="n"/>
      <c r="F20" s="13">
        <f>IF($D$18=0,0,D20/$D$18)</f>
        <v/>
      </c>
      <c r="G20" s="11" t="n"/>
      <c r="H20" s="12">
        <f>SUM(H18:H19)</f>
        <v/>
      </c>
      <c r="I20" s="11" t="n"/>
      <c r="J20" s="13">
        <f>IF($H$18=0,0,H20/$H$18)</f>
        <v/>
      </c>
    </row>
    <row r="21" ht="18" customHeight="1">
      <c r="D21" s="8" t="n"/>
      <c r="F21" s="9" t="n"/>
      <c r="H21" s="8" t="n"/>
      <c r="J21" s="9" t="n"/>
    </row>
    <row r="22" ht="18" customHeight="1">
      <c r="B22" s="5" t="inlineStr">
        <is>
          <t>C O S T O S</t>
        </is>
      </c>
      <c r="C22" s="6" t="n"/>
      <c r="D22" s="14" t="n"/>
      <c r="E22" s="6" t="n"/>
      <c r="F22" s="15" t="n"/>
      <c r="G22" s="6" t="n"/>
      <c r="H22" s="14" t="n"/>
      <c r="I22" s="6" t="n"/>
      <c r="J22" s="15" t="n"/>
    </row>
    <row r="23" ht="18" customHeight="1">
      <c r="B23" s="7" t="inlineStr">
        <is>
          <t>Costo de Ventas</t>
        </is>
      </c>
      <c r="D23" s="8" t="n">
        <v>1654681.77</v>
      </c>
      <c r="F23" s="9">
        <f>IF($D$18=0,0,D23/$D$18)</f>
        <v/>
      </c>
      <c r="H23" s="8" t="n">
        <v>1654681.77</v>
      </c>
      <c r="J23" s="9">
        <f>IF($H$18=0,0,H23/$H$18)</f>
        <v/>
      </c>
    </row>
    <row r="24" ht="18" customHeight="1">
      <c r="D24" s="8" t="n"/>
      <c r="F24" s="9" t="n"/>
      <c r="H24" s="8" t="n"/>
      <c r="J24" s="9" t="n"/>
    </row>
    <row r="25" ht="18" customHeight="1">
      <c r="B25" s="10" t="inlineStr">
        <is>
          <t>UTILIDAD BRUTA</t>
        </is>
      </c>
      <c r="C25" s="11" t="n"/>
      <c r="D25" s="12">
        <f>D20-D23</f>
        <v/>
      </c>
      <c r="E25" s="11" t="n"/>
      <c r="F25" s="13">
        <f>IF($D$18=0,0,D25/$D$18)</f>
        <v/>
      </c>
      <c r="G25" s="11" t="n"/>
      <c r="H25" s="12">
        <f>H20-H23</f>
        <v/>
      </c>
      <c r="I25" s="11" t="n"/>
      <c r="J25" s="13">
        <f>IF($H$18=0,0,H25/$H$18)</f>
        <v/>
      </c>
    </row>
    <row r="26" ht="18" customHeight="1">
      <c r="D26" s="8" t="n"/>
      <c r="F26" s="9" t="n"/>
      <c r="H26" s="8" t="n"/>
      <c r="J26" s="9" t="n"/>
    </row>
    <row r="27" ht="18" customHeight="1">
      <c r="B27" s="5" t="inlineStr">
        <is>
          <t>Gastos de Operacion</t>
        </is>
      </c>
      <c r="C27" s="6" t="n"/>
      <c r="D27" s="14" t="n"/>
      <c r="E27" s="6" t="n"/>
      <c r="F27" s="15" t="n"/>
      <c r="G27" s="6" t="n"/>
      <c r="H27" s="14" t="n"/>
      <c r="I27" s="6" t="n"/>
      <c r="J27" s="15" t="n"/>
    </row>
    <row r="28" ht="18" customHeight="1">
      <c r="B28" s="7" t="inlineStr">
        <is>
          <t>Sueldos y Salarios</t>
        </is>
      </c>
      <c r="D28" s="8" t="n">
        <v>1783936.94</v>
      </c>
      <c r="F28" s="9">
        <f>IF($D$18=0,0,D28/$D$18)</f>
        <v/>
      </c>
      <c r="H28" s="8" t="n">
        <v>1783936.94</v>
      </c>
      <c r="J28" s="9">
        <f>IF($H$18=0,0,H28/$H$18)</f>
        <v/>
      </c>
    </row>
    <row r="29" ht="18" customHeight="1">
      <c r="B29" s="7" t="inlineStr">
        <is>
          <t>Impuestos y Derechos</t>
        </is>
      </c>
      <c r="D29" s="8" t="n">
        <v>318566.65</v>
      </c>
      <c r="F29" s="9">
        <f>IF($D$18=0,0,D29/$D$18)</f>
        <v/>
      </c>
      <c r="H29" s="8" t="n">
        <v>318566.65</v>
      </c>
      <c r="J29" s="9">
        <f>IF($H$18=0,0,H29/$H$18)</f>
        <v/>
      </c>
    </row>
    <row r="30" ht="18" customHeight="1">
      <c r="B30" s="7" t="inlineStr">
        <is>
          <t>Honorarios</t>
        </is>
      </c>
      <c r="D30" s="8" t="n">
        <v>39400</v>
      </c>
      <c r="F30" s="9">
        <f>IF($D$18=0,0,D30/$D$18)</f>
        <v/>
      </c>
      <c r="H30" s="8" t="n">
        <v>39400</v>
      </c>
      <c r="J30" s="9">
        <f>IF($H$18=0,0,H30/$H$18)</f>
        <v/>
      </c>
    </row>
    <row r="31" ht="18" customHeight="1">
      <c r="B31" s="7" t="inlineStr">
        <is>
          <t>Arrendamiento</t>
        </is>
      </c>
      <c r="D31" s="8" t="n">
        <v>125426.32</v>
      </c>
      <c r="F31" s="9">
        <f>IF($D$18=0,0,D31/$D$18)</f>
        <v/>
      </c>
      <c r="H31" s="8" t="n">
        <v>125426.32</v>
      </c>
      <c r="J31" s="9">
        <f>IF($H$18=0,0,H31/$H$18)</f>
        <v/>
      </c>
    </row>
    <row r="32" ht="18" customHeight="1">
      <c r="B32" s="7" t="inlineStr">
        <is>
          <t>Seguros y Fianzas</t>
        </is>
      </c>
      <c r="D32" s="8" t="n">
        <v>12288.78</v>
      </c>
      <c r="F32" s="9">
        <f>IF($D$18=0,0,D32/$D$18)</f>
        <v/>
      </c>
      <c r="H32" s="8" t="n">
        <v>12288.78</v>
      </c>
      <c r="J32" s="9">
        <f>IF($H$18=0,0,H32/$H$18)</f>
        <v/>
      </c>
    </row>
    <row r="33" ht="18" customHeight="1">
      <c r="B33" s="7" t="inlineStr">
        <is>
          <t>Servicios</t>
        </is>
      </c>
      <c r="D33" s="8" t="n">
        <v>29358.7</v>
      </c>
      <c r="F33" s="9">
        <f>IF($D$18=0,0,D33/$D$18)</f>
        <v/>
      </c>
      <c r="H33" s="8" t="n">
        <v>29358.7</v>
      </c>
      <c r="J33" s="9">
        <f>IF($H$18=0,0,H33/$H$18)</f>
        <v/>
      </c>
    </row>
    <row r="34" ht="18" customHeight="1">
      <c r="B34" s="7" t="inlineStr">
        <is>
          <t>Capacitacion al Personal</t>
        </is>
      </c>
      <c r="D34" s="8" t="n">
        <v>19480</v>
      </c>
      <c r="F34" s="9">
        <f>IF($D$18=0,0,D34/$D$18)</f>
        <v/>
      </c>
      <c r="H34" s="8" t="n">
        <v>19480</v>
      </c>
      <c r="J34" s="9">
        <f>IF($H$18=0,0,H34/$H$18)</f>
        <v/>
      </c>
    </row>
    <row r="35" ht="18" customHeight="1">
      <c r="B35" s="7" t="inlineStr">
        <is>
          <t>Fletes y/o Mensajeria</t>
        </is>
      </c>
      <c r="D35" s="8" t="n">
        <v>141745.19</v>
      </c>
      <c r="F35" s="9">
        <f>IF($D$18=0,0,D35/$D$18)</f>
        <v/>
      </c>
      <c r="H35" s="8" t="n">
        <v>141745.19</v>
      </c>
      <c r="J35" s="9">
        <f>IF($H$18=0,0,H35/$H$18)</f>
        <v/>
      </c>
    </row>
    <row r="36" ht="18" customHeight="1">
      <c r="B36" s="7" t="inlineStr">
        <is>
          <t>Seguridad e higiene</t>
        </is>
      </c>
      <c r="D36" s="8" t="n">
        <v>1173.3</v>
      </c>
      <c r="F36" s="9">
        <f>IF($D$18=0,0,D36/$D$18)</f>
        <v/>
      </c>
      <c r="H36" s="8" t="n">
        <v>1173.3</v>
      </c>
      <c r="J36" s="9">
        <f>IF($H$18=0,0,H36/$H$18)</f>
        <v/>
      </c>
    </row>
    <row r="37" ht="18" customHeight="1">
      <c r="B37" s="7" t="inlineStr">
        <is>
          <t>Mantenimiento</t>
        </is>
      </c>
      <c r="D37" s="8" t="n">
        <v>72756.35000000001</v>
      </c>
      <c r="F37" s="9">
        <f>IF($D$18=0,0,D37/$D$18)</f>
        <v/>
      </c>
      <c r="H37" s="8" t="n">
        <v>72756.35000000001</v>
      </c>
      <c r="J37" s="9">
        <f>IF($H$18=0,0,H37/$H$18)</f>
        <v/>
      </c>
    </row>
    <row r="38" ht="18" customHeight="1">
      <c r="B38" s="7" t="inlineStr">
        <is>
          <t>Combustibles</t>
        </is>
      </c>
      <c r="D38" s="8" t="n">
        <v>55597.44</v>
      </c>
      <c r="F38" s="9">
        <f>IF($D$18=0,0,D38/$D$18)</f>
        <v/>
      </c>
      <c r="H38" s="8" t="n">
        <v>55597.44</v>
      </c>
      <c r="J38" s="9">
        <f>IF($H$18=0,0,H38/$H$18)</f>
        <v/>
      </c>
    </row>
    <row r="39" ht="18" customHeight="1">
      <c r="B39" s="7" t="inlineStr">
        <is>
          <t>Propaganda y Publicidad</t>
        </is>
      </c>
      <c r="D39" s="8" t="n">
        <v>2165.75</v>
      </c>
      <c r="F39" s="9">
        <f>IF($D$18=0,0,D39/$D$18)</f>
        <v/>
      </c>
      <c r="H39" s="8" t="n">
        <v>2165.75</v>
      </c>
      <c r="J39" s="9">
        <f>IF($H$18=0,0,H39/$H$18)</f>
        <v/>
      </c>
    </row>
    <row r="40" ht="18" customHeight="1">
      <c r="B40" s="7" t="inlineStr">
        <is>
          <t>Cuotas y Suscripciones</t>
        </is>
      </c>
      <c r="D40" s="8" t="n">
        <v>0</v>
      </c>
      <c r="F40" s="9">
        <f>IF($D$18=0,0,D40/$D$18)</f>
        <v/>
      </c>
      <c r="H40" s="8" t="n">
        <v>0</v>
      </c>
      <c r="J40" s="9">
        <f>IF($H$18=0,0,H40/$H$18)</f>
        <v/>
      </c>
    </row>
    <row r="41" ht="18" customHeight="1">
      <c r="B41" s="7" t="inlineStr">
        <is>
          <t>Gastos de Viaje</t>
        </is>
      </c>
      <c r="D41" s="8" t="n">
        <v>0</v>
      </c>
      <c r="F41" s="9">
        <f>IF($D$18=0,0,D41/$D$18)</f>
        <v/>
      </c>
      <c r="H41" s="8" t="n">
        <v>0</v>
      </c>
      <c r="J41" s="9">
        <f>IF($H$18=0,0,H41/$H$18)</f>
        <v/>
      </c>
    </row>
    <row r="42" ht="18" customHeight="1">
      <c r="B42" s="7" t="inlineStr">
        <is>
          <t>Herrajes y Herramientas</t>
        </is>
      </c>
      <c r="D42" s="8" t="n">
        <v>0</v>
      </c>
      <c r="F42" s="9">
        <f>IF($D$18=0,0,D42/$D$18)</f>
        <v/>
      </c>
      <c r="H42" s="8" t="n">
        <v>0</v>
      </c>
      <c r="J42" s="9">
        <f>IF($H$18=0,0,H42/$H$18)</f>
        <v/>
      </c>
    </row>
    <row r="43" ht="18" customHeight="1">
      <c r="B43" s="7" t="inlineStr">
        <is>
          <t>Papeleria y Art. de Oficina</t>
        </is>
      </c>
      <c r="D43" s="8" t="n">
        <v>6328.27</v>
      </c>
      <c r="F43" s="9">
        <f>IF($D$18=0,0,D43/$D$18)</f>
        <v/>
      </c>
      <c r="H43" s="8" t="n">
        <v>6328.27</v>
      </c>
      <c r="J43" s="9">
        <f>IF($H$18=0,0,H43/$H$18)</f>
        <v/>
      </c>
    </row>
    <row r="44" ht="18" customHeight="1">
      <c r="B44" s="7" t="inlineStr">
        <is>
          <t>Depreciaciones</t>
        </is>
      </c>
      <c r="D44" s="8" t="n">
        <v>0</v>
      </c>
      <c r="F44" s="9">
        <f>IF($D$18=0,0,D44/$D$18)</f>
        <v/>
      </c>
      <c r="H44" s="8" t="n">
        <v>0</v>
      </c>
      <c r="J44" s="9">
        <f>IF($H$18=0,0,H44/$H$18)</f>
        <v/>
      </c>
    </row>
    <row r="45" ht="18" customHeight="1">
      <c r="B45" s="7" t="inlineStr">
        <is>
          <t>Recargos</t>
        </is>
      </c>
      <c r="D45" s="8" t="n">
        <v>84055.23</v>
      </c>
      <c r="F45" s="9">
        <f>IF($D$18=0,0,D45/$D$18)</f>
        <v/>
      </c>
      <c r="H45" s="8" t="n">
        <v>84055.23</v>
      </c>
      <c r="J45" s="9">
        <f>IF($H$18=0,0,H45/$H$18)</f>
        <v/>
      </c>
    </row>
    <row r="46" ht="18" customHeight="1">
      <c r="B46" s="7" t="inlineStr">
        <is>
          <t>Varios</t>
        </is>
      </c>
      <c r="D46" s="8" t="n">
        <v>427924.16</v>
      </c>
      <c r="F46" s="9">
        <f>IF($D$18=0,0,D46/$D$18)</f>
        <v/>
      </c>
      <c r="H46" s="8" t="n">
        <v>427924.16</v>
      </c>
      <c r="J46" s="9">
        <f>IF($H$18=0,0,H46/$H$18)</f>
        <v/>
      </c>
    </row>
    <row r="47" ht="18" customHeight="1">
      <c r="B47" s="7" t="inlineStr">
        <is>
          <t>Uniformes</t>
        </is>
      </c>
      <c r="D47" s="8" t="n">
        <v>0</v>
      </c>
      <c r="F47" s="9">
        <f>IF($D$18=0,0,D47/$D$18)</f>
        <v/>
      </c>
      <c r="H47" s="8" t="n">
        <v>0</v>
      </c>
      <c r="J47" s="9">
        <f>IF($H$18=0,0,H47/$H$18)</f>
        <v/>
      </c>
    </row>
    <row r="48" ht="18" customHeight="1">
      <c r="D48" s="8" t="n"/>
      <c r="F48" s="9" t="n"/>
      <c r="H48" s="8" t="n"/>
      <c r="J48" s="9" t="n"/>
    </row>
    <row r="49" ht="18" customHeight="1">
      <c r="D49" s="8" t="n"/>
      <c r="F49" s="9" t="n"/>
      <c r="H49" s="8" t="n"/>
      <c r="J49" s="9" t="n"/>
    </row>
    <row r="50" ht="18" customHeight="1">
      <c r="B50" s="7" t="inlineStr">
        <is>
          <t>No deducibles</t>
        </is>
      </c>
      <c r="D50" s="8" t="n">
        <v>0</v>
      </c>
      <c r="F50" s="9">
        <f>IF($D$18=0,0,D50/$D$18)</f>
        <v/>
      </c>
      <c r="H50" s="8" t="n">
        <v>0</v>
      </c>
      <c r="J50" s="9">
        <f>IF($H$18=0,0,H50/$H$18)</f>
        <v/>
      </c>
    </row>
    <row r="51" ht="18" customHeight="1">
      <c r="B51" s="10" t="inlineStr">
        <is>
          <t>GASTOS DE OPERACION</t>
        </is>
      </c>
      <c r="C51" s="11" t="n"/>
      <c r="D51" s="12">
        <f>SUM(D28:D50)</f>
        <v/>
      </c>
      <c r="E51" s="11" t="n"/>
      <c r="F51" s="13">
        <f>IF($D$18=0,0,D51/$D$18)</f>
        <v/>
      </c>
      <c r="G51" s="11" t="n"/>
      <c r="H51" s="12">
        <f>SUM(H28:H50)</f>
        <v/>
      </c>
      <c r="I51" s="11" t="n"/>
      <c r="J51" s="13">
        <f>IF($H$18=0,0,H51/$H$18)</f>
        <v/>
      </c>
    </row>
    <row r="52" ht="18" customHeight="1">
      <c r="D52" s="8" t="n"/>
      <c r="F52" s="9" t="n"/>
      <c r="H52" s="8" t="n"/>
      <c r="J52" s="9" t="n"/>
    </row>
    <row r="53" ht="18" customHeight="1">
      <c r="B53" s="10" t="inlineStr">
        <is>
          <t>UTILIDAD O (PERDIDA) DE OPERACION</t>
        </is>
      </c>
      <c r="C53" s="11" t="n"/>
      <c r="D53" s="12">
        <f>D25-D51</f>
        <v/>
      </c>
      <c r="E53" s="11" t="n"/>
      <c r="F53" s="13">
        <f>IF($D$18=0,0,D53/$D$18)</f>
        <v/>
      </c>
      <c r="G53" s="11" t="n"/>
      <c r="H53" s="12">
        <f>H25-H51</f>
        <v/>
      </c>
      <c r="I53" s="11" t="n"/>
      <c r="J53" s="13">
        <f>IF($H$18=0,0,H53/$H$18)</f>
        <v/>
      </c>
    </row>
    <row r="54" ht="18" customHeight="1">
      <c r="D54" s="8" t="n"/>
      <c r="F54" s="9" t="n"/>
      <c r="H54" s="8" t="n"/>
      <c r="J54" s="9" t="n"/>
    </row>
    <row r="55" ht="18" customHeight="1">
      <c r="B55" s="5" t="inlineStr">
        <is>
          <t>OTROS INGRESOS Y GASTOS</t>
        </is>
      </c>
      <c r="C55" s="6" t="n"/>
      <c r="D55" s="14" t="n"/>
      <c r="E55" s="6" t="n"/>
      <c r="F55" s="15" t="n"/>
      <c r="G55" s="6" t="n"/>
      <c r="H55" s="14" t="n"/>
      <c r="I55" s="6" t="n"/>
      <c r="J55" s="15" t="n"/>
    </row>
    <row r="56" ht="18" customHeight="1">
      <c r="B56" s="7" t="inlineStr">
        <is>
          <t>Otros Productos</t>
        </is>
      </c>
      <c r="D56" s="8" t="n">
        <v>98.92</v>
      </c>
      <c r="F56" s="9">
        <f>IF($D$18=0,0,D56/$D$18)</f>
        <v/>
      </c>
      <c r="H56" s="8" t="n">
        <v>98.92</v>
      </c>
      <c r="J56" s="9">
        <f>IF($H$18=0,0,H56/$H$18)</f>
        <v/>
      </c>
    </row>
    <row r="57" ht="18" customHeight="1">
      <c r="B57" s="7" t="inlineStr">
        <is>
          <t>Otros Gastos</t>
        </is>
      </c>
      <c r="D57" s="8" t="n">
        <v>0</v>
      </c>
      <c r="F57" s="9">
        <f>IF($D$18=0,0,D57/$D$18)</f>
        <v/>
      </c>
      <c r="H57" s="8" t="n">
        <v>0</v>
      </c>
      <c r="J57" s="9">
        <f>IF($H$18=0,0,H57/$H$18)</f>
        <v/>
      </c>
    </row>
    <row r="58" ht="18" customHeight="1">
      <c r="B58" s="10" t="inlineStr">
        <is>
          <t>TOTAL OTROS INGRESOS</t>
        </is>
      </c>
      <c r="C58" s="11" t="n"/>
      <c r="D58" s="12">
        <f>D56-D57</f>
        <v/>
      </c>
      <c r="E58" s="11" t="n"/>
      <c r="F58" s="13">
        <f>IF($D$18=0,0,D58/$D$18)</f>
        <v/>
      </c>
      <c r="G58" s="11" t="n"/>
      <c r="H58" s="12">
        <f>H56-H57</f>
        <v/>
      </c>
      <c r="I58" s="11" t="n"/>
      <c r="J58" s="13">
        <f>IF($H$18=0,0,H58/$H$18)</f>
        <v/>
      </c>
    </row>
    <row r="59" ht="18" customHeight="1">
      <c r="D59" s="8" t="n"/>
      <c r="F59" s="9" t="n"/>
      <c r="H59" s="8" t="n"/>
      <c r="J59" s="9" t="n"/>
    </row>
    <row r="60" ht="18" customHeight="1">
      <c r="B60" s="5" t="inlineStr">
        <is>
          <t>RES. INT. DE FINANCIAMIENTO</t>
        </is>
      </c>
      <c r="C60" s="6" t="n"/>
      <c r="D60" s="14" t="n"/>
      <c r="E60" s="6" t="n"/>
      <c r="F60" s="15" t="n"/>
      <c r="G60" s="6" t="n"/>
      <c r="H60" s="14" t="n"/>
      <c r="I60" s="6" t="n"/>
      <c r="J60" s="15" t="n"/>
    </row>
    <row r="61" ht="18" customHeight="1">
      <c r="B61" s="7" t="inlineStr">
        <is>
          <t>Productos Financieros</t>
        </is>
      </c>
      <c r="D61" s="8" t="n">
        <v>0</v>
      </c>
      <c r="F61" s="9">
        <f>IF($D$18=0,0,D61/$D$18)</f>
        <v/>
      </c>
      <c r="H61" s="8" t="n">
        <v>0</v>
      </c>
      <c r="J61" s="9">
        <f>IF($H$18=0,0,H61/$H$18)</f>
        <v/>
      </c>
    </row>
    <row r="62" ht="18" customHeight="1">
      <c r="B62" s="7" t="inlineStr">
        <is>
          <t>Gastos Financieros</t>
        </is>
      </c>
      <c r="D62" s="8" t="n">
        <v>4574.35</v>
      </c>
      <c r="F62" s="9">
        <f>IF($D$18=0,0,D62/$D$18)</f>
        <v/>
      </c>
      <c r="H62" s="8" t="n">
        <v>4574.35</v>
      </c>
      <c r="J62" s="9">
        <f>IF($H$18=0,0,H62/$H$18)</f>
        <v/>
      </c>
    </row>
    <row r="63" ht="18" customHeight="1">
      <c r="B63" s="10" t="inlineStr">
        <is>
          <t>TOTAL R. I. F.</t>
        </is>
      </c>
      <c r="C63" s="11" t="n"/>
      <c r="D63" s="12">
        <f>D61-D62</f>
        <v/>
      </c>
      <c r="E63" s="11" t="n"/>
      <c r="F63" s="13">
        <f>IF($D$18=0,0,D63/$D$18)</f>
        <v/>
      </c>
      <c r="G63" s="11" t="n"/>
      <c r="H63" s="12">
        <f>H61-H62</f>
        <v/>
      </c>
      <c r="I63" s="11" t="n"/>
      <c r="J63" s="13">
        <f>IF($H$18=0,0,H63/$H$18)</f>
        <v/>
      </c>
    </row>
    <row r="64" ht="18" customHeight="1">
      <c r="D64" s="8" t="n"/>
      <c r="F64" s="9" t="n"/>
      <c r="H64" s="8" t="n"/>
      <c r="J64" s="9" t="n"/>
    </row>
    <row r="65" ht="18" customHeight="1">
      <c r="B65" s="10" t="inlineStr">
        <is>
          <t>RESULTADO ANTES DE IMPUESTOS</t>
        </is>
      </c>
      <c r="C65" s="11" t="n"/>
      <c r="D65" s="12">
        <f>D53+D58+D63</f>
        <v/>
      </c>
      <c r="E65" s="11" t="n"/>
      <c r="F65" s="13">
        <f>IF($D$18=0,0,D65/$D$18)</f>
        <v/>
      </c>
      <c r="G65" s="11" t="n"/>
      <c r="H65" s="12">
        <f>H53+H58+H63</f>
        <v/>
      </c>
      <c r="I65" s="11" t="n"/>
      <c r="J65" s="13">
        <f>IF($H$18=0,0,H65/$H$18)</f>
        <v/>
      </c>
    </row>
    <row r="66" ht="18" customHeight="1">
      <c r="D66" s="8" t="n"/>
      <c r="F66" s="9" t="n"/>
      <c r="H66" s="8" t="n"/>
      <c r="J66" s="9" t="n"/>
    </row>
    <row r="67" ht="18" customHeight="1">
      <c r="B67" s="7" t="inlineStr">
        <is>
          <t>ISR DEL EJERCICIO</t>
        </is>
      </c>
      <c r="D67" s="8" t="n">
        <v>0</v>
      </c>
      <c r="F67" s="9">
        <f>IF($D$18=0,0,D67/$D$18)</f>
        <v/>
      </c>
      <c r="H67" s="8" t="n">
        <v>0</v>
      </c>
      <c r="J67" s="9">
        <f>IF($H$18=0,0,H67/$H$18)</f>
        <v/>
      </c>
    </row>
    <row r="68" ht="18" customHeight="1">
      <c r="B68" s="7" t="inlineStr">
        <is>
          <t>PTU DEL EJERCICIO</t>
        </is>
      </c>
      <c r="D68" s="8" t="n">
        <v>0</v>
      </c>
      <c r="F68" s="9">
        <f>IF($D$18=0,0,D68/$D$18)</f>
        <v/>
      </c>
      <c r="H68" s="8" t="n">
        <v>0</v>
      </c>
      <c r="J68" s="9">
        <f>IF($H$18=0,0,H68/$H$18)</f>
        <v/>
      </c>
    </row>
    <row r="69" ht="18" customHeight="1">
      <c r="D69" s="8" t="n"/>
      <c r="F69" s="9" t="n"/>
      <c r="H69" s="8" t="n"/>
      <c r="J69" s="9" t="n"/>
    </row>
    <row r="70" ht="18" customHeight="1">
      <c r="B70" s="10" t="inlineStr">
        <is>
          <t>RESULTADO DEL EJERCICIO</t>
        </is>
      </c>
      <c r="C70" s="11" t="n"/>
      <c r="D70" s="12">
        <f>D65-D67-D68</f>
        <v/>
      </c>
      <c r="E70" s="11" t="n"/>
      <c r="F70" s="13">
        <f>IF($D$18=0,0,D70/$D$18)</f>
        <v/>
      </c>
      <c r="G70" s="11" t="n"/>
      <c r="H70" s="12">
        <f>H65-H67-H68</f>
        <v/>
      </c>
      <c r="I70" s="11" t="n"/>
      <c r="J70" s="13">
        <f>IF($H$18=0,0,H70/$H$18)</f>
        <v/>
      </c>
    </row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</sheetData>
  <mergeCells count="4">
    <mergeCell ref="B10:J10"/>
    <mergeCell ref="B12:J12"/>
    <mergeCell ref="B9:J9"/>
    <mergeCell ref="B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2026-07-08T17:41:58Z</dcterms:created>
  <dcterms:modified xmlns:dcterms="http://purl.org/dc/terms/" xmlns:xsi="http://www.w3.org/2001/XMLSchema-instance" xsi:type="dcterms:W3CDTF">2026-07-08T17:41:58Z</dcterms:modified>
</cp:coreProperties>
</file>